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bb6a6eb294f79b09/Documents/"/>
    </mc:Choice>
  </mc:AlternateContent>
  <xr:revisionPtr revIDLastSave="2176" documentId="8_{5CD2AEAD-A525-4B4A-9A0C-0DA7CF0FA1D1}" xr6:coauthVersionLast="47" xr6:coauthVersionMax="47" xr10:uidLastSave="{BA414077-142F-46A2-B69B-81C9070DC1D6}"/>
  <bookViews>
    <workbookView xWindow="-108" yWindow="-108" windowWidth="23256" windowHeight="12456" activeTab="5" xr2:uid="{34FCA943-7F08-4E20-A07A-38F3E6C5C241}"/>
  </bookViews>
  <sheets>
    <sheet name="Raw_Data (Original Dataset)" sheetId="2" r:id="rId1"/>
    <sheet name="Cleaned_Data" sheetId="3" r:id="rId2"/>
    <sheet name="Analysis_Sheet" sheetId="4" r:id="rId3"/>
    <sheet name="Pivot_Table" sheetId="6" r:id="rId4"/>
    <sheet name="KPI" sheetId="8" r:id="rId5"/>
    <sheet name="Dashboard" sheetId="7" r:id="rId6"/>
  </sheets>
  <definedNames>
    <definedName name="ExternalData_1" localSheetId="0" hidden="1">'Raw_Data (Original Dataset)'!$A$1:$I$1501</definedName>
    <definedName name="Slicer_Condition">#N/A</definedName>
    <definedName name="Slicer_Gender">#N/A</definedName>
    <definedName name="Slicer_Hospital_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7" l="1"/>
  <c r="E5" i="7"/>
  <c r="C5" i="7"/>
  <c r="A5" i="7"/>
  <c r="G17" i="4"/>
  <c r="G18" i="4"/>
  <c r="G19" i="4"/>
  <c r="G20" i="4"/>
  <c r="G21" i="4"/>
  <c r="G16" i="4"/>
  <c r="G5" i="4"/>
  <c r="G6" i="4"/>
  <c r="G7" i="4"/>
  <c r="G8" i="4"/>
  <c r="G9" i="4"/>
  <c r="G10" i="4"/>
  <c r="G4" i="4"/>
  <c r="G3" i="4"/>
  <c r="F10" i="4"/>
  <c r="F9" i="4"/>
  <c r="F8" i="4"/>
  <c r="F7" i="4"/>
  <c r="F6" i="4"/>
  <c r="F5" i="4"/>
  <c r="F4" i="4"/>
  <c r="F3" i="4"/>
  <c r="N3" i="3"/>
  <c r="B27" i="4" s="1"/>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2" i="3"/>
  <c r="B36" i="4" s="1"/>
  <c r="B21" i="4"/>
  <c r="M2" i="3" s="1"/>
  <c r="B19" i="4"/>
  <c r="L2" i="3" a="1"/>
  <c r="L2" i="3" s="1"/>
  <c r="L3" i="3" a="1"/>
  <c r="L3" i="3" s="1"/>
  <c r="L4" i="3" a="1"/>
  <c r="L4" i="3" s="1"/>
  <c r="L5" i="3" a="1"/>
  <c r="L5" i="3" s="1"/>
  <c r="L6" i="3" a="1"/>
  <c r="L6" i="3" s="1"/>
  <c r="L7" i="3" a="1"/>
  <c r="L7" i="3" s="1"/>
  <c r="L8" i="3" a="1"/>
  <c r="L8" i="3" s="1"/>
  <c r="L9" i="3" a="1"/>
  <c r="L9" i="3" s="1"/>
  <c r="L10" i="3" a="1"/>
  <c r="L10" i="3" s="1"/>
  <c r="L11" i="3" a="1"/>
  <c r="L11" i="3" s="1"/>
  <c r="L12" i="3" a="1"/>
  <c r="L12" i="3" s="1"/>
  <c r="L13" i="3" a="1"/>
  <c r="L13" i="3" s="1"/>
  <c r="L14" i="3" a="1"/>
  <c r="L14" i="3" s="1"/>
  <c r="L15" i="3" a="1"/>
  <c r="L15" i="3" s="1"/>
  <c r="L16" i="3" a="1"/>
  <c r="L16" i="3" s="1"/>
  <c r="L17" i="3" a="1"/>
  <c r="L17" i="3"/>
  <c r="L18" i="3" a="1"/>
  <c r="L18" i="3" s="1"/>
  <c r="L19" i="3" a="1"/>
  <c r="L19" i="3" s="1"/>
  <c r="L20" i="3" a="1"/>
  <c r="L20" i="3" s="1"/>
  <c r="L21" i="3" a="1"/>
  <c r="L21" i="3" s="1"/>
  <c r="L22" i="3" a="1"/>
  <c r="L22" i="3" s="1"/>
  <c r="L23" i="3" a="1"/>
  <c r="L23" i="3" s="1"/>
  <c r="L24" i="3" a="1"/>
  <c r="L24" i="3" s="1"/>
  <c r="L25" i="3" a="1"/>
  <c r="L25" i="3" s="1"/>
  <c r="L26" i="3" a="1"/>
  <c r="L26" i="3" s="1"/>
  <c r="L27" i="3" a="1"/>
  <c r="L27" i="3" s="1"/>
  <c r="L28" i="3" a="1"/>
  <c r="L28" i="3" s="1"/>
  <c r="L29" i="3" a="1"/>
  <c r="L29" i="3" s="1"/>
  <c r="L30" i="3" a="1"/>
  <c r="L30" i="3" s="1"/>
  <c r="L31" i="3" a="1"/>
  <c r="L31" i="3" s="1"/>
  <c r="L32" i="3" a="1"/>
  <c r="L32" i="3" s="1"/>
  <c r="L33" i="3" a="1"/>
  <c r="L33" i="3" s="1"/>
  <c r="L34" i="3" a="1"/>
  <c r="L34" i="3" s="1"/>
  <c r="L35" i="3" a="1"/>
  <c r="L35" i="3" s="1"/>
  <c r="L36" i="3" a="1"/>
  <c r="L36" i="3" s="1"/>
  <c r="L37" i="3" a="1"/>
  <c r="L37" i="3" s="1"/>
  <c r="L38" i="3" a="1"/>
  <c r="L38" i="3" s="1"/>
  <c r="L39" i="3" a="1"/>
  <c r="L39" i="3" s="1"/>
  <c r="L40" i="3" a="1"/>
  <c r="L40" i="3" s="1"/>
  <c r="L41" i="3" a="1"/>
  <c r="L41" i="3" s="1"/>
  <c r="L42" i="3" a="1"/>
  <c r="L42" i="3" s="1"/>
  <c r="L43" i="3" a="1"/>
  <c r="L43" i="3" s="1"/>
  <c r="L44" i="3" a="1"/>
  <c r="L44" i="3" s="1"/>
  <c r="L45" i="3" a="1"/>
  <c r="L45" i="3" s="1"/>
  <c r="L46" i="3" a="1"/>
  <c r="L46" i="3" s="1"/>
  <c r="L47" i="3" a="1"/>
  <c r="L47" i="3" s="1"/>
  <c r="L48" i="3" a="1"/>
  <c r="L48" i="3" s="1"/>
  <c r="L49" i="3" a="1"/>
  <c r="L49" i="3" s="1"/>
  <c r="L50" i="3" a="1"/>
  <c r="L50" i="3" s="1"/>
  <c r="L51" i="3" a="1"/>
  <c r="L51" i="3" s="1"/>
  <c r="L52" i="3" a="1"/>
  <c r="L52" i="3" s="1"/>
  <c r="L53" i="3" a="1"/>
  <c r="L53" i="3" s="1"/>
  <c r="L54" i="3" a="1"/>
  <c r="L54" i="3" s="1"/>
  <c r="L55" i="3" a="1"/>
  <c r="L55" i="3" s="1"/>
  <c r="L56" i="3" a="1"/>
  <c r="L56" i="3" s="1"/>
  <c r="L57" i="3" a="1"/>
  <c r="L57" i="3" s="1"/>
  <c r="L58" i="3" a="1"/>
  <c r="L58" i="3" s="1"/>
  <c r="L59" i="3" a="1"/>
  <c r="L59" i="3" s="1"/>
  <c r="L60" i="3" a="1"/>
  <c r="L60" i="3" s="1"/>
  <c r="L61" i="3" a="1"/>
  <c r="L61" i="3"/>
  <c r="L62" i="3" a="1"/>
  <c r="L62" i="3" s="1"/>
  <c r="L63" i="3" a="1"/>
  <c r="L63" i="3" s="1"/>
  <c r="L64" i="3" a="1"/>
  <c r="L64" i="3" s="1"/>
  <c r="L65" i="3" a="1"/>
  <c r="L65" i="3" s="1"/>
  <c r="L66" i="3" a="1"/>
  <c r="L66" i="3" s="1"/>
  <c r="L67" i="3" a="1"/>
  <c r="L67" i="3" s="1"/>
  <c r="L68" i="3" a="1"/>
  <c r="L68" i="3" s="1"/>
  <c r="L69" i="3" a="1"/>
  <c r="L69" i="3" s="1"/>
  <c r="L70" i="3" a="1"/>
  <c r="L70" i="3" s="1"/>
  <c r="L71" i="3" a="1"/>
  <c r="L71" i="3" s="1"/>
  <c r="L72" i="3" a="1"/>
  <c r="L72" i="3" s="1"/>
  <c r="L73" i="3" a="1"/>
  <c r="L73" i="3"/>
  <c r="L74" i="3" a="1"/>
  <c r="L74" i="3" s="1"/>
  <c r="L75" i="3" a="1"/>
  <c r="L75" i="3" s="1"/>
  <c r="L76" i="3" a="1"/>
  <c r="L76" i="3" s="1"/>
  <c r="L77" i="3" a="1"/>
  <c r="L77" i="3" s="1"/>
  <c r="L78" i="3" a="1"/>
  <c r="L78" i="3" s="1"/>
  <c r="L79" i="3" a="1"/>
  <c r="L79" i="3" s="1"/>
  <c r="L80" i="3" a="1"/>
  <c r="L80" i="3" s="1"/>
  <c r="L81" i="3" a="1"/>
  <c r="L81" i="3" s="1"/>
  <c r="L82" i="3" a="1"/>
  <c r="L82" i="3" s="1"/>
  <c r="L83" i="3" a="1"/>
  <c r="L83" i="3"/>
  <c r="L84" i="3" a="1"/>
  <c r="L84" i="3" s="1"/>
  <c r="L85" i="3" a="1"/>
  <c r="L85" i="3" s="1"/>
  <c r="L86" i="3" a="1"/>
  <c r="L86" i="3" s="1"/>
  <c r="L87" i="3" a="1"/>
  <c r="L87" i="3" s="1"/>
  <c r="L88" i="3" a="1"/>
  <c r="L88" i="3" s="1"/>
  <c r="L89" i="3" a="1"/>
  <c r="L89" i="3" s="1"/>
  <c r="L90" i="3" a="1"/>
  <c r="L90" i="3" s="1"/>
  <c r="L91" i="3" a="1"/>
  <c r="L91" i="3" s="1"/>
  <c r="L92" i="3" a="1"/>
  <c r="L92" i="3" s="1"/>
  <c r="L93" i="3" a="1"/>
  <c r="L93" i="3" s="1"/>
  <c r="L94" i="3" a="1"/>
  <c r="L94" i="3" s="1"/>
  <c r="L95" i="3" a="1"/>
  <c r="L95" i="3" s="1"/>
  <c r="L96" i="3" a="1"/>
  <c r="L96" i="3" s="1"/>
  <c r="L97" i="3" a="1"/>
  <c r="L97" i="3" s="1"/>
  <c r="L98" i="3" a="1"/>
  <c r="L98" i="3" s="1"/>
  <c r="L99" i="3" a="1"/>
  <c r="L99" i="3" s="1"/>
  <c r="L100" i="3" a="1"/>
  <c r="L100" i="3" s="1"/>
  <c r="L101" i="3" a="1"/>
  <c r="L101" i="3" s="1"/>
  <c r="L102" i="3" a="1"/>
  <c r="L102" i="3" s="1"/>
  <c r="L103" i="3" a="1"/>
  <c r="L103" i="3" s="1"/>
  <c r="L104" i="3" a="1"/>
  <c r="L104" i="3" s="1"/>
  <c r="L105" i="3" a="1"/>
  <c r="L105" i="3" s="1"/>
  <c r="L106" i="3" a="1"/>
  <c r="L106" i="3" s="1"/>
  <c r="L107" i="3" a="1"/>
  <c r="L107" i="3" s="1"/>
  <c r="L108" i="3" a="1"/>
  <c r="L108" i="3" s="1"/>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L195" i="3" a="1"/>
  <c r="L195" i="3" s="1"/>
  <c r="L196" i="3" a="1"/>
  <c r="L196" i="3" s="1"/>
  <c r="L197" i="3" a="1"/>
  <c r="L197" i="3" s="1"/>
  <c r="L198" i="3" a="1"/>
  <c r="L198" i="3" s="1"/>
  <c r="L199" i="3" a="1"/>
  <c r="L199" i="3" s="1"/>
  <c r="L200" i="3" a="1"/>
  <c r="L200" i="3" s="1"/>
  <c r="L201" i="3" a="1"/>
  <c r="L201" i="3" s="1"/>
  <c r="L202" i="3" a="1"/>
  <c r="L202" i="3" s="1"/>
  <c r="L203" i="3" a="1"/>
  <c r="L203" i="3" s="1"/>
  <c r="L204" i="3" a="1"/>
  <c r="L204" i="3" s="1"/>
  <c r="L205" i="3" a="1"/>
  <c r="L205" i="3" s="1"/>
  <c r="L206" i="3" a="1"/>
  <c r="L206" i="3" s="1"/>
  <c r="L207" i="3" a="1"/>
  <c r="L207" i="3" s="1"/>
  <c r="L208" i="3" a="1"/>
  <c r="L208" i="3" s="1"/>
  <c r="L209" i="3" a="1"/>
  <c r="L209" i="3" s="1"/>
  <c r="L210" i="3" a="1"/>
  <c r="L210" i="3" s="1"/>
  <c r="L211" i="3" a="1"/>
  <c r="L211" i="3" s="1"/>
  <c r="L212" i="3" a="1"/>
  <c r="L212" i="3" s="1"/>
  <c r="L213" i="3" a="1"/>
  <c r="L213" i="3" s="1"/>
  <c r="L214" i="3" a="1"/>
  <c r="L214" i="3" s="1"/>
  <c r="L215" i="3" a="1"/>
  <c r="L215" i="3" s="1"/>
  <c r="L216" i="3" a="1"/>
  <c r="L216" i="3" s="1"/>
  <c r="L217" i="3" a="1"/>
  <c r="L217" i="3" s="1"/>
  <c r="L218" i="3" a="1"/>
  <c r="L218" i="3" s="1"/>
  <c r="L219" i="3" a="1"/>
  <c r="L219" i="3"/>
  <c r="L220" i="3" a="1"/>
  <c r="L220" i="3" s="1"/>
  <c r="L221" i="3" a="1"/>
  <c r="L221" i="3" s="1"/>
  <c r="L222" i="3" a="1"/>
  <c r="L222" i="3" s="1"/>
  <c r="L223" i="3" a="1"/>
  <c r="L223" i="3" s="1"/>
  <c r="L224" i="3" a="1"/>
  <c r="L224" i="3" s="1"/>
  <c r="L225" i="3" a="1"/>
  <c r="L225" i="3" s="1"/>
  <c r="L226" i="3" a="1"/>
  <c r="L226" i="3" s="1"/>
  <c r="L227" i="3" a="1"/>
  <c r="L227" i="3" s="1"/>
  <c r="L228" i="3" a="1"/>
  <c r="L228" i="3" s="1"/>
  <c r="L229" i="3" a="1"/>
  <c r="L229" i="3" s="1"/>
  <c r="L230" i="3" a="1"/>
  <c r="L230" i="3" s="1"/>
  <c r="L231" i="3" a="1"/>
  <c r="L231" i="3" s="1"/>
  <c r="L232" i="3" a="1"/>
  <c r="L232" i="3" s="1"/>
  <c r="L233" i="3" a="1"/>
  <c r="L233" i="3" s="1"/>
  <c r="L234" i="3" a="1"/>
  <c r="L234" i="3" s="1"/>
  <c r="L235" i="3" a="1"/>
  <c r="L235" i="3" s="1"/>
  <c r="L236" i="3" a="1"/>
  <c r="L236" i="3" s="1"/>
  <c r="L237" i="3" a="1"/>
  <c r="L237" i="3" s="1"/>
  <c r="L238" i="3" a="1"/>
  <c r="L238" i="3" s="1"/>
  <c r="L239" i="3" a="1"/>
  <c r="L239" i="3" s="1"/>
  <c r="L240" i="3" a="1"/>
  <c r="L240" i="3" s="1"/>
  <c r="L241" i="3" a="1"/>
  <c r="L241" i="3" s="1"/>
  <c r="L242" i="3" a="1"/>
  <c r="L242" i="3" s="1"/>
  <c r="L243" i="3" a="1"/>
  <c r="L243" i="3" s="1"/>
  <c r="L244" i="3" a="1"/>
  <c r="L244" i="3" s="1"/>
  <c r="L245" i="3" a="1"/>
  <c r="L245" i="3" s="1"/>
  <c r="L246" i="3" a="1"/>
  <c r="L246" i="3" s="1"/>
  <c r="L247" i="3" a="1"/>
  <c r="L247" i="3" s="1"/>
  <c r="L248" i="3" a="1"/>
  <c r="L248" i="3" s="1"/>
  <c r="L249" i="3" a="1"/>
  <c r="L249" i="3" s="1"/>
  <c r="L250" i="3" a="1"/>
  <c r="L250" i="3" s="1"/>
  <c r="L251" i="3" a="1"/>
  <c r="L251" i="3" s="1"/>
  <c r="L252" i="3" a="1"/>
  <c r="L252" i="3" s="1"/>
  <c r="L253" i="3" a="1"/>
  <c r="L253" i="3" s="1"/>
  <c r="L254" i="3" a="1"/>
  <c r="L254" i="3" s="1"/>
  <c r="L255" i="3" a="1"/>
  <c r="L255" i="3" s="1"/>
  <c r="L256" i="3" a="1"/>
  <c r="L256" i="3" s="1"/>
  <c r="L257" i="3" a="1"/>
  <c r="L257" i="3" s="1"/>
  <c r="L258" i="3" a="1"/>
  <c r="L258" i="3" s="1"/>
  <c r="L259" i="3" a="1"/>
  <c r="L259" i="3" s="1"/>
  <c r="L260" i="3" a="1"/>
  <c r="L260" i="3" s="1"/>
  <c r="L261" i="3" a="1"/>
  <c r="L261" i="3" s="1"/>
  <c r="L262" i="3" a="1"/>
  <c r="L262" i="3" s="1"/>
  <c r="L263" i="3" a="1"/>
  <c r="L263" i="3" s="1"/>
  <c r="L264" i="3" a="1"/>
  <c r="L264" i="3" s="1"/>
  <c r="L265" i="3" a="1"/>
  <c r="L265" i="3" s="1"/>
  <c r="L266" i="3" a="1"/>
  <c r="L266" i="3" s="1"/>
  <c r="L267" i="3" a="1"/>
  <c r="L267" i="3" s="1"/>
  <c r="L268" i="3" a="1"/>
  <c r="L268" i="3" s="1"/>
  <c r="L269" i="3" a="1"/>
  <c r="L269" i="3" s="1"/>
  <c r="L270" i="3" a="1"/>
  <c r="L270" i="3" s="1"/>
  <c r="L271" i="3" a="1"/>
  <c r="L271" i="3" s="1"/>
  <c r="L272" i="3" a="1"/>
  <c r="L272" i="3" s="1"/>
  <c r="L273" i="3" a="1"/>
  <c r="L273" i="3" s="1"/>
  <c r="L274" i="3" a="1"/>
  <c r="L274" i="3" s="1"/>
  <c r="L275" i="3" a="1"/>
  <c r="L275" i="3" s="1"/>
  <c r="L276" i="3" a="1"/>
  <c r="L276" i="3" s="1"/>
  <c r="L277" i="3" a="1"/>
  <c r="L277" i="3" s="1"/>
  <c r="L278" i="3" a="1"/>
  <c r="L278" i="3" s="1"/>
  <c r="L279" i="3" a="1"/>
  <c r="L279" i="3" s="1"/>
  <c r="L280" i="3" a="1"/>
  <c r="L280" i="3" s="1"/>
  <c r="L281" i="3" a="1"/>
  <c r="L281" i="3" s="1"/>
  <c r="L282" i="3" a="1"/>
  <c r="L282" i="3" s="1"/>
  <c r="L283" i="3" a="1"/>
  <c r="L283" i="3" s="1"/>
  <c r="L284" i="3" a="1"/>
  <c r="L284" i="3" s="1"/>
  <c r="L285" i="3" a="1"/>
  <c r="L285" i="3" s="1"/>
  <c r="L286" i="3" a="1"/>
  <c r="L286" i="3" s="1"/>
  <c r="L287" i="3" a="1"/>
  <c r="L287" i="3" s="1"/>
  <c r="L288" i="3" a="1"/>
  <c r="L288" i="3" s="1"/>
  <c r="L289" i="3" a="1"/>
  <c r="L289" i="3" s="1"/>
  <c r="L290" i="3" a="1"/>
  <c r="L290" i="3" s="1"/>
  <c r="L291" i="3" a="1"/>
  <c r="L291" i="3" s="1"/>
  <c r="L292" i="3" a="1"/>
  <c r="L292" i="3" s="1"/>
  <c r="L293" i="3" a="1"/>
  <c r="L293" i="3" s="1"/>
  <c r="L294" i="3" a="1"/>
  <c r="L294" i="3" s="1"/>
  <c r="L295" i="3" a="1"/>
  <c r="L295" i="3" s="1"/>
  <c r="L296" i="3" a="1"/>
  <c r="L296" i="3" s="1"/>
  <c r="L297" i="3" a="1"/>
  <c r="L297" i="3" s="1"/>
  <c r="L298" i="3" a="1"/>
  <c r="L298" i="3" s="1"/>
  <c r="L299" i="3" a="1"/>
  <c r="L299" i="3" s="1"/>
  <c r="L300" i="3" a="1"/>
  <c r="L300" i="3" s="1"/>
  <c r="L301" i="3" a="1"/>
  <c r="L301" i="3" s="1"/>
  <c r="L302" i="3" a="1"/>
  <c r="L302" i="3" s="1"/>
  <c r="L303" i="3" a="1"/>
  <c r="L303" i="3" s="1"/>
  <c r="L304" i="3" a="1"/>
  <c r="L304" i="3" s="1"/>
  <c r="L305" i="3" a="1"/>
  <c r="L305" i="3" s="1"/>
  <c r="L306" i="3" a="1"/>
  <c r="L306" i="3" s="1"/>
  <c r="L307" i="3" a="1"/>
  <c r="L307" i="3" s="1"/>
  <c r="L308" i="3" a="1"/>
  <c r="L308" i="3" s="1"/>
  <c r="L309" i="3" a="1"/>
  <c r="L309" i="3" s="1"/>
  <c r="L310" i="3" a="1"/>
  <c r="L310" i="3" s="1"/>
  <c r="L311" i="3" a="1"/>
  <c r="L311" i="3" s="1"/>
  <c r="L312" i="3" a="1"/>
  <c r="L312" i="3" s="1"/>
  <c r="L313" i="3" a="1"/>
  <c r="L313" i="3"/>
  <c r="L314" i="3" a="1"/>
  <c r="L314" i="3" s="1"/>
  <c r="L315" i="3" a="1"/>
  <c r="L315" i="3" s="1"/>
  <c r="L316" i="3" a="1"/>
  <c r="L316" i="3" s="1"/>
  <c r="L317" i="3" a="1"/>
  <c r="L317" i="3" s="1"/>
  <c r="L318" i="3" a="1"/>
  <c r="L318" i="3" s="1"/>
  <c r="L319" i="3" a="1"/>
  <c r="L319" i="3" s="1"/>
  <c r="L320" i="3" a="1"/>
  <c r="L320" i="3" s="1"/>
  <c r="L321" i="3" a="1"/>
  <c r="L321" i="3" s="1"/>
  <c r="L322" i="3" a="1"/>
  <c r="L322" i="3" s="1"/>
  <c r="L323" i="3" a="1"/>
  <c r="L323" i="3" s="1"/>
  <c r="L324" i="3" a="1"/>
  <c r="L324" i="3" s="1"/>
  <c r="L325" i="3" a="1"/>
  <c r="L325" i="3" s="1"/>
  <c r="L326" i="3" a="1"/>
  <c r="L326" i="3" s="1"/>
  <c r="L327" i="3" a="1"/>
  <c r="L327" i="3" s="1"/>
  <c r="L328" i="3" a="1"/>
  <c r="L328" i="3" s="1"/>
  <c r="L329" i="3" a="1"/>
  <c r="L329" i="3" s="1"/>
  <c r="L330" i="3" a="1"/>
  <c r="L330" i="3" s="1"/>
  <c r="L331" i="3" a="1"/>
  <c r="L331" i="3" s="1"/>
  <c r="L332" i="3" a="1"/>
  <c r="L332" i="3" s="1"/>
  <c r="L333" i="3" a="1"/>
  <c r="L333" i="3" s="1"/>
  <c r="L334" i="3" a="1"/>
  <c r="L334" i="3" s="1"/>
  <c r="L335" i="3" a="1"/>
  <c r="L335" i="3" s="1"/>
  <c r="L336" i="3" a="1"/>
  <c r="L336" i="3" s="1"/>
  <c r="L337" i="3" a="1"/>
  <c r="L337" i="3" s="1"/>
  <c r="L338" i="3" a="1"/>
  <c r="L338" i="3" s="1"/>
  <c r="L339" i="3" a="1"/>
  <c r="L339" i="3" s="1"/>
  <c r="L340" i="3" a="1"/>
  <c r="L340" i="3" s="1"/>
  <c r="L341" i="3" a="1"/>
  <c r="L341" i="3" s="1"/>
  <c r="L342" i="3" a="1"/>
  <c r="L342" i="3" s="1"/>
  <c r="L343" i="3" a="1"/>
  <c r="L343" i="3" s="1"/>
  <c r="L344" i="3" a="1"/>
  <c r="L344" i="3" s="1"/>
  <c r="L345" i="3" a="1"/>
  <c r="L345" i="3" s="1"/>
  <c r="L346" i="3" a="1"/>
  <c r="L346" i="3" s="1"/>
  <c r="L347" i="3" a="1"/>
  <c r="L347" i="3" s="1"/>
  <c r="L348" i="3" a="1"/>
  <c r="L348" i="3" s="1"/>
  <c r="L349" i="3" a="1"/>
  <c r="L349" i="3" s="1"/>
  <c r="L350" i="3" a="1"/>
  <c r="L350" i="3" s="1"/>
  <c r="L351" i="3" a="1"/>
  <c r="L351" i="3" s="1"/>
  <c r="L352" i="3" a="1"/>
  <c r="L352" i="3" s="1"/>
  <c r="L353" i="3" a="1"/>
  <c r="L353" i="3" s="1"/>
  <c r="L354" i="3" a="1"/>
  <c r="L354" i="3" s="1"/>
  <c r="L355" i="3" a="1"/>
  <c r="L355" i="3" s="1"/>
  <c r="L356" i="3" a="1"/>
  <c r="L356" i="3" s="1"/>
  <c r="L357" i="3" a="1"/>
  <c r="L357" i="3" s="1"/>
  <c r="L358" i="3" a="1"/>
  <c r="L358" i="3" s="1"/>
  <c r="L359" i="3" a="1"/>
  <c r="L359" i="3" s="1"/>
  <c r="L360" i="3" a="1"/>
  <c r="L360" i="3" s="1"/>
  <c r="L361" i="3" a="1"/>
  <c r="L361" i="3"/>
  <c r="L362" i="3" a="1"/>
  <c r="L362" i="3" s="1"/>
  <c r="L363" i="3" a="1"/>
  <c r="L363" i="3" s="1"/>
  <c r="L364" i="3" a="1"/>
  <c r="L364" i="3" s="1"/>
  <c r="L365" i="3" a="1"/>
  <c r="L365" i="3" s="1"/>
  <c r="L366" i="3" a="1"/>
  <c r="L366" i="3" s="1"/>
  <c r="L367" i="3" a="1"/>
  <c r="L367" i="3" s="1"/>
  <c r="L368" i="3" a="1"/>
  <c r="L368" i="3" s="1"/>
  <c r="L369" i="3" a="1"/>
  <c r="L369" i="3" s="1"/>
  <c r="L370" i="3" a="1"/>
  <c r="L370" i="3" s="1"/>
  <c r="L371" i="3" a="1"/>
  <c r="L371" i="3" s="1"/>
  <c r="L372" i="3" a="1"/>
  <c r="L372" i="3" s="1"/>
  <c r="L373" i="3" a="1"/>
  <c r="L373" i="3" s="1"/>
  <c r="L374" i="3" a="1"/>
  <c r="L374" i="3" s="1"/>
  <c r="L375" i="3" a="1"/>
  <c r="L375" i="3" s="1"/>
  <c r="L376" i="3" a="1"/>
  <c r="L376" i="3" s="1"/>
  <c r="L377" i="3" a="1"/>
  <c r="L377" i="3" s="1"/>
  <c r="L378" i="3" a="1"/>
  <c r="L378" i="3" s="1"/>
  <c r="L379" i="3" a="1"/>
  <c r="L379" i="3" s="1"/>
  <c r="L380" i="3" a="1"/>
  <c r="L380" i="3" s="1"/>
  <c r="L381" i="3" a="1"/>
  <c r="L381" i="3" s="1"/>
  <c r="L382" i="3" a="1"/>
  <c r="L382" i="3" s="1"/>
  <c r="L383" i="3" a="1"/>
  <c r="L383" i="3" s="1"/>
  <c r="L384" i="3" a="1"/>
  <c r="L384" i="3" s="1"/>
  <c r="L385" i="3" a="1"/>
  <c r="L385" i="3" s="1"/>
  <c r="L386" i="3" a="1"/>
  <c r="L386" i="3" s="1"/>
  <c r="L387" i="3" a="1"/>
  <c r="L387" i="3" s="1"/>
  <c r="L388" i="3" a="1"/>
  <c r="L388" i="3" s="1"/>
  <c r="L389" i="3" a="1"/>
  <c r="L389" i="3" s="1"/>
  <c r="L390" i="3" a="1"/>
  <c r="L390" i="3" s="1"/>
  <c r="L391" i="3" a="1"/>
  <c r="L391" i="3" s="1"/>
  <c r="L392" i="3" a="1"/>
  <c r="L392" i="3" s="1"/>
  <c r="L393" i="3" a="1"/>
  <c r="L393" i="3" s="1"/>
  <c r="L394" i="3" a="1"/>
  <c r="L394" i="3" s="1"/>
  <c r="L395" i="3" a="1"/>
  <c r="L395" i="3" s="1"/>
  <c r="L396" i="3" a="1"/>
  <c r="L396" i="3" s="1"/>
  <c r="L397" i="3" a="1"/>
  <c r="L397" i="3" s="1"/>
  <c r="L398" i="3" a="1"/>
  <c r="L398" i="3" s="1"/>
  <c r="L399" i="3" a="1"/>
  <c r="L399" i="3" s="1"/>
  <c r="L400" i="3" a="1"/>
  <c r="L400" i="3" s="1"/>
  <c r="L401" i="3" a="1"/>
  <c r="L401" i="3" s="1"/>
  <c r="L402" i="3" a="1"/>
  <c r="L402" i="3" s="1"/>
  <c r="L403" i="3" a="1"/>
  <c r="L403" i="3" s="1"/>
  <c r="L404" i="3" a="1"/>
  <c r="L404" i="3" s="1"/>
  <c r="L405" i="3" a="1"/>
  <c r="L405" i="3" s="1"/>
  <c r="L406" i="3" a="1"/>
  <c r="L406" i="3"/>
  <c r="L407" i="3" a="1"/>
  <c r="L407" i="3" s="1"/>
  <c r="L408" i="3" a="1"/>
  <c r="L408" i="3" s="1"/>
  <c r="L409" i="3" a="1"/>
  <c r="L409" i="3" s="1"/>
  <c r="L410" i="3" a="1"/>
  <c r="L410" i="3" s="1"/>
  <c r="L411" i="3" a="1"/>
  <c r="L411" i="3" s="1"/>
  <c r="L412" i="3" a="1"/>
  <c r="L412" i="3" s="1"/>
  <c r="L413" i="3" a="1"/>
  <c r="L413" i="3" s="1"/>
  <c r="L414" i="3" a="1"/>
  <c r="L414" i="3" s="1"/>
  <c r="L415" i="3" a="1"/>
  <c r="L415" i="3" s="1"/>
  <c r="L416" i="3" a="1"/>
  <c r="L416" i="3" s="1"/>
  <c r="L417" i="3" a="1"/>
  <c r="L417" i="3" s="1"/>
  <c r="L418" i="3" a="1"/>
  <c r="L418" i="3" s="1"/>
  <c r="L419" i="3" a="1"/>
  <c r="L419" i="3" s="1"/>
  <c r="L420" i="3" a="1"/>
  <c r="L420" i="3" s="1"/>
  <c r="L421" i="3" a="1"/>
  <c r="L421" i="3" s="1"/>
  <c r="L422" i="3" a="1"/>
  <c r="L422" i="3" s="1"/>
  <c r="L423" i="3" a="1"/>
  <c r="L423" i="3" s="1"/>
  <c r="L424" i="3" a="1"/>
  <c r="L424" i="3" s="1"/>
  <c r="L425" i="3" a="1"/>
  <c r="L425" i="3" s="1"/>
  <c r="L426" i="3" a="1"/>
  <c r="L426" i="3" s="1"/>
  <c r="L427" i="3" a="1"/>
  <c r="L427" i="3" s="1"/>
  <c r="L428" i="3" a="1"/>
  <c r="L428" i="3" s="1"/>
  <c r="L429" i="3" a="1"/>
  <c r="L429" i="3" s="1"/>
  <c r="L430" i="3" a="1"/>
  <c r="L430" i="3" s="1"/>
  <c r="L431" i="3" a="1"/>
  <c r="L431" i="3" s="1"/>
  <c r="L432" i="3" a="1"/>
  <c r="L432" i="3" s="1"/>
  <c r="L433" i="3" a="1"/>
  <c r="L433" i="3" s="1"/>
  <c r="L434" i="3" a="1"/>
  <c r="L434" i="3" s="1"/>
  <c r="L435" i="3" a="1"/>
  <c r="L435" i="3" s="1"/>
  <c r="L436" i="3" a="1"/>
  <c r="L436" i="3" s="1"/>
  <c r="L437" i="3" a="1"/>
  <c r="L437" i="3" s="1"/>
  <c r="L438" i="3" a="1"/>
  <c r="L438" i="3" s="1"/>
  <c r="L439" i="3" a="1"/>
  <c r="L439" i="3" s="1"/>
  <c r="L440" i="3" a="1"/>
  <c r="L440" i="3" s="1"/>
  <c r="L441" i="3" a="1"/>
  <c r="L441" i="3" s="1"/>
  <c r="L442" i="3" a="1"/>
  <c r="L442" i="3" s="1"/>
  <c r="L443" i="3" a="1"/>
  <c r="L443" i="3" s="1"/>
  <c r="L444" i="3" a="1"/>
  <c r="L444" i="3" s="1"/>
  <c r="L445" i="3" a="1"/>
  <c r="L445" i="3" s="1"/>
  <c r="L446" i="3" a="1"/>
  <c r="L446" i="3" s="1"/>
  <c r="L447" i="3" a="1"/>
  <c r="L447" i="3" s="1"/>
  <c r="L448" i="3" a="1"/>
  <c r="L448" i="3" s="1"/>
  <c r="L449" i="3" a="1"/>
  <c r="L449" i="3"/>
  <c r="L450" i="3" a="1"/>
  <c r="L450" i="3" s="1"/>
  <c r="L451" i="3" a="1"/>
  <c r="L451" i="3" s="1"/>
  <c r="L452" i="3" a="1"/>
  <c r="L452" i="3" s="1"/>
  <c r="L453" i="3" a="1"/>
  <c r="L453" i="3" s="1"/>
  <c r="L454" i="3" a="1"/>
  <c r="L454" i="3" s="1"/>
  <c r="L455" i="3" a="1"/>
  <c r="L455" i="3" s="1"/>
  <c r="L456" i="3" a="1"/>
  <c r="L456" i="3" s="1"/>
  <c r="L457" i="3" a="1"/>
  <c r="L457" i="3" s="1"/>
  <c r="L458" i="3" a="1"/>
  <c r="L458" i="3" s="1"/>
  <c r="L459" i="3" a="1"/>
  <c r="L459" i="3" s="1"/>
  <c r="L460" i="3" a="1"/>
  <c r="L460" i="3" s="1"/>
  <c r="L461" i="3" a="1"/>
  <c r="L461" i="3" s="1"/>
  <c r="L462" i="3" a="1"/>
  <c r="L462" i="3"/>
  <c r="L463" i="3" a="1"/>
  <c r="L463" i="3" s="1"/>
  <c r="L464" i="3" a="1"/>
  <c r="L464" i="3" s="1"/>
  <c r="L465" i="3" a="1"/>
  <c r="L465" i="3" s="1"/>
  <c r="L466" i="3" a="1"/>
  <c r="L466" i="3" s="1"/>
  <c r="L467" i="3" a="1"/>
  <c r="L467" i="3" s="1"/>
  <c r="L468" i="3" a="1"/>
  <c r="L468" i="3" s="1"/>
  <c r="L469" i="3" a="1"/>
  <c r="L469" i="3" s="1"/>
  <c r="L470" i="3" a="1"/>
  <c r="L470" i="3" s="1"/>
  <c r="L471" i="3" a="1"/>
  <c r="L471" i="3" s="1"/>
  <c r="L472" i="3" a="1"/>
  <c r="L472" i="3" s="1"/>
  <c r="L473" i="3" a="1"/>
  <c r="L473" i="3" s="1"/>
  <c r="L474" i="3" a="1"/>
  <c r="L474" i="3" s="1"/>
  <c r="L475" i="3" a="1"/>
  <c r="L475" i="3" s="1"/>
  <c r="L476" i="3" a="1"/>
  <c r="L476" i="3" s="1"/>
  <c r="L477" i="3" a="1"/>
  <c r="L477" i="3" s="1"/>
  <c r="L478" i="3" a="1"/>
  <c r="L478" i="3" s="1"/>
  <c r="L479" i="3" a="1"/>
  <c r="L479" i="3" s="1"/>
  <c r="L480" i="3" a="1"/>
  <c r="L480" i="3" s="1"/>
  <c r="L481" i="3" a="1"/>
  <c r="L481" i="3" s="1"/>
  <c r="L482" i="3" a="1"/>
  <c r="L482" i="3" s="1"/>
  <c r="L483" i="3" a="1"/>
  <c r="L483" i="3" s="1"/>
  <c r="L484" i="3" a="1"/>
  <c r="L484" i="3" s="1"/>
  <c r="L485" i="3" a="1"/>
  <c r="L485" i="3" s="1"/>
  <c r="L486" i="3" a="1"/>
  <c r="L486" i="3" s="1"/>
  <c r="L487" i="3" a="1"/>
  <c r="L487" i="3" s="1"/>
  <c r="L488" i="3" a="1"/>
  <c r="L488" i="3" s="1"/>
  <c r="L489" i="3" a="1"/>
  <c r="L489" i="3" s="1"/>
  <c r="L490" i="3" a="1"/>
  <c r="L490" i="3" s="1"/>
  <c r="L491" i="3" a="1"/>
  <c r="L491" i="3" s="1"/>
  <c r="L492" i="3" a="1"/>
  <c r="L492" i="3" s="1"/>
  <c r="L493" i="3" a="1"/>
  <c r="L493" i="3" s="1"/>
  <c r="L494" i="3" a="1"/>
  <c r="L494" i="3" s="1"/>
  <c r="L495" i="3" a="1"/>
  <c r="L495" i="3" s="1"/>
  <c r="L496" i="3" a="1"/>
  <c r="L496" i="3" s="1"/>
  <c r="L497" i="3" a="1"/>
  <c r="L497" i="3" s="1"/>
  <c r="L498" i="3" a="1"/>
  <c r="L498" i="3" s="1"/>
  <c r="L499" i="3" a="1"/>
  <c r="L499" i="3" s="1"/>
  <c r="L500" i="3" a="1"/>
  <c r="L500" i="3" s="1"/>
  <c r="L501" i="3" a="1"/>
  <c r="L501" i="3" s="1"/>
  <c r="L502" i="3" a="1"/>
  <c r="L502" i="3" s="1"/>
  <c r="L503" i="3" a="1"/>
  <c r="L503" i="3" s="1"/>
  <c r="L504" i="3" a="1"/>
  <c r="L504" i="3" s="1"/>
  <c r="L505" i="3" a="1"/>
  <c r="L505" i="3" s="1"/>
  <c r="L506" i="3" a="1"/>
  <c r="L506" i="3" s="1"/>
  <c r="L507" i="3" a="1"/>
  <c r="L507" i="3" s="1"/>
  <c r="L508" i="3" a="1"/>
  <c r="L508" i="3" s="1"/>
  <c r="L509" i="3" a="1"/>
  <c r="L509" i="3" s="1"/>
  <c r="L510" i="3" a="1"/>
  <c r="L510" i="3" s="1"/>
  <c r="L511" i="3" a="1"/>
  <c r="L511" i="3" s="1"/>
  <c r="L512" i="3" a="1"/>
  <c r="L512" i="3" s="1"/>
  <c r="L513" i="3" a="1"/>
  <c r="L513" i="3" s="1"/>
  <c r="L514" i="3" a="1"/>
  <c r="L514" i="3" s="1"/>
  <c r="L515" i="3" a="1"/>
  <c r="L515" i="3" s="1"/>
  <c r="L516" i="3" a="1"/>
  <c r="L516" i="3" s="1"/>
  <c r="L517" i="3" a="1"/>
  <c r="L517" i="3" s="1"/>
  <c r="L518" i="3" a="1"/>
  <c r="L518" i="3" s="1"/>
  <c r="L519" i="3" a="1"/>
  <c r="L519" i="3" s="1"/>
  <c r="L520" i="3" a="1"/>
  <c r="L520" i="3" s="1"/>
  <c r="L521" i="3" a="1"/>
  <c r="L521" i="3" s="1"/>
  <c r="L522" i="3" a="1"/>
  <c r="L522" i="3" s="1"/>
  <c r="L523" i="3" a="1"/>
  <c r="L523" i="3" s="1"/>
  <c r="L524" i="3" a="1"/>
  <c r="L524" i="3" s="1"/>
  <c r="L525" i="3" a="1"/>
  <c r="L525" i="3" s="1"/>
  <c r="L526" i="3" a="1"/>
  <c r="L526" i="3" s="1"/>
  <c r="L527" i="3" a="1"/>
  <c r="L527" i="3" s="1"/>
  <c r="L528" i="3" a="1"/>
  <c r="L528" i="3" s="1"/>
  <c r="L529" i="3" a="1"/>
  <c r="L529" i="3" s="1"/>
  <c r="L530" i="3" a="1"/>
  <c r="L530" i="3" s="1"/>
  <c r="L531" i="3" a="1"/>
  <c r="L531" i="3" s="1"/>
  <c r="L532" i="3" a="1"/>
  <c r="L532" i="3" s="1"/>
  <c r="L533" i="3" a="1"/>
  <c r="L533" i="3" s="1"/>
  <c r="L534" i="3" a="1"/>
  <c r="L534" i="3" s="1"/>
  <c r="L535" i="3" a="1"/>
  <c r="L535" i="3" s="1"/>
  <c r="L536" i="3" a="1"/>
  <c r="L536" i="3" s="1"/>
  <c r="L537" i="3" a="1"/>
  <c r="L537" i="3" s="1"/>
  <c r="L538" i="3" a="1"/>
  <c r="L538" i="3"/>
  <c r="L539" i="3" a="1"/>
  <c r="L539" i="3" s="1"/>
  <c r="L540" i="3" a="1"/>
  <c r="L540" i="3" s="1"/>
  <c r="L541" i="3" a="1"/>
  <c r="L541" i="3" s="1"/>
  <c r="L542" i="3" a="1"/>
  <c r="L542" i="3" s="1"/>
  <c r="L543" i="3" a="1"/>
  <c r="L543" i="3" s="1"/>
  <c r="L544" i="3" a="1"/>
  <c r="L544" i="3" s="1"/>
  <c r="L545" i="3" a="1"/>
  <c r="L545" i="3" s="1"/>
  <c r="L546" i="3" a="1"/>
  <c r="L546" i="3" s="1"/>
  <c r="L547" i="3" a="1"/>
  <c r="L547" i="3" s="1"/>
  <c r="L548" i="3" a="1"/>
  <c r="L548" i="3" s="1"/>
  <c r="L549" i="3" a="1"/>
  <c r="L549" i="3" s="1"/>
  <c r="L550" i="3" a="1"/>
  <c r="L550" i="3" s="1"/>
  <c r="L551" i="3" a="1"/>
  <c r="L551" i="3" s="1"/>
  <c r="L552" i="3" a="1"/>
  <c r="L552" i="3" s="1"/>
  <c r="L553" i="3" a="1"/>
  <c r="L553" i="3" s="1"/>
  <c r="L554" i="3" a="1"/>
  <c r="L554" i="3" s="1"/>
  <c r="L555" i="3" a="1"/>
  <c r="L555" i="3" s="1"/>
  <c r="L556" i="3" a="1"/>
  <c r="L556" i="3" s="1"/>
  <c r="L557" i="3" a="1"/>
  <c r="L557" i="3" s="1"/>
  <c r="L558" i="3" a="1"/>
  <c r="L558" i="3" s="1"/>
  <c r="L559" i="3" a="1"/>
  <c r="L559" i="3" s="1"/>
  <c r="L560" i="3" a="1"/>
  <c r="L560" i="3" s="1"/>
  <c r="L561" i="3" a="1"/>
  <c r="L561" i="3" s="1"/>
  <c r="L562" i="3" a="1"/>
  <c r="L562" i="3" s="1"/>
  <c r="L563" i="3" a="1"/>
  <c r="L563" i="3" s="1"/>
  <c r="L564" i="3" a="1"/>
  <c r="L564" i="3" s="1"/>
  <c r="L565" i="3" a="1"/>
  <c r="L565" i="3" s="1"/>
  <c r="L566" i="3" a="1"/>
  <c r="L566" i="3" s="1"/>
  <c r="L567" i="3" a="1"/>
  <c r="L567" i="3" s="1"/>
  <c r="L568" i="3" a="1"/>
  <c r="L568" i="3" s="1"/>
  <c r="L569" i="3" a="1"/>
  <c r="L569" i="3" s="1"/>
  <c r="L570" i="3" a="1"/>
  <c r="L570" i="3" s="1"/>
  <c r="L571" i="3" a="1"/>
  <c r="L571" i="3" s="1"/>
  <c r="L572" i="3" a="1"/>
  <c r="L572" i="3" s="1"/>
  <c r="L573" i="3" a="1"/>
  <c r="L573" i="3" s="1"/>
  <c r="L574" i="3" a="1"/>
  <c r="L574" i="3" s="1"/>
  <c r="L575" i="3" a="1"/>
  <c r="L575" i="3" s="1"/>
  <c r="L576" i="3" a="1"/>
  <c r="L576" i="3" s="1"/>
  <c r="L577" i="3" a="1"/>
  <c r="L577" i="3" s="1"/>
  <c r="L578" i="3" a="1"/>
  <c r="L578" i="3" s="1"/>
  <c r="L579" i="3" a="1"/>
  <c r="L579" i="3" s="1"/>
  <c r="L580" i="3" a="1"/>
  <c r="L580" i="3"/>
  <c r="L581" i="3" a="1"/>
  <c r="L581" i="3" s="1"/>
  <c r="L582" i="3" a="1"/>
  <c r="L582" i="3" s="1"/>
  <c r="L583" i="3" a="1"/>
  <c r="L583" i="3" s="1"/>
  <c r="L584" i="3" a="1"/>
  <c r="L584" i="3" s="1"/>
  <c r="L585" i="3" a="1"/>
  <c r="L585" i="3" s="1"/>
  <c r="L586" i="3" a="1"/>
  <c r="L586" i="3" s="1"/>
  <c r="L587" i="3" a="1"/>
  <c r="L587" i="3" s="1"/>
  <c r="L588" i="3" a="1"/>
  <c r="L588" i="3" s="1"/>
  <c r="L589" i="3" a="1"/>
  <c r="L589" i="3" s="1"/>
  <c r="L590" i="3" a="1"/>
  <c r="L590" i="3" s="1"/>
  <c r="L591" i="3" a="1"/>
  <c r="L591" i="3" s="1"/>
  <c r="L592" i="3" a="1"/>
  <c r="L592" i="3" s="1"/>
  <c r="L593" i="3" a="1"/>
  <c r="L593" i="3" s="1"/>
  <c r="L594" i="3" a="1"/>
  <c r="L594" i="3" s="1"/>
  <c r="L595" i="3" a="1"/>
  <c r="L595" i="3" s="1"/>
  <c r="L596" i="3" a="1"/>
  <c r="L596" i="3" s="1"/>
  <c r="L597" i="3" a="1"/>
  <c r="L597" i="3" s="1"/>
  <c r="L598" i="3" a="1"/>
  <c r="L598" i="3" s="1"/>
  <c r="L599" i="3" a="1"/>
  <c r="L599" i="3" s="1"/>
  <c r="L600" i="3" a="1"/>
  <c r="L600" i="3" s="1"/>
  <c r="L601" i="3" a="1"/>
  <c r="L601" i="3" s="1"/>
  <c r="L602" i="3" a="1"/>
  <c r="L602" i="3" s="1"/>
  <c r="L603" i="3" a="1"/>
  <c r="L603" i="3" s="1"/>
  <c r="L604" i="3" a="1"/>
  <c r="L604" i="3" s="1"/>
  <c r="L605" i="3" a="1"/>
  <c r="L605" i="3" s="1"/>
  <c r="L606" i="3" a="1"/>
  <c r="L606" i="3" s="1"/>
  <c r="L607" i="3" a="1"/>
  <c r="L607" i="3" s="1"/>
  <c r="L608" i="3" a="1"/>
  <c r="L608" i="3" s="1"/>
  <c r="L609" i="3" a="1"/>
  <c r="L609" i="3" s="1"/>
  <c r="L610" i="3" a="1"/>
  <c r="L610" i="3"/>
  <c r="L611" i="3" a="1"/>
  <c r="L611" i="3" s="1"/>
  <c r="L612" i="3" a="1"/>
  <c r="L612" i="3" s="1"/>
  <c r="L613" i="3" a="1"/>
  <c r="L613" i="3" s="1"/>
  <c r="L614" i="3" a="1"/>
  <c r="L614" i="3" s="1"/>
  <c r="L615" i="3" a="1"/>
  <c r="L615" i="3" s="1"/>
  <c r="L616" i="3" a="1"/>
  <c r="L616" i="3" s="1"/>
  <c r="L617" i="3" a="1"/>
  <c r="L617" i="3" s="1"/>
  <c r="L618" i="3" a="1"/>
  <c r="L618" i="3" s="1"/>
  <c r="L619" i="3" a="1"/>
  <c r="L619" i="3" s="1"/>
  <c r="L620" i="3" a="1"/>
  <c r="L620" i="3" s="1"/>
  <c r="L621" i="3" a="1"/>
  <c r="L621" i="3" s="1"/>
  <c r="L622" i="3" a="1"/>
  <c r="L622" i="3" s="1"/>
  <c r="L623" i="3" a="1"/>
  <c r="L623" i="3" s="1"/>
  <c r="L624" i="3" a="1"/>
  <c r="L624" i="3" s="1"/>
  <c r="L625" i="3" a="1"/>
  <c r="L625" i="3" s="1"/>
  <c r="L626" i="3" a="1"/>
  <c r="L626" i="3" s="1"/>
  <c r="L627" i="3" a="1"/>
  <c r="L627" i="3" s="1"/>
  <c r="L628" i="3" a="1"/>
  <c r="L628" i="3" s="1"/>
  <c r="L629" i="3" a="1"/>
  <c r="L629" i="3" s="1"/>
  <c r="L630" i="3" a="1"/>
  <c r="L630" i="3" s="1"/>
  <c r="L631" i="3" a="1"/>
  <c r="L631" i="3" s="1"/>
  <c r="L632" i="3" a="1"/>
  <c r="L632" i="3" s="1"/>
  <c r="L633" i="3" a="1"/>
  <c r="L633" i="3"/>
  <c r="L634" i="3" a="1"/>
  <c r="L634" i="3" s="1"/>
  <c r="L635" i="3" a="1"/>
  <c r="L635" i="3" s="1"/>
  <c r="L636" i="3" a="1"/>
  <c r="L636" i="3" s="1"/>
  <c r="L637" i="3" a="1"/>
  <c r="L637" i="3" s="1"/>
  <c r="L638" i="3" a="1"/>
  <c r="L638" i="3" s="1"/>
  <c r="L639" i="3" a="1"/>
  <c r="L639" i="3"/>
  <c r="L640" i="3" a="1"/>
  <c r="L640" i="3" s="1"/>
  <c r="L641" i="3" a="1"/>
  <c r="L641" i="3" s="1"/>
  <c r="L642" i="3" a="1"/>
  <c r="L642" i="3" s="1"/>
  <c r="L643" i="3" a="1"/>
  <c r="L643" i="3" s="1"/>
  <c r="L644" i="3" a="1"/>
  <c r="L644" i="3" s="1"/>
  <c r="L645" i="3" a="1"/>
  <c r="L645" i="3" s="1"/>
  <c r="L646" i="3" a="1"/>
  <c r="L646" i="3" s="1"/>
  <c r="L647" i="3" a="1"/>
  <c r="L647" i="3" s="1"/>
  <c r="L648" i="3" a="1"/>
  <c r="L648" i="3" s="1"/>
  <c r="L649" i="3" a="1"/>
  <c r="L649" i="3" s="1"/>
  <c r="L650" i="3" a="1"/>
  <c r="L650" i="3" s="1"/>
  <c r="L651" i="3" a="1"/>
  <c r="L651" i="3" s="1"/>
  <c r="L652" i="3" a="1"/>
  <c r="L652" i="3" s="1"/>
  <c r="L653" i="3" a="1"/>
  <c r="L653" i="3" s="1"/>
  <c r="L654" i="3" a="1"/>
  <c r="L654" i="3" s="1"/>
  <c r="L655" i="3" a="1"/>
  <c r="L655" i="3" s="1"/>
  <c r="L656" i="3" a="1"/>
  <c r="L656" i="3" s="1"/>
  <c r="L657" i="3" a="1"/>
  <c r="L657" i="3" s="1"/>
  <c r="L658" i="3" a="1"/>
  <c r="L658" i="3" s="1"/>
  <c r="L659" i="3" a="1"/>
  <c r="L659" i="3" s="1"/>
  <c r="L660" i="3" a="1"/>
  <c r="L660" i="3" s="1"/>
  <c r="L661" i="3" a="1"/>
  <c r="L661" i="3" s="1"/>
  <c r="L662" i="3" a="1"/>
  <c r="L662" i="3" s="1"/>
  <c r="L663" i="3" a="1"/>
  <c r="L663" i="3" s="1"/>
  <c r="L664" i="3" a="1"/>
  <c r="L664" i="3" s="1"/>
  <c r="L665" i="3" a="1"/>
  <c r="L665" i="3" s="1"/>
  <c r="L666" i="3" a="1"/>
  <c r="L666" i="3" s="1"/>
  <c r="L667" i="3" a="1"/>
  <c r="L667" i="3" s="1"/>
  <c r="L668" i="3" a="1"/>
  <c r="L668" i="3" s="1"/>
  <c r="L669" i="3" a="1"/>
  <c r="L669" i="3" s="1"/>
  <c r="L670" i="3" a="1"/>
  <c r="L670" i="3" s="1"/>
  <c r="L671" i="3" a="1"/>
  <c r="L671" i="3" s="1"/>
  <c r="L672" i="3" a="1"/>
  <c r="L672" i="3" s="1"/>
  <c r="L673" i="3" a="1"/>
  <c r="L673" i="3" s="1"/>
  <c r="L674" i="3" a="1"/>
  <c r="L674" i="3" s="1"/>
  <c r="L675" i="3" a="1"/>
  <c r="L675" i="3" s="1"/>
  <c r="L676" i="3" a="1"/>
  <c r="L676" i="3" s="1"/>
  <c r="L677" i="3" a="1"/>
  <c r="L677" i="3" s="1"/>
  <c r="L678" i="3" a="1"/>
  <c r="L678" i="3" s="1"/>
  <c r="L679" i="3" a="1"/>
  <c r="L679" i="3" s="1"/>
  <c r="L680" i="3" a="1"/>
  <c r="L680" i="3" s="1"/>
  <c r="L681" i="3" a="1"/>
  <c r="L681" i="3" s="1"/>
  <c r="L682" i="3" a="1"/>
  <c r="L682" i="3" s="1"/>
  <c r="L683" i="3" a="1"/>
  <c r="L683" i="3" s="1"/>
  <c r="L684" i="3" a="1"/>
  <c r="L684" i="3" s="1"/>
  <c r="L685" i="3" a="1"/>
  <c r="L685" i="3" s="1"/>
  <c r="L686" i="3" a="1"/>
  <c r="L686" i="3" s="1"/>
  <c r="L687" i="3" a="1"/>
  <c r="L687" i="3"/>
  <c r="L688" i="3" a="1"/>
  <c r="L688" i="3" s="1"/>
  <c r="L689" i="3" a="1"/>
  <c r="L689" i="3" s="1"/>
  <c r="L690" i="3" a="1"/>
  <c r="L690" i="3" s="1"/>
  <c r="L691" i="3" a="1"/>
  <c r="L691" i="3" s="1"/>
  <c r="L692" i="3" a="1"/>
  <c r="L692" i="3" s="1"/>
  <c r="L693" i="3" a="1"/>
  <c r="L693" i="3" s="1"/>
  <c r="L694" i="3" a="1"/>
  <c r="L694" i="3" s="1"/>
  <c r="L695" i="3" a="1"/>
  <c r="L695" i="3" s="1"/>
  <c r="L696" i="3" a="1"/>
  <c r="L696" i="3" s="1"/>
  <c r="L697" i="3" a="1"/>
  <c r="L697" i="3" s="1"/>
  <c r="L698" i="3" a="1"/>
  <c r="L698" i="3" s="1"/>
  <c r="L699" i="3" a="1"/>
  <c r="L699" i="3" s="1"/>
  <c r="L700" i="3" a="1"/>
  <c r="L700" i="3" s="1"/>
  <c r="L701" i="3" a="1"/>
  <c r="L701" i="3" s="1"/>
  <c r="L702" i="3" a="1"/>
  <c r="L702" i="3" s="1"/>
  <c r="L703" i="3" a="1"/>
  <c r="L703" i="3" s="1"/>
  <c r="L704" i="3" a="1"/>
  <c r="L704" i="3" s="1"/>
  <c r="L705" i="3" a="1"/>
  <c r="L705" i="3" s="1"/>
  <c r="L706" i="3" a="1"/>
  <c r="L706" i="3" s="1"/>
  <c r="L707" i="3" a="1"/>
  <c r="L707" i="3" s="1"/>
  <c r="L708" i="3" a="1"/>
  <c r="L708" i="3" s="1"/>
  <c r="L709" i="3" a="1"/>
  <c r="L709" i="3" s="1"/>
  <c r="L710" i="3" a="1"/>
  <c r="L710" i="3" s="1"/>
  <c r="L711" i="3" a="1"/>
  <c r="L711" i="3" s="1"/>
  <c r="L712" i="3" a="1"/>
  <c r="L712" i="3" s="1"/>
  <c r="L713" i="3" a="1"/>
  <c r="L713" i="3" s="1"/>
  <c r="L714" i="3" a="1"/>
  <c r="L714" i="3" s="1"/>
  <c r="L715" i="3" a="1"/>
  <c r="L715" i="3" s="1"/>
  <c r="L716" i="3" a="1"/>
  <c r="L716" i="3" s="1"/>
  <c r="L717" i="3" a="1"/>
  <c r="L717" i="3" s="1"/>
  <c r="L718" i="3" a="1"/>
  <c r="L718" i="3" s="1"/>
  <c r="L719" i="3" a="1"/>
  <c r="L719" i="3" s="1"/>
  <c r="L720" i="3" a="1"/>
  <c r="L720" i="3" s="1"/>
  <c r="L721" i="3" a="1"/>
  <c r="L721" i="3" s="1"/>
  <c r="L722" i="3" a="1"/>
  <c r="L722" i="3" s="1"/>
  <c r="L723" i="3" a="1"/>
  <c r="L723" i="3" s="1"/>
  <c r="L724" i="3" a="1"/>
  <c r="L724" i="3" s="1"/>
  <c r="L725" i="3" a="1"/>
  <c r="L725" i="3" s="1"/>
  <c r="L726" i="3" a="1"/>
  <c r="L726" i="3" s="1"/>
  <c r="L727" i="3" a="1"/>
  <c r="L727" i="3" s="1"/>
  <c r="L728" i="3" a="1"/>
  <c r="L728" i="3" s="1"/>
  <c r="L729" i="3" a="1"/>
  <c r="L729" i="3" s="1"/>
  <c r="L730" i="3" a="1"/>
  <c r="L730" i="3" s="1"/>
  <c r="L731" i="3" a="1"/>
  <c r="L731" i="3" s="1"/>
  <c r="L732" i="3" a="1"/>
  <c r="L732" i="3" s="1"/>
  <c r="L733" i="3" a="1"/>
  <c r="L733" i="3" s="1"/>
  <c r="L734" i="3" a="1"/>
  <c r="L734" i="3" s="1"/>
  <c r="L735" i="3" a="1"/>
  <c r="L735" i="3" s="1"/>
  <c r="L736" i="3" a="1"/>
  <c r="L736" i="3" s="1"/>
  <c r="L737" i="3" a="1"/>
  <c r="L737" i="3" s="1"/>
  <c r="L738" i="3" a="1"/>
  <c r="L738" i="3" s="1"/>
  <c r="L739" i="3" a="1"/>
  <c r="L739" i="3" s="1"/>
  <c r="L740" i="3" a="1"/>
  <c r="L740" i="3" s="1"/>
  <c r="L741" i="3" a="1"/>
  <c r="L741" i="3" s="1"/>
  <c r="L742" i="3" a="1"/>
  <c r="L742" i="3" s="1"/>
  <c r="L743" i="3" a="1"/>
  <c r="L743" i="3" s="1"/>
  <c r="L744" i="3" a="1"/>
  <c r="L744" i="3" s="1"/>
  <c r="L745" i="3" a="1"/>
  <c r="L745" i="3" s="1"/>
  <c r="L746" i="3" a="1"/>
  <c r="L746" i="3" s="1"/>
  <c r="L747" i="3" a="1"/>
  <c r="L747" i="3" s="1"/>
  <c r="L748" i="3" a="1"/>
  <c r="L748" i="3" s="1"/>
  <c r="L749" i="3" a="1"/>
  <c r="L749" i="3" s="1"/>
  <c r="L750" i="3" a="1"/>
  <c r="L750" i="3" s="1"/>
  <c r="L751" i="3" a="1"/>
  <c r="L751" i="3" s="1"/>
  <c r="L752" i="3" a="1"/>
  <c r="L752" i="3" s="1"/>
  <c r="L753" i="3" a="1"/>
  <c r="L753" i="3" s="1"/>
  <c r="L754" i="3" a="1"/>
  <c r="L754" i="3" s="1"/>
  <c r="L755" i="3" a="1"/>
  <c r="L755" i="3" s="1"/>
  <c r="L756" i="3" a="1"/>
  <c r="L756" i="3" s="1"/>
  <c r="L757" i="3" a="1"/>
  <c r="L757" i="3" s="1"/>
  <c r="L758" i="3" a="1"/>
  <c r="L758" i="3" s="1"/>
  <c r="L759" i="3" a="1"/>
  <c r="L759" i="3" s="1"/>
  <c r="L760" i="3" a="1"/>
  <c r="L760" i="3" s="1"/>
  <c r="L761" i="3" a="1"/>
  <c r="L761" i="3" s="1"/>
  <c r="L762" i="3" a="1"/>
  <c r="L762" i="3" s="1"/>
  <c r="L763" i="3" a="1"/>
  <c r="L763" i="3" s="1"/>
  <c r="L764" i="3" a="1"/>
  <c r="L764" i="3" s="1"/>
  <c r="L765" i="3" a="1"/>
  <c r="L765" i="3" s="1"/>
  <c r="L766" i="3" a="1"/>
  <c r="L766" i="3" s="1"/>
  <c r="L767" i="3" a="1"/>
  <c r="L767" i="3" s="1"/>
  <c r="L768" i="3" a="1"/>
  <c r="L768" i="3" s="1"/>
  <c r="L769" i="3" a="1"/>
  <c r="L769" i="3" s="1"/>
  <c r="L770" i="3" a="1"/>
  <c r="L770" i="3" s="1"/>
  <c r="L771" i="3" a="1"/>
  <c r="L771" i="3" s="1"/>
  <c r="L772" i="3" a="1"/>
  <c r="L772" i="3" s="1"/>
  <c r="L773" i="3" a="1"/>
  <c r="L773" i="3" s="1"/>
  <c r="L774" i="3" a="1"/>
  <c r="L774" i="3" s="1"/>
  <c r="L775" i="3" a="1"/>
  <c r="L775" i="3" s="1"/>
  <c r="L776" i="3" a="1"/>
  <c r="L776" i="3" s="1"/>
  <c r="L777" i="3" a="1"/>
  <c r="L777" i="3" s="1"/>
  <c r="L778" i="3" a="1"/>
  <c r="L778" i="3" s="1"/>
  <c r="L779" i="3" a="1"/>
  <c r="L779" i="3" s="1"/>
  <c r="L780" i="3" a="1"/>
  <c r="L780" i="3" s="1"/>
  <c r="L781" i="3" a="1"/>
  <c r="L781" i="3" s="1"/>
  <c r="L782" i="3" a="1"/>
  <c r="L782" i="3" s="1"/>
  <c r="L783" i="3" a="1"/>
  <c r="L783" i="3" s="1"/>
  <c r="L784" i="3" a="1"/>
  <c r="L784" i="3" s="1"/>
  <c r="L785" i="3" a="1"/>
  <c r="L785" i="3" s="1"/>
  <c r="L786" i="3" a="1"/>
  <c r="L786" i="3" s="1"/>
  <c r="L787" i="3" a="1"/>
  <c r="L787" i="3" s="1"/>
  <c r="L788" i="3" a="1"/>
  <c r="L788" i="3" s="1"/>
  <c r="L789" i="3" a="1"/>
  <c r="L789" i="3" s="1"/>
  <c r="L790" i="3" a="1"/>
  <c r="L790" i="3" s="1"/>
  <c r="L791" i="3" a="1"/>
  <c r="L791" i="3" s="1"/>
  <c r="L792" i="3" a="1"/>
  <c r="L792" i="3" s="1"/>
  <c r="L793" i="3" a="1"/>
  <c r="L793" i="3" s="1"/>
  <c r="L794" i="3" a="1"/>
  <c r="L794" i="3" s="1"/>
  <c r="L795" i="3" a="1"/>
  <c r="L795" i="3" s="1"/>
  <c r="L796" i="3" a="1"/>
  <c r="L796" i="3" s="1"/>
  <c r="L797" i="3" a="1"/>
  <c r="L797" i="3" s="1"/>
  <c r="L798" i="3" a="1"/>
  <c r="L798" i="3" s="1"/>
  <c r="L799" i="3" a="1"/>
  <c r="L799" i="3" s="1"/>
  <c r="L800" i="3" a="1"/>
  <c r="L800" i="3" s="1"/>
  <c r="L801" i="3" a="1"/>
  <c r="L801" i="3" s="1"/>
  <c r="L802" i="3" a="1"/>
  <c r="L802" i="3"/>
  <c r="L803" i="3" a="1"/>
  <c r="L803" i="3" s="1"/>
  <c r="L804" i="3" a="1"/>
  <c r="L804" i="3" s="1"/>
  <c r="L805" i="3" a="1"/>
  <c r="L805" i="3" s="1"/>
  <c r="L806" i="3" a="1"/>
  <c r="L806" i="3" s="1"/>
  <c r="L807" i="3" a="1"/>
  <c r="L807" i="3" s="1"/>
  <c r="L808" i="3" a="1"/>
  <c r="L808" i="3" s="1"/>
  <c r="L809" i="3" a="1"/>
  <c r="L809" i="3" s="1"/>
  <c r="L810" i="3" a="1"/>
  <c r="L810" i="3" s="1"/>
  <c r="L811" i="3" a="1"/>
  <c r="L811" i="3" s="1"/>
  <c r="L812" i="3" a="1"/>
  <c r="L812" i="3" s="1"/>
  <c r="L813" i="3" a="1"/>
  <c r="L813" i="3" s="1"/>
  <c r="L814" i="3" a="1"/>
  <c r="L814" i="3" s="1"/>
  <c r="L815" i="3" a="1"/>
  <c r="L815" i="3" s="1"/>
  <c r="L816" i="3" a="1"/>
  <c r="L816" i="3" s="1"/>
  <c r="L817" i="3" a="1"/>
  <c r="L817" i="3" s="1"/>
  <c r="L818" i="3" a="1"/>
  <c r="L818" i="3" s="1"/>
  <c r="L819" i="3" a="1"/>
  <c r="L819" i="3" s="1"/>
  <c r="L820" i="3" a="1"/>
  <c r="L820" i="3" s="1"/>
  <c r="L821" i="3" a="1"/>
  <c r="L821" i="3" s="1"/>
  <c r="L822" i="3" a="1"/>
  <c r="L822" i="3" s="1"/>
  <c r="L823" i="3" a="1"/>
  <c r="L823" i="3"/>
  <c r="L824" i="3" a="1"/>
  <c r="L824" i="3" s="1"/>
  <c r="L825" i="3" a="1"/>
  <c r="L825" i="3" s="1"/>
  <c r="L826" i="3" a="1"/>
  <c r="L826" i="3" s="1"/>
  <c r="L827" i="3" a="1"/>
  <c r="L827" i="3" s="1"/>
  <c r="L828" i="3" a="1"/>
  <c r="L828" i="3" s="1"/>
  <c r="L829" i="3" a="1"/>
  <c r="L829" i="3" s="1"/>
  <c r="L830" i="3" a="1"/>
  <c r="L830" i="3" s="1"/>
  <c r="L831" i="3" a="1"/>
  <c r="L831" i="3" s="1"/>
  <c r="L832" i="3" a="1"/>
  <c r="L832" i="3" s="1"/>
  <c r="L833" i="3" a="1"/>
  <c r="L833" i="3" s="1"/>
  <c r="L834" i="3" a="1"/>
  <c r="L834" i="3" s="1"/>
  <c r="L835" i="3" a="1"/>
  <c r="L835" i="3" s="1"/>
  <c r="L836" i="3" a="1"/>
  <c r="L836" i="3" s="1"/>
  <c r="L837" i="3" a="1"/>
  <c r="L837" i="3" s="1"/>
  <c r="L838" i="3" a="1"/>
  <c r="L838" i="3"/>
  <c r="L839" i="3" a="1"/>
  <c r="L839" i="3" s="1"/>
  <c r="L840" i="3" a="1"/>
  <c r="L840" i="3" s="1"/>
  <c r="L841" i="3" a="1"/>
  <c r="L841" i="3" s="1"/>
  <c r="L842" i="3" a="1"/>
  <c r="L842" i="3" s="1"/>
  <c r="L843" i="3" a="1"/>
  <c r="L843" i="3" s="1"/>
  <c r="L844" i="3" a="1"/>
  <c r="L844" i="3" s="1"/>
  <c r="L845" i="3" a="1"/>
  <c r="L845" i="3" s="1"/>
  <c r="L846" i="3" a="1"/>
  <c r="L846" i="3" s="1"/>
  <c r="L847" i="3" a="1"/>
  <c r="L847" i="3" s="1"/>
  <c r="L848" i="3" a="1"/>
  <c r="L848" i="3" s="1"/>
  <c r="L849" i="3" a="1"/>
  <c r="L849" i="3" s="1"/>
  <c r="L850" i="3" a="1"/>
  <c r="L850" i="3" s="1"/>
  <c r="L851" i="3" a="1"/>
  <c r="L851" i="3" s="1"/>
  <c r="L852" i="3" a="1"/>
  <c r="L852" i="3" s="1"/>
  <c r="L853" i="3" a="1"/>
  <c r="L853" i="3" s="1"/>
  <c r="L854" i="3" a="1"/>
  <c r="L854" i="3" s="1"/>
  <c r="L855" i="3" a="1"/>
  <c r="L855" i="3" s="1"/>
  <c r="L856" i="3" a="1"/>
  <c r="L856" i="3" s="1"/>
  <c r="L857" i="3" a="1"/>
  <c r="L857" i="3"/>
  <c r="L858" i="3" a="1"/>
  <c r="L858" i="3" s="1"/>
  <c r="L859" i="3" a="1"/>
  <c r="L859" i="3" s="1"/>
  <c r="L860" i="3" a="1"/>
  <c r="L860" i="3" s="1"/>
  <c r="L861" i="3" a="1"/>
  <c r="L861" i="3" s="1"/>
  <c r="L862" i="3" a="1"/>
  <c r="L862" i="3" s="1"/>
  <c r="L863" i="3" a="1"/>
  <c r="L863" i="3" s="1"/>
  <c r="L864" i="3" a="1"/>
  <c r="L864" i="3" s="1"/>
  <c r="L865" i="3" a="1"/>
  <c r="L865" i="3" s="1"/>
  <c r="B17" i="4"/>
  <c r="F21" i="4"/>
  <c r="F20" i="4"/>
  <c r="F19" i="4"/>
  <c r="F18" i="4"/>
  <c r="F17" i="4"/>
  <c r="F16" i="4"/>
  <c r="E21" i="4"/>
  <c r="E20" i="4"/>
  <c r="E19" i="4"/>
  <c r="E18" i="4"/>
  <c r="E17" i="4"/>
  <c r="E16" i="4"/>
  <c r="B15" i="4"/>
  <c r="K864" i="3" a="1"/>
  <c r="K864" i="3" s="1"/>
  <c r="K865" i="3" a="1"/>
  <c r="K865" i="3" s="1"/>
  <c r="K862" i="3" a="1"/>
  <c r="K862" i="3" s="1"/>
  <c r="K863" i="3" a="1"/>
  <c r="K863" i="3" s="1"/>
  <c r="K861" i="3" a="1"/>
  <c r="K861" i="3" s="1"/>
  <c r="K859" i="3" a="1"/>
  <c r="K859" i="3" s="1"/>
  <c r="K860" i="3" a="1"/>
  <c r="K860" i="3" s="1"/>
  <c r="K854" i="3" a="1"/>
  <c r="K854" i="3" s="1"/>
  <c r="K855" i="3" a="1"/>
  <c r="K855" i="3" s="1"/>
  <c r="K856" i="3" a="1"/>
  <c r="K856" i="3" s="1"/>
  <c r="K857" i="3" a="1"/>
  <c r="K857" i="3" s="1"/>
  <c r="K858" i="3" a="1"/>
  <c r="K858" i="3" s="1"/>
  <c r="K852" i="3" a="1"/>
  <c r="K852" i="3" s="1"/>
  <c r="K853" i="3" a="1"/>
  <c r="K853" i="3" s="1"/>
  <c r="K850" i="3" a="1"/>
  <c r="K850" i="3" s="1"/>
  <c r="K851" i="3" a="1"/>
  <c r="K851" i="3" s="1"/>
  <c r="K847" i="3" a="1"/>
  <c r="K847" i="3" s="1"/>
  <c r="K848" i="3" a="1"/>
  <c r="K848" i="3" s="1"/>
  <c r="K849" i="3" a="1"/>
  <c r="K849" i="3" s="1"/>
  <c r="K843" i="3" a="1"/>
  <c r="K843" i="3" s="1"/>
  <c r="K844" i="3" a="1"/>
  <c r="K844" i="3" s="1"/>
  <c r="K845" i="3" a="1"/>
  <c r="K845" i="3" s="1"/>
  <c r="K846" i="3" a="1"/>
  <c r="K846" i="3" s="1"/>
  <c r="K839" i="3" a="1"/>
  <c r="K839" i="3" s="1"/>
  <c r="K840" i="3" a="1"/>
  <c r="K840" i="3" s="1"/>
  <c r="K841" i="3" a="1"/>
  <c r="K841" i="3" s="1"/>
  <c r="K842" i="3" a="1"/>
  <c r="K842" i="3" s="1"/>
  <c r="K834" i="3" a="1"/>
  <c r="K834" i="3" s="1"/>
  <c r="K835" i="3" a="1"/>
  <c r="K835" i="3" s="1"/>
  <c r="K836" i="3" a="1"/>
  <c r="K836" i="3" s="1"/>
  <c r="K837" i="3" a="1"/>
  <c r="K837" i="3" s="1"/>
  <c r="K838" i="3" a="1"/>
  <c r="K838" i="3" s="1"/>
  <c r="K829" i="3" a="1"/>
  <c r="K829" i="3" s="1"/>
  <c r="K830" i="3" a="1"/>
  <c r="K830" i="3" s="1"/>
  <c r="K831" i="3" a="1"/>
  <c r="K831" i="3" s="1"/>
  <c r="K832" i="3" a="1"/>
  <c r="K832" i="3" s="1"/>
  <c r="K833" i="3" a="1"/>
  <c r="K833" i="3" s="1"/>
  <c r="K828" i="3" a="1"/>
  <c r="K828" i="3" s="1"/>
  <c r="K824" i="3" a="1"/>
  <c r="K824" i="3" s="1"/>
  <c r="K825" i="3" a="1"/>
  <c r="K825" i="3" s="1"/>
  <c r="K826" i="3" a="1"/>
  <c r="K826" i="3" s="1"/>
  <c r="K827" i="3" a="1"/>
  <c r="K827" i="3" s="1"/>
  <c r="K822" i="3" a="1"/>
  <c r="K822" i="3"/>
  <c r="K823" i="3" a="1"/>
  <c r="K823" i="3" s="1"/>
  <c r="K816" i="3" a="1"/>
  <c r="K816" i="3" s="1"/>
  <c r="K817" i="3" a="1"/>
  <c r="K817" i="3" s="1"/>
  <c r="K818" i="3" a="1"/>
  <c r="K818" i="3" s="1"/>
  <c r="K819" i="3" a="1"/>
  <c r="K819" i="3" s="1"/>
  <c r="K820" i="3" a="1"/>
  <c r="K820" i="3" s="1"/>
  <c r="K821" i="3" a="1"/>
  <c r="K821" i="3" s="1"/>
  <c r="K809" i="3" a="1"/>
  <c r="K809" i="3" s="1"/>
  <c r="K810" i="3" a="1"/>
  <c r="K810" i="3" s="1"/>
  <c r="K811" i="3" a="1"/>
  <c r="K811" i="3" s="1"/>
  <c r="K812" i="3" a="1"/>
  <c r="K812" i="3" s="1"/>
  <c r="K813" i="3" a="1"/>
  <c r="K813" i="3" s="1"/>
  <c r="K814" i="3" a="1"/>
  <c r="K814" i="3" s="1"/>
  <c r="K815" i="3" a="1"/>
  <c r="K815" i="3" s="1"/>
  <c r="K801" i="3" a="1"/>
  <c r="K801" i="3" s="1"/>
  <c r="K802" i="3" a="1"/>
  <c r="K802" i="3" s="1"/>
  <c r="K803" i="3" a="1"/>
  <c r="K803" i="3" s="1"/>
  <c r="K804" i="3" a="1"/>
  <c r="K804" i="3" s="1"/>
  <c r="K805" i="3" a="1"/>
  <c r="K805" i="3" s="1"/>
  <c r="K806" i="3" a="1"/>
  <c r="K806" i="3" s="1"/>
  <c r="K807" i="3" a="1"/>
  <c r="K807" i="3" s="1"/>
  <c r="K808" i="3" a="1"/>
  <c r="K808" i="3" s="1"/>
  <c r="K797" i="3" a="1"/>
  <c r="K797" i="3" s="1"/>
  <c r="K798" i="3" a="1"/>
  <c r="K798" i="3" s="1"/>
  <c r="K799" i="3" a="1"/>
  <c r="K799" i="3" s="1"/>
  <c r="K800" i="3" a="1"/>
  <c r="K800" i="3" s="1"/>
  <c r="K794" i="3" a="1"/>
  <c r="K794" i="3" s="1"/>
  <c r="K795" i="3" a="1"/>
  <c r="K795" i="3" s="1"/>
  <c r="K796" i="3" a="1"/>
  <c r="K796" i="3" s="1"/>
  <c r="K792" i="3" a="1"/>
  <c r="K792" i="3" s="1"/>
  <c r="K793" i="3" a="1"/>
  <c r="K793" i="3" s="1"/>
  <c r="K790" i="3" a="1"/>
  <c r="K790" i="3" s="1"/>
  <c r="K791" i="3" a="1"/>
  <c r="K791" i="3" s="1"/>
  <c r="K784" i="3" a="1"/>
  <c r="K784" i="3" s="1"/>
  <c r="K785" i="3" a="1"/>
  <c r="K785" i="3" s="1"/>
  <c r="K786" i="3" a="1"/>
  <c r="K786" i="3" s="1"/>
  <c r="K787" i="3" a="1"/>
  <c r="K787" i="3" s="1"/>
  <c r="K788" i="3" a="1"/>
  <c r="K788" i="3" s="1"/>
  <c r="K789" i="3" a="1"/>
  <c r="K789" i="3" s="1"/>
  <c r="K779" i="3" a="1"/>
  <c r="K779" i="3" s="1"/>
  <c r="K780" i="3" a="1"/>
  <c r="K780" i="3" s="1"/>
  <c r="K781" i="3" a="1"/>
  <c r="K781" i="3" s="1"/>
  <c r="K782" i="3" a="1"/>
  <c r="K782" i="3" s="1"/>
  <c r="K783" i="3" a="1"/>
  <c r="K783" i="3" s="1"/>
  <c r="K776" i="3" a="1"/>
  <c r="K776" i="3" s="1"/>
  <c r="K777" i="3" a="1"/>
  <c r="K777" i="3" s="1"/>
  <c r="K778" i="3" a="1"/>
  <c r="K778" i="3" s="1"/>
  <c r="K771" i="3" a="1"/>
  <c r="K771" i="3" s="1"/>
  <c r="K772" i="3" a="1"/>
  <c r="K772" i="3" s="1"/>
  <c r="K773" i="3" a="1"/>
  <c r="K773" i="3" s="1"/>
  <c r="K774" i="3" a="1"/>
  <c r="K774" i="3" s="1"/>
  <c r="K775" i="3" a="1"/>
  <c r="K775" i="3" s="1"/>
  <c r="K768" i="3" a="1"/>
  <c r="K768" i="3" s="1"/>
  <c r="K769" i="3" a="1"/>
  <c r="K769" i="3" s="1"/>
  <c r="K770" i="3" a="1"/>
  <c r="K770" i="3" s="1"/>
  <c r="K764" i="3" a="1"/>
  <c r="K764" i="3" s="1"/>
  <c r="K765" i="3" a="1"/>
  <c r="K765" i="3" s="1"/>
  <c r="K766" i="3" a="1"/>
  <c r="K766" i="3" s="1"/>
  <c r="K767" i="3" a="1"/>
  <c r="K767" i="3" s="1"/>
  <c r="K762" i="3" a="1"/>
  <c r="K762" i="3" s="1"/>
  <c r="K763" i="3" a="1"/>
  <c r="K763" i="3" s="1"/>
  <c r="K759" i="3" a="1"/>
  <c r="K759" i="3" s="1"/>
  <c r="K760" i="3" a="1"/>
  <c r="K760" i="3" s="1"/>
  <c r="K761" i="3" a="1"/>
  <c r="K761" i="3" s="1"/>
  <c r="K755" i="3" a="1"/>
  <c r="K755" i="3" s="1"/>
  <c r="K756" i="3" a="1"/>
  <c r="K756" i="3" s="1"/>
  <c r="K757" i="3" a="1"/>
  <c r="K757" i="3" s="1"/>
  <c r="K758" i="3" a="1"/>
  <c r="K758" i="3" s="1"/>
  <c r="K751" i="3" a="1"/>
  <c r="K751" i="3" s="1"/>
  <c r="K752" i="3" a="1"/>
  <c r="K752" i="3" s="1"/>
  <c r="K753" i="3" a="1"/>
  <c r="K753" i="3" s="1"/>
  <c r="K754" i="3" a="1"/>
  <c r="K754" i="3" s="1"/>
  <c r="K747" i="3" a="1"/>
  <c r="K747" i="3" s="1"/>
  <c r="K748" i="3" a="1"/>
  <c r="K748" i="3" s="1"/>
  <c r="K749" i="3" a="1"/>
  <c r="K749" i="3" s="1"/>
  <c r="K750" i="3" a="1"/>
  <c r="K750" i="3" s="1"/>
  <c r="K742" i="3" a="1"/>
  <c r="K742" i="3" s="1"/>
  <c r="K743" i="3" a="1"/>
  <c r="K743" i="3" s="1"/>
  <c r="K744" i="3" a="1"/>
  <c r="K744" i="3" s="1"/>
  <c r="K745" i="3" a="1"/>
  <c r="K745" i="3" s="1"/>
  <c r="K746" i="3" a="1"/>
  <c r="K746" i="3" s="1"/>
  <c r="K740" i="3" a="1"/>
  <c r="K740" i="3" s="1"/>
  <c r="K741" i="3" a="1"/>
  <c r="K741" i="3"/>
  <c r="K738" i="3" a="1"/>
  <c r="K738" i="3" s="1"/>
  <c r="K739" i="3" a="1"/>
  <c r="K739" i="3" s="1"/>
  <c r="K733" i="3" a="1"/>
  <c r="K733" i="3" s="1"/>
  <c r="K734" i="3" a="1"/>
  <c r="K734" i="3" s="1"/>
  <c r="K735" i="3" a="1"/>
  <c r="K735" i="3" s="1"/>
  <c r="K736" i="3" a="1"/>
  <c r="K736" i="3" s="1"/>
  <c r="K737" i="3" a="1"/>
  <c r="K737" i="3" s="1"/>
  <c r="K728" i="3" a="1"/>
  <c r="K728" i="3" s="1"/>
  <c r="K729" i="3" a="1"/>
  <c r="K729" i="3" s="1"/>
  <c r="K730" i="3" a="1"/>
  <c r="K730" i="3" s="1"/>
  <c r="K731" i="3" a="1"/>
  <c r="K731" i="3" s="1"/>
  <c r="K732" i="3" a="1"/>
  <c r="K732" i="3" s="1"/>
  <c r="K723" i="3" a="1"/>
  <c r="K723" i="3" s="1"/>
  <c r="K724" i="3" a="1"/>
  <c r="K724" i="3" s="1"/>
  <c r="K725" i="3" a="1"/>
  <c r="K725" i="3" s="1"/>
  <c r="K726" i="3" a="1"/>
  <c r="K726" i="3" s="1"/>
  <c r="K727" i="3" a="1"/>
  <c r="K727" i="3" s="1"/>
  <c r="K153" i="3" a="1"/>
  <c r="K153" i="3" s="1"/>
  <c r="K154" i="3" a="1"/>
  <c r="K154" i="3" s="1"/>
  <c r="K155" i="3" a="1"/>
  <c r="K155" i="3" s="1"/>
  <c r="K156" i="3" a="1"/>
  <c r="K156" i="3" s="1"/>
  <c r="K157" i="3" a="1"/>
  <c r="K157" i="3"/>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K195" i="3" a="1"/>
  <c r="K195" i="3" s="1"/>
  <c r="K196" i="3" a="1"/>
  <c r="K196" i="3" s="1"/>
  <c r="K197" i="3" a="1"/>
  <c r="K197" i="3" s="1"/>
  <c r="K198" i="3" a="1"/>
  <c r="K198" i="3" s="1"/>
  <c r="K199" i="3" a="1"/>
  <c r="K199" i="3" s="1"/>
  <c r="K200" i="3" a="1"/>
  <c r="K200" i="3" s="1"/>
  <c r="K201" i="3" a="1"/>
  <c r="K201" i="3" s="1"/>
  <c r="K202" i="3" a="1"/>
  <c r="K202" i="3" s="1"/>
  <c r="K203" i="3" a="1"/>
  <c r="K203" i="3" s="1"/>
  <c r="K204" i="3" a="1"/>
  <c r="K204" i="3" s="1"/>
  <c r="K205" i="3" a="1"/>
  <c r="K205" i="3" s="1"/>
  <c r="K206" i="3" a="1"/>
  <c r="K206" i="3" s="1"/>
  <c r="K207" i="3" a="1"/>
  <c r="K207" i="3" s="1"/>
  <c r="K208" i="3" a="1"/>
  <c r="K208" i="3" s="1"/>
  <c r="K209" i="3" a="1"/>
  <c r="K209" i="3" s="1"/>
  <c r="K210" i="3" a="1"/>
  <c r="K210" i="3" s="1"/>
  <c r="K211" i="3" a="1"/>
  <c r="K211" i="3" s="1"/>
  <c r="K212" i="3" a="1"/>
  <c r="K212" i="3" s="1"/>
  <c r="K213" i="3" a="1"/>
  <c r="K213" i="3" s="1"/>
  <c r="K214" i="3" a="1"/>
  <c r="K214" i="3" s="1"/>
  <c r="K215" i="3" a="1"/>
  <c r="K215" i="3" s="1"/>
  <c r="K216" i="3" a="1"/>
  <c r="K216" i="3" s="1"/>
  <c r="K217" i="3" a="1"/>
  <c r="K217" i="3" s="1"/>
  <c r="K218" i="3" a="1"/>
  <c r="K218" i="3" s="1"/>
  <c r="K219" i="3" a="1"/>
  <c r="K219" i="3" s="1"/>
  <c r="K220" i="3" a="1"/>
  <c r="K220" i="3" s="1"/>
  <c r="K221" i="3" a="1"/>
  <c r="K221" i="3" s="1"/>
  <c r="K222" i="3" a="1"/>
  <c r="K222" i="3" s="1"/>
  <c r="K223" i="3" a="1"/>
  <c r="K223" i="3" s="1"/>
  <c r="K224" i="3" a="1"/>
  <c r="K224" i="3" s="1"/>
  <c r="K225" i="3" a="1"/>
  <c r="K225" i="3"/>
  <c r="K226" i="3" a="1"/>
  <c r="K226" i="3" s="1"/>
  <c r="K227" i="3" a="1"/>
  <c r="K227" i="3" s="1"/>
  <c r="K228" i="3" a="1"/>
  <c r="K228" i="3" s="1"/>
  <c r="K229" i="3" a="1"/>
  <c r="K229" i="3" s="1"/>
  <c r="K230" i="3" a="1"/>
  <c r="K230" i="3" s="1"/>
  <c r="K231" i="3" a="1"/>
  <c r="K231" i="3" s="1"/>
  <c r="K232" i="3" a="1"/>
  <c r="K232" i="3" s="1"/>
  <c r="K233" i="3" a="1"/>
  <c r="K233" i="3" s="1"/>
  <c r="K234" i="3" a="1"/>
  <c r="K234" i="3" s="1"/>
  <c r="K235" i="3" a="1"/>
  <c r="K235" i="3" s="1"/>
  <c r="K236" i="3" a="1"/>
  <c r="K236" i="3" s="1"/>
  <c r="K237" i="3" a="1"/>
  <c r="K237" i="3" s="1"/>
  <c r="K238" i="3" a="1"/>
  <c r="K238" i="3" s="1"/>
  <c r="K239" i="3" a="1"/>
  <c r="K239" i="3" s="1"/>
  <c r="K240" i="3" a="1"/>
  <c r="K240" i="3" s="1"/>
  <c r="K241" i="3" a="1"/>
  <c r="K241" i="3" s="1"/>
  <c r="K242" i="3" a="1"/>
  <c r="K242" i="3" s="1"/>
  <c r="K243" i="3" a="1"/>
  <c r="K243" i="3" s="1"/>
  <c r="K244" i="3" a="1"/>
  <c r="K244" i="3" s="1"/>
  <c r="K245" i="3" a="1"/>
  <c r="K245" i="3" s="1"/>
  <c r="K246" i="3" a="1"/>
  <c r="K246" i="3" s="1"/>
  <c r="K247" i="3" a="1"/>
  <c r="K247" i="3" s="1"/>
  <c r="K248" i="3" a="1"/>
  <c r="K248" i="3" s="1"/>
  <c r="K249" i="3" a="1"/>
  <c r="K249" i="3" s="1"/>
  <c r="K250" i="3" a="1"/>
  <c r="K250" i="3" s="1"/>
  <c r="K251" i="3" a="1"/>
  <c r="K251" i="3" s="1"/>
  <c r="K252" i="3" a="1"/>
  <c r="K252" i="3"/>
  <c r="K253" i="3" a="1"/>
  <c r="K253" i="3" s="1"/>
  <c r="K254" i="3" a="1"/>
  <c r="K254" i="3" s="1"/>
  <c r="K255" i="3" a="1"/>
  <c r="K255" i="3" s="1"/>
  <c r="K256" i="3" a="1"/>
  <c r="K256" i="3" s="1"/>
  <c r="K257" i="3" a="1"/>
  <c r="K257" i="3" s="1"/>
  <c r="K258" i="3" a="1"/>
  <c r="K258" i="3" s="1"/>
  <c r="K259" i="3" a="1"/>
  <c r="K259" i="3" s="1"/>
  <c r="K260" i="3" a="1"/>
  <c r="K260" i="3" s="1"/>
  <c r="K261" i="3" a="1"/>
  <c r="K261" i="3" s="1"/>
  <c r="K262" i="3" a="1"/>
  <c r="K262" i="3" s="1"/>
  <c r="K263" i="3" a="1"/>
  <c r="K263" i="3" s="1"/>
  <c r="K264" i="3" a="1"/>
  <c r="K264" i="3" s="1"/>
  <c r="K265" i="3" a="1"/>
  <c r="K265" i="3" s="1"/>
  <c r="K266" i="3" a="1"/>
  <c r="K266" i="3" s="1"/>
  <c r="K267" i="3" a="1"/>
  <c r="K267" i="3" s="1"/>
  <c r="K268" i="3" a="1"/>
  <c r="K268" i="3" s="1"/>
  <c r="K269" i="3" a="1"/>
  <c r="K269" i="3" s="1"/>
  <c r="K270" i="3" a="1"/>
  <c r="K270" i="3"/>
  <c r="K271" i="3" a="1"/>
  <c r="K271" i="3" s="1"/>
  <c r="K272" i="3" a="1"/>
  <c r="K272" i="3" s="1"/>
  <c r="K273" i="3" a="1"/>
  <c r="K273" i="3" s="1"/>
  <c r="K274" i="3" a="1"/>
  <c r="K274" i="3" s="1"/>
  <c r="K275" i="3" a="1"/>
  <c r="K275" i="3" s="1"/>
  <c r="K276" i="3" a="1"/>
  <c r="K276" i="3" s="1"/>
  <c r="K277" i="3" a="1"/>
  <c r="K277" i="3" s="1"/>
  <c r="K278" i="3" a="1"/>
  <c r="K278" i="3" s="1"/>
  <c r="K279" i="3" a="1"/>
  <c r="K279" i="3" s="1"/>
  <c r="K280" i="3" a="1"/>
  <c r="K280" i="3" s="1"/>
  <c r="K281" i="3" a="1"/>
  <c r="K281" i="3" s="1"/>
  <c r="K282" i="3" a="1"/>
  <c r="K282" i="3" s="1"/>
  <c r="K283" i="3" a="1"/>
  <c r="K283" i="3" s="1"/>
  <c r="K284" i="3" a="1"/>
  <c r="K284" i="3" s="1"/>
  <c r="K285" i="3" a="1"/>
  <c r="K285" i="3" s="1"/>
  <c r="K286" i="3" a="1"/>
  <c r="K286" i="3" s="1"/>
  <c r="K287" i="3" a="1"/>
  <c r="K287" i="3" s="1"/>
  <c r="K288" i="3" a="1"/>
  <c r="K288" i="3" s="1"/>
  <c r="K289" i="3" a="1"/>
  <c r="K289" i="3" s="1"/>
  <c r="K290" i="3" a="1"/>
  <c r="K290" i="3" s="1"/>
  <c r="K291" i="3" a="1"/>
  <c r="K291" i="3" s="1"/>
  <c r="K292" i="3" a="1"/>
  <c r="K292" i="3" s="1"/>
  <c r="K293" i="3" a="1"/>
  <c r="K293" i="3" s="1"/>
  <c r="K294" i="3" a="1"/>
  <c r="K294" i="3" s="1"/>
  <c r="K295" i="3" a="1"/>
  <c r="K295" i="3" s="1"/>
  <c r="K296" i="3" a="1"/>
  <c r="K296" i="3" s="1"/>
  <c r="K297" i="3" a="1"/>
  <c r="K297" i="3" s="1"/>
  <c r="K298" i="3" a="1"/>
  <c r="K298" i="3" s="1"/>
  <c r="K299" i="3" a="1"/>
  <c r="K299" i="3" s="1"/>
  <c r="K300" i="3" a="1"/>
  <c r="K300" i="3" s="1"/>
  <c r="K301" i="3" a="1"/>
  <c r="K301" i="3" s="1"/>
  <c r="K302" i="3" a="1"/>
  <c r="K302" i="3" s="1"/>
  <c r="K303" i="3" a="1"/>
  <c r="K303" i="3" s="1"/>
  <c r="K304" i="3" a="1"/>
  <c r="K304" i="3" s="1"/>
  <c r="K305" i="3" a="1"/>
  <c r="K305" i="3" s="1"/>
  <c r="K306" i="3" a="1"/>
  <c r="K306" i="3" s="1"/>
  <c r="K307" i="3" a="1"/>
  <c r="K307" i="3" s="1"/>
  <c r="K308" i="3" a="1"/>
  <c r="K308" i="3" s="1"/>
  <c r="K309" i="3" a="1"/>
  <c r="K309" i="3" s="1"/>
  <c r="K310" i="3" a="1"/>
  <c r="K310" i="3" s="1"/>
  <c r="K311" i="3" a="1"/>
  <c r="K311" i="3" s="1"/>
  <c r="K312" i="3" a="1"/>
  <c r="K312" i="3" s="1"/>
  <c r="K313" i="3" a="1"/>
  <c r="K313" i="3" s="1"/>
  <c r="K314" i="3" a="1"/>
  <c r="K314" i="3" s="1"/>
  <c r="K315" i="3" a="1"/>
  <c r="K315" i="3" s="1"/>
  <c r="K316" i="3" a="1"/>
  <c r="K316" i="3" s="1"/>
  <c r="K317" i="3" a="1"/>
  <c r="K317" i="3" s="1"/>
  <c r="K318" i="3" a="1"/>
  <c r="K318" i="3" s="1"/>
  <c r="K319" i="3" a="1"/>
  <c r="K319" i="3" s="1"/>
  <c r="K320" i="3" a="1"/>
  <c r="K320" i="3" s="1"/>
  <c r="K321" i="3" a="1"/>
  <c r="K321" i="3" s="1"/>
  <c r="K322" i="3" a="1"/>
  <c r="K322" i="3" s="1"/>
  <c r="K323" i="3" a="1"/>
  <c r="K323" i="3" s="1"/>
  <c r="K324" i="3" a="1"/>
  <c r="K324" i="3" s="1"/>
  <c r="K325" i="3" a="1"/>
  <c r="K325" i="3" s="1"/>
  <c r="K326" i="3" a="1"/>
  <c r="K326" i="3" s="1"/>
  <c r="K327" i="3" a="1"/>
  <c r="K327" i="3" s="1"/>
  <c r="K328" i="3" a="1"/>
  <c r="K328" i="3" s="1"/>
  <c r="K329" i="3" a="1"/>
  <c r="K329" i="3" s="1"/>
  <c r="K330" i="3" a="1"/>
  <c r="K330" i="3" s="1"/>
  <c r="K331" i="3" a="1"/>
  <c r="K331" i="3" s="1"/>
  <c r="K332" i="3" a="1"/>
  <c r="K332" i="3" s="1"/>
  <c r="K333" i="3" a="1"/>
  <c r="K333" i="3" s="1"/>
  <c r="K334" i="3" a="1"/>
  <c r="K334" i="3" s="1"/>
  <c r="K335" i="3" a="1"/>
  <c r="K335" i="3" s="1"/>
  <c r="K336" i="3" a="1"/>
  <c r="K336" i="3" s="1"/>
  <c r="K337" i="3" a="1"/>
  <c r="K337" i="3" s="1"/>
  <c r="K338" i="3" a="1"/>
  <c r="K338" i="3"/>
  <c r="K339" i="3" a="1"/>
  <c r="K339" i="3" s="1"/>
  <c r="K340" i="3" a="1"/>
  <c r="K340" i="3" s="1"/>
  <c r="K341" i="3" a="1"/>
  <c r="K341" i="3" s="1"/>
  <c r="K342" i="3" a="1"/>
  <c r="K342" i="3" s="1"/>
  <c r="K343" i="3" a="1"/>
  <c r="K343" i="3" s="1"/>
  <c r="K344" i="3" a="1"/>
  <c r="K344" i="3" s="1"/>
  <c r="K345" i="3" a="1"/>
  <c r="K345" i="3" s="1"/>
  <c r="K346" i="3" a="1"/>
  <c r="K346" i="3" s="1"/>
  <c r="K347" i="3" a="1"/>
  <c r="K347" i="3" s="1"/>
  <c r="K348" i="3" a="1"/>
  <c r="K348" i="3" s="1"/>
  <c r="K349" i="3" a="1"/>
  <c r="K349" i="3" s="1"/>
  <c r="K350" i="3" a="1"/>
  <c r="K350" i="3" s="1"/>
  <c r="K351" i="3" a="1"/>
  <c r="K351" i="3" s="1"/>
  <c r="K352" i="3" a="1"/>
  <c r="K352" i="3" s="1"/>
  <c r="K353" i="3" a="1"/>
  <c r="K353" i="3" s="1"/>
  <c r="K354" i="3" a="1"/>
  <c r="K354" i="3" s="1"/>
  <c r="K355" i="3" a="1"/>
  <c r="K355" i="3" s="1"/>
  <c r="K356" i="3" a="1"/>
  <c r="K356" i="3" s="1"/>
  <c r="K357" i="3" a="1"/>
  <c r="K357" i="3" s="1"/>
  <c r="K358" i="3" a="1"/>
  <c r="K358" i="3" s="1"/>
  <c r="K359" i="3" a="1"/>
  <c r="K359" i="3" s="1"/>
  <c r="K360" i="3" a="1"/>
  <c r="K360" i="3" s="1"/>
  <c r="K361" i="3" a="1"/>
  <c r="K361" i="3" s="1"/>
  <c r="K362" i="3" a="1"/>
  <c r="K362" i="3" s="1"/>
  <c r="K363" i="3" a="1"/>
  <c r="K363" i="3" s="1"/>
  <c r="K364" i="3" a="1"/>
  <c r="K364" i="3" s="1"/>
  <c r="K365" i="3" a="1"/>
  <c r="K365" i="3" s="1"/>
  <c r="K366" i="3" a="1"/>
  <c r="K366" i="3" s="1"/>
  <c r="K367" i="3" a="1"/>
  <c r="K367" i="3" s="1"/>
  <c r="K368" i="3" a="1"/>
  <c r="K368" i="3" s="1"/>
  <c r="K369" i="3" a="1"/>
  <c r="K369" i="3" s="1"/>
  <c r="K370" i="3" a="1"/>
  <c r="K370" i="3" s="1"/>
  <c r="K371" i="3" a="1"/>
  <c r="K371" i="3" s="1"/>
  <c r="K372" i="3" a="1"/>
  <c r="K372" i="3" s="1"/>
  <c r="K373" i="3" a="1"/>
  <c r="K373" i="3" s="1"/>
  <c r="K374" i="3" a="1"/>
  <c r="K374" i="3" s="1"/>
  <c r="K375" i="3" a="1"/>
  <c r="K375" i="3" s="1"/>
  <c r="K376" i="3" a="1"/>
  <c r="K376" i="3" s="1"/>
  <c r="K377" i="3" a="1"/>
  <c r="K377" i="3" s="1"/>
  <c r="K378" i="3" a="1"/>
  <c r="K378" i="3" s="1"/>
  <c r="K379" i="3" a="1"/>
  <c r="K379" i="3" s="1"/>
  <c r="K380" i="3" a="1"/>
  <c r="K380" i="3" s="1"/>
  <c r="K381" i="3" a="1"/>
  <c r="K381" i="3" s="1"/>
  <c r="K382" i="3" a="1"/>
  <c r="K382" i="3" s="1"/>
  <c r="K383" i="3" a="1"/>
  <c r="K383" i="3" s="1"/>
  <c r="K384" i="3" a="1"/>
  <c r="K384" i="3" s="1"/>
  <c r="K385" i="3" a="1"/>
  <c r="K385" i="3" s="1"/>
  <c r="K386" i="3" a="1"/>
  <c r="K386" i="3" s="1"/>
  <c r="K387" i="3" a="1"/>
  <c r="K387" i="3" s="1"/>
  <c r="K388" i="3" a="1"/>
  <c r="K388" i="3" s="1"/>
  <c r="K389" i="3" a="1"/>
  <c r="K389" i="3" s="1"/>
  <c r="K390" i="3" a="1"/>
  <c r="K390" i="3" s="1"/>
  <c r="K391" i="3" a="1"/>
  <c r="K391" i="3" s="1"/>
  <c r="K392" i="3" a="1"/>
  <c r="K392" i="3" s="1"/>
  <c r="K393" i="3" a="1"/>
  <c r="K393" i="3" s="1"/>
  <c r="K394" i="3" a="1"/>
  <c r="K394" i="3" s="1"/>
  <c r="K395" i="3" a="1"/>
  <c r="K395" i="3" s="1"/>
  <c r="K396" i="3" a="1"/>
  <c r="K396" i="3" s="1"/>
  <c r="K397" i="3" a="1"/>
  <c r="K397" i="3" s="1"/>
  <c r="K398" i="3" a="1"/>
  <c r="K398" i="3" s="1"/>
  <c r="K399" i="3" a="1"/>
  <c r="K399" i="3" s="1"/>
  <c r="K400" i="3" a="1"/>
  <c r="K400" i="3" s="1"/>
  <c r="K401" i="3" a="1"/>
  <c r="K401" i="3" s="1"/>
  <c r="K402" i="3" a="1"/>
  <c r="K402" i="3" s="1"/>
  <c r="K403" i="3" a="1"/>
  <c r="K403" i="3" s="1"/>
  <c r="K404" i="3" a="1"/>
  <c r="K404" i="3" s="1"/>
  <c r="K405" i="3" a="1"/>
  <c r="K405" i="3" s="1"/>
  <c r="K406" i="3" a="1"/>
  <c r="K406" i="3" s="1"/>
  <c r="K407" i="3" a="1"/>
  <c r="K407" i="3" s="1"/>
  <c r="K408" i="3" a="1"/>
  <c r="K408" i="3" s="1"/>
  <c r="K409" i="3" a="1"/>
  <c r="K409" i="3" s="1"/>
  <c r="K410" i="3" a="1"/>
  <c r="K410" i="3"/>
  <c r="K411" i="3" a="1"/>
  <c r="K411" i="3" s="1"/>
  <c r="K412" i="3" a="1"/>
  <c r="K412" i="3" s="1"/>
  <c r="K413" i="3" a="1"/>
  <c r="K413" i="3" s="1"/>
  <c r="K414" i="3" a="1"/>
  <c r="K414" i="3" s="1"/>
  <c r="K415" i="3" a="1"/>
  <c r="K415" i="3" s="1"/>
  <c r="K416" i="3" a="1"/>
  <c r="K416" i="3" s="1"/>
  <c r="K417" i="3" a="1"/>
  <c r="K417" i="3" s="1"/>
  <c r="K418" i="3" a="1"/>
  <c r="K418" i="3" s="1"/>
  <c r="K419" i="3" a="1"/>
  <c r="K419" i="3" s="1"/>
  <c r="K420" i="3" a="1"/>
  <c r="K420" i="3" s="1"/>
  <c r="K421" i="3" a="1"/>
  <c r="K421" i="3" s="1"/>
  <c r="K422" i="3" a="1"/>
  <c r="K422" i="3" s="1"/>
  <c r="K423" i="3" a="1"/>
  <c r="K423" i="3" s="1"/>
  <c r="K424" i="3" a="1"/>
  <c r="K424" i="3" s="1"/>
  <c r="K425" i="3" a="1"/>
  <c r="K425" i="3" s="1"/>
  <c r="K426" i="3" a="1"/>
  <c r="K426" i="3" s="1"/>
  <c r="K427" i="3" a="1"/>
  <c r="K427" i="3" s="1"/>
  <c r="K428" i="3" a="1"/>
  <c r="K428" i="3" s="1"/>
  <c r="K429" i="3" a="1"/>
  <c r="K429" i="3" s="1"/>
  <c r="K430" i="3" a="1"/>
  <c r="K430" i="3" s="1"/>
  <c r="K431" i="3" a="1"/>
  <c r="K431" i="3" s="1"/>
  <c r="K432" i="3" a="1"/>
  <c r="K432" i="3"/>
  <c r="K433" i="3" a="1"/>
  <c r="K433" i="3" s="1"/>
  <c r="K434" i="3" a="1"/>
  <c r="K434" i="3" s="1"/>
  <c r="K435" i="3" a="1"/>
  <c r="K435" i="3" s="1"/>
  <c r="K436" i="3" a="1"/>
  <c r="K436" i="3" s="1"/>
  <c r="K437" i="3" a="1"/>
  <c r="K437" i="3" s="1"/>
  <c r="K438" i="3" a="1"/>
  <c r="K438" i="3" s="1"/>
  <c r="K439" i="3" a="1"/>
  <c r="K439" i="3" s="1"/>
  <c r="K440" i="3" a="1"/>
  <c r="K440" i="3" s="1"/>
  <c r="K441" i="3" a="1"/>
  <c r="K441" i="3"/>
  <c r="K442" i="3" a="1"/>
  <c r="K442" i="3" s="1"/>
  <c r="K443" i="3" a="1"/>
  <c r="K443" i="3" s="1"/>
  <c r="K444" i="3" a="1"/>
  <c r="K444" i="3" s="1"/>
  <c r="K445" i="3" a="1"/>
  <c r="K445" i="3" s="1"/>
  <c r="K446" i="3" a="1"/>
  <c r="K446" i="3" s="1"/>
  <c r="K447" i="3" a="1"/>
  <c r="K447" i="3" s="1"/>
  <c r="K448" i="3" a="1"/>
  <c r="K448" i="3" s="1"/>
  <c r="K449" i="3" a="1"/>
  <c r="K449" i="3" s="1"/>
  <c r="K450" i="3" a="1"/>
  <c r="K450" i="3" s="1"/>
  <c r="K451" i="3" a="1"/>
  <c r="K451" i="3" s="1"/>
  <c r="K452" i="3" a="1"/>
  <c r="K452" i="3" s="1"/>
  <c r="K453" i="3" a="1"/>
  <c r="K453" i="3" s="1"/>
  <c r="K454" i="3" a="1"/>
  <c r="K454" i="3" s="1"/>
  <c r="K455" i="3" a="1"/>
  <c r="K455" i="3" s="1"/>
  <c r="K456" i="3" a="1"/>
  <c r="K456" i="3" s="1"/>
  <c r="K457" i="3" a="1"/>
  <c r="K457" i="3" s="1"/>
  <c r="K458" i="3" a="1"/>
  <c r="K458" i="3" s="1"/>
  <c r="K459" i="3" a="1"/>
  <c r="K459" i="3" s="1"/>
  <c r="K460" i="3" a="1"/>
  <c r="K460" i="3" s="1"/>
  <c r="K461" i="3" a="1"/>
  <c r="K461" i="3" s="1"/>
  <c r="K462" i="3" a="1"/>
  <c r="K462" i="3" s="1"/>
  <c r="K463" i="3" a="1"/>
  <c r="K463" i="3" s="1"/>
  <c r="K464" i="3" a="1"/>
  <c r="K464" i="3" s="1"/>
  <c r="K465" i="3" a="1"/>
  <c r="K465" i="3" s="1"/>
  <c r="K466" i="3" a="1"/>
  <c r="K466" i="3" s="1"/>
  <c r="K467" i="3" a="1"/>
  <c r="K467" i="3" s="1"/>
  <c r="K468" i="3" a="1"/>
  <c r="K468" i="3" s="1"/>
  <c r="K469" i="3" a="1"/>
  <c r="K469" i="3" s="1"/>
  <c r="K470" i="3" a="1"/>
  <c r="K470" i="3" s="1"/>
  <c r="K471" i="3" a="1"/>
  <c r="K471" i="3" s="1"/>
  <c r="K472" i="3" a="1"/>
  <c r="K472" i="3" s="1"/>
  <c r="K473" i="3" a="1"/>
  <c r="K473" i="3" s="1"/>
  <c r="K474" i="3" a="1"/>
  <c r="K474" i="3" s="1"/>
  <c r="K475" i="3" a="1"/>
  <c r="K475" i="3" s="1"/>
  <c r="K476" i="3" a="1"/>
  <c r="K476" i="3" s="1"/>
  <c r="K477" i="3" a="1"/>
  <c r="K477" i="3" s="1"/>
  <c r="K478" i="3" a="1"/>
  <c r="K478" i="3" s="1"/>
  <c r="K479" i="3" a="1"/>
  <c r="K479" i="3" s="1"/>
  <c r="K480" i="3" a="1"/>
  <c r="K480" i="3" s="1"/>
  <c r="K481" i="3" a="1"/>
  <c r="K481" i="3" s="1"/>
  <c r="K482" i="3" a="1"/>
  <c r="K482" i="3" s="1"/>
  <c r="K483" i="3" a="1"/>
  <c r="K483" i="3" s="1"/>
  <c r="K484" i="3" a="1"/>
  <c r="K484" i="3" s="1"/>
  <c r="K485" i="3" a="1"/>
  <c r="K485" i="3" s="1"/>
  <c r="K486" i="3" a="1"/>
  <c r="K486" i="3" s="1"/>
  <c r="K487" i="3" a="1"/>
  <c r="K487" i="3" s="1"/>
  <c r="K488" i="3" a="1"/>
  <c r="K488" i="3"/>
  <c r="K489" i="3" a="1"/>
  <c r="K489" i="3" s="1"/>
  <c r="K490" i="3" a="1"/>
  <c r="K490" i="3" s="1"/>
  <c r="K491" i="3" a="1"/>
  <c r="K491" i="3" s="1"/>
  <c r="K492" i="3" a="1"/>
  <c r="K492" i="3" s="1"/>
  <c r="K493" i="3" a="1"/>
  <c r="K493" i="3" s="1"/>
  <c r="K494" i="3" a="1"/>
  <c r="K494" i="3" s="1"/>
  <c r="K495" i="3" a="1"/>
  <c r="K495" i="3" s="1"/>
  <c r="K496" i="3" a="1"/>
  <c r="K496" i="3" s="1"/>
  <c r="K497" i="3" a="1"/>
  <c r="K497" i="3" s="1"/>
  <c r="K498" i="3" a="1"/>
  <c r="K498" i="3" s="1"/>
  <c r="K499" i="3" a="1"/>
  <c r="K499" i="3" s="1"/>
  <c r="K500" i="3" a="1"/>
  <c r="K500" i="3" s="1"/>
  <c r="K501" i="3" a="1"/>
  <c r="K501" i="3" s="1"/>
  <c r="K502" i="3" a="1"/>
  <c r="K502" i="3" s="1"/>
  <c r="K503" i="3" a="1"/>
  <c r="K503" i="3" s="1"/>
  <c r="K504" i="3" a="1"/>
  <c r="K504" i="3" s="1"/>
  <c r="K505" i="3" a="1"/>
  <c r="K505" i="3" s="1"/>
  <c r="K506" i="3" a="1"/>
  <c r="K506" i="3" s="1"/>
  <c r="K507" i="3" a="1"/>
  <c r="K507" i="3" s="1"/>
  <c r="K508" i="3" a="1"/>
  <c r="K508" i="3" s="1"/>
  <c r="K509" i="3" a="1"/>
  <c r="K509" i="3" s="1"/>
  <c r="K510" i="3" a="1"/>
  <c r="K510" i="3" s="1"/>
  <c r="K511" i="3" a="1"/>
  <c r="K511" i="3" s="1"/>
  <c r="K512" i="3" a="1"/>
  <c r="K512" i="3" s="1"/>
  <c r="K513" i="3" a="1"/>
  <c r="K513" i="3" s="1"/>
  <c r="K514" i="3" a="1"/>
  <c r="K514" i="3" s="1"/>
  <c r="K515" i="3" a="1"/>
  <c r="K515" i="3" s="1"/>
  <c r="K516" i="3" a="1"/>
  <c r="K516" i="3" s="1"/>
  <c r="K517" i="3" a="1"/>
  <c r="K517" i="3" s="1"/>
  <c r="K518" i="3" a="1"/>
  <c r="K518" i="3" s="1"/>
  <c r="K519" i="3" a="1"/>
  <c r="K519" i="3" s="1"/>
  <c r="K520" i="3" a="1"/>
  <c r="K520" i="3" s="1"/>
  <c r="K521" i="3" a="1"/>
  <c r="K521" i="3" s="1"/>
  <c r="K522" i="3" a="1"/>
  <c r="K522" i="3" s="1"/>
  <c r="K523" i="3" a="1"/>
  <c r="K523" i="3" s="1"/>
  <c r="K524" i="3" a="1"/>
  <c r="K524" i="3" s="1"/>
  <c r="K525" i="3" a="1"/>
  <c r="K525" i="3" s="1"/>
  <c r="K526" i="3" a="1"/>
  <c r="K526" i="3" s="1"/>
  <c r="K527" i="3" a="1"/>
  <c r="K527" i="3" s="1"/>
  <c r="K528" i="3" a="1"/>
  <c r="K528" i="3" s="1"/>
  <c r="K529" i="3" a="1"/>
  <c r="K529" i="3" s="1"/>
  <c r="K530" i="3" a="1"/>
  <c r="K530" i="3" s="1"/>
  <c r="K531" i="3" a="1"/>
  <c r="K531" i="3" s="1"/>
  <c r="K532" i="3" a="1"/>
  <c r="K532" i="3" s="1"/>
  <c r="K533" i="3" a="1"/>
  <c r="K533" i="3" s="1"/>
  <c r="K534" i="3" a="1"/>
  <c r="K534" i="3" s="1"/>
  <c r="K535" i="3" a="1"/>
  <c r="K535" i="3" s="1"/>
  <c r="K536" i="3" a="1"/>
  <c r="K536" i="3" s="1"/>
  <c r="K537" i="3" a="1"/>
  <c r="K537" i="3" s="1"/>
  <c r="K538" i="3" a="1"/>
  <c r="K538" i="3" s="1"/>
  <c r="K539" i="3" a="1"/>
  <c r="K539" i="3" s="1"/>
  <c r="K540" i="3" a="1"/>
  <c r="K540" i="3" s="1"/>
  <c r="K541" i="3" a="1"/>
  <c r="K541" i="3" s="1"/>
  <c r="K542" i="3" a="1"/>
  <c r="K542" i="3" s="1"/>
  <c r="K543" i="3" a="1"/>
  <c r="K543" i="3" s="1"/>
  <c r="K544" i="3" a="1"/>
  <c r="K544" i="3" s="1"/>
  <c r="K545" i="3" a="1"/>
  <c r="K545" i="3" s="1"/>
  <c r="K546" i="3" a="1"/>
  <c r="K546" i="3" s="1"/>
  <c r="K547" i="3" a="1"/>
  <c r="K547" i="3" s="1"/>
  <c r="K548" i="3" a="1"/>
  <c r="K548" i="3"/>
  <c r="K549" i="3" a="1"/>
  <c r="K549" i="3" s="1"/>
  <c r="K550" i="3" a="1"/>
  <c r="K550" i="3" s="1"/>
  <c r="K551" i="3" a="1"/>
  <c r="K551" i="3" s="1"/>
  <c r="K552" i="3" a="1"/>
  <c r="K552" i="3" s="1"/>
  <c r="K553" i="3" a="1"/>
  <c r="K553" i="3" s="1"/>
  <c r="K554" i="3" a="1"/>
  <c r="K554" i="3" s="1"/>
  <c r="K555" i="3" a="1"/>
  <c r="K555" i="3" s="1"/>
  <c r="K556" i="3" a="1"/>
  <c r="K556" i="3" s="1"/>
  <c r="K557" i="3" a="1"/>
  <c r="K557" i="3" s="1"/>
  <c r="K558" i="3" a="1"/>
  <c r="K558" i="3" s="1"/>
  <c r="K559" i="3" a="1"/>
  <c r="K559" i="3" s="1"/>
  <c r="K560" i="3" a="1"/>
  <c r="K560" i="3" s="1"/>
  <c r="K561" i="3" a="1"/>
  <c r="K561" i="3" s="1"/>
  <c r="K562" i="3" a="1"/>
  <c r="K562" i="3" s="1"/>
  <c r="K563" i="3" a="1"/>
  <c r="K563" i="3" s="1"/>
  <c r="K564" i="3" a="1"/>
  <c r="K564" i="3" s="1"/>
  <c r="K565" i="3" a="1"/>
  <c r="K565" i="3" s="1"/>
  <c r="K566" i="3" a="1"/>
  <c r="K566" i="3" s="1"/>
  <c r="K567" i="3" a="1"/>
  <c r="K567" i="3" s="1"/>
  <c r="K568" i="3" a="1"/>
  <c r="K568" i="3" s="1"/>
  <c r="K569" i="3" a="1"/>
  <c r="K569" i="3" s="1"/>
  <c r="K570" i="3" a="1"/>
  <c r="K570" i="3" s="1"/>
  <c r="K571" i="3" a="1"/>
  <c r="K571" i="3" s="1"/>
  <c r="K572" i="3" a="1"/>
  <c r="K572" i="3" s="1"/>
  <c r="K573" i="3" a="1"/>
  <c r="K573" i="3" s="1"/>
  <c r="K574" i="3" a="1"/>
  <c r="K574" i="3" s="1"/>
  <c r="K575" i="3" a="1"/>
  <c r="K575" i="3" s="1"/>
  <c r="K576" i="3" a="1"/>
  <c r="K576" i="3" s="1"/>
  <c r="K577" i="3" a="1"/>
  <c r="K577" i="3" s="1"/>
  <c r="K578" i="3" a="1"/>
  <c r="K578" i="3" s="1"/>
  <c r="K579" i="3" a="1"/>
  <c r="K579" i="3" s="1"/>
  <c r="K580" i="3" a="1"/>
  <c r="K580" i="3" s="1"/>
  <c r="K581" i="3" a="1"/>
  <c r="K581" i="3" s="1"/>
  <c r="K582" i="3" a="1"/>
  <c r="K582" i="3" s="1"/>
  <c r="K583" i="3" a="1"/>
  <c r="K583" i="3" s="1"/>
  <c r="K584" i="3" a="1"/>
  <c r="K584" i="3" s="1"/>
  <c r="K585" i="3" a="1"/>
  <c r="K585" i="3" s="1"/>
  <c r="K586" i="3" a="1"/>
  <c r="K586" i="3" s="1"/>
  <c r="K587" i="3" a="1"/>
  <c r="K587" i="3" s="1"/>
  <c r="K588" i="3" a="1"/>
  <c r="K588" i="3" s="1"/>
  <c r="K589" i="3" a="1"/>
  <c r="K589" i="3" s="1"/>
  <c r="K590" i="3" a="1"/>
  <c r="K590" i="3" s="1"/>
  <c r="K591" i="3" a="1"/>
  <c r="K591" i="3" s="1"/>
  <c r="K592" i="3" a="1"/>
  <c r="K592" i="3" s="1"/>
  <c r="K593" i="3" a="1"/>
  <c r="K593" i="3" s="1"/>
  <c r="K594" i="3" a="1"/>
  <c r="K594" i="3"/>
  <c r="K595" i="3" a="1"/>
  <c r="K595" i="3" s="1"/>
  <c r="K596" i="3" a="1"/>
  <c r="K596" i="3" s="1"/>
  <c r="K597" i="3" a="1"/>
  <c r="K597" i="3" s="1"/>
  <c r="K598" i="3" a="1"/>
  <c r="K598" i="3" s="1"/>
  <c r="K599" i="3" a="1"/>
  <c r="K599" i="3" s="1"/>
  <c r="K600" i="3" a="1"/>
  <c r="K600" i="3" s="1"/>
  <c r="K601" i="3" a="1"/>
  <c r="K601" i="3" s="1"/>
  <c r="K602" i="3" a="1"/>
  <c r="K602" i="3" s="1"/>
  <c r="K603" i="3" a="1"/>
  <c r="K603" i="3" s="1"/>
  <c r="K604" i="3" a="1"/>
  <c r="K604" i="3" s="1"/>
  <c r="K605" i="3" a="1"/>
  <c r="K605" i="3" s="1"/>
  <c r="K606" i="3" a="1"/>
  <c r="K606" i="3" s="1"/>
  <c r="K607" i="3" a="1"/>
  <c r="K607" i="3" s="1"/>
  <c r="K608" i="3" a="1"/>
  <c r="K608" i="3" s="1"/>
  <c r="K609" i="3" a="1"/>
  <c r="K609" i="3"/>
  <c r="K610" i="3" a="1"/>
  <c r="K610" i="3" s="1"/>
  <c r="K611" i="3" a="1"/>
  <c r="K611" i="3" s="1"/>
  <c r="K612" i="3" a="1"/>
  <c r="K612" i="3" s="1"/>
  <c r="K613" i="3" a="1"/>
  <c r="K613" i="3" s="1"/>
  <c r="K614" i="3" a="1"/>
  <c r="K614" i="3" s="1"/>
  <c r="K615" i="3" a="1"/>
  <c r="K615" i="3" s="1"/>
  <c r="K616" i="3" a="1"/>
  <c r="K616" i="3" s="1"/>
  <c r="K617" i="3" a="1"/>
  <c r="K617" i="3" s="1"/>
  <c r="K618" i="3" a="1"/>
  <c r="K618" i="3" s="1"/>
  <c r="K619" i="3" a="1"/>
  <c r="K619" i="3" s="1"/>
  <c r="K620" i="3" a="1"/>
  <c r="K620" i="3" s="1"/>
  <c r="K621" i="3" a="1"/>
  <c r="K621" i="3" s="1"/>
  <c r="K622" i="3" a="1"/>
  <c r="K622" i="3" s="1"/>
  <c r="K623" i="3" a="1"/>
  <c r="K623" i="3" s="1"/>
  <c r="K624" i="3" a="1"/>
  <c r="K624" i="3" s="1"/>
  <c r="K625" i="3" a="1"/>
  <c r="K625" i="3" s="1"/>
  <c r="K626" i="3" a="1"/>
  <c r="K626" i="3" s="1"/>
  <c r="K627" i="3" a="1"/>
  <c r="K627" i="3" s="1"/>
  <c r="K628" i="3" a="1"/>
  <c r="K628" i="3" s="1"/>
  <c r="K629" i="3" a="1"/>
  <c r="K629" i="3" s="1"/>
  <c r="K630" i="3" a="1"/>
  <c r="K630" i="3" s="1"/>
  <c r="K631" i="3" a="1"/>
  <c r="K631" i="3" s="1"/>
  <c r="K632" i="3" a="1"/>
  <c r="K632" i="3" s="1"/>
  <c r="K633" i="3" a="1"/>
  <c r="K633" i="3" s="1"/>
  <c r="K634" i="3" a="1"/>
  <c r="K634" i="3" s="1"/>
  <c r="K635" i="3" a="1"/>
  <c r="K635" i="3" s="1"/>
  <c r="K636" i="3" a="1"/>
  <c r="K636" i="3" s="1"/>
  <c r="K637" i="3" a="1"/>
  <c r="K637" i="3" s="1"/>
  <c r="K638" i="3" a="1"/>
  <c r="K638" i="3" s="1"/>
  <c r="K639" i="3" a="1"/>
  <c r="K639" i="3" s="1"/>
  <c r="K640" i="3" a="1"/>
  <c r="K640" i="3" s="1"/>
  <c r="K641" i="3" a="1"/>
  <c r="K641" i="3" s="1"/>
  <c r="K642" i="3" a="1"/>
  <c r="K642" i="3" s="1"/>
  <c r="K643" i="3" a="1"/>
  <c r="K643" i="3" s="1"/>
  <c r="K644" i="3" a="1"/>
  <c r="K644" i="3" s="1"/>
  <c r="K645" i="3" a="1"/>
  <c r="K645" i="3" s="1"/>
  <c r="K646" i="3" a="1"/>
  <c r="K646" i="3" s="1"/>
  <c r="K647" i="3" a="1"/>
  <c r="K647" i="3" s="1"/>
  <c r="K648" i="3" a="1"/>
  <c r="K648" i="3" s="1"/>
  <c r="K649" i="3" a="1"/>
  <c r="K649" i="3" s="1"/>
  <c r="K650" i="3" a="1"/>
  <c r="K650" i="3" s="1"/>
  <c r="K651" i="3" a="1"/>
  <c r="K651" i="3" s="1"/>
  <c r="K652" i="3" a="1"/>
  <c r="K652" i="3" s="1"/>
  <c r="K653" i="3" a="1"/>
  <c r="K653" i="3" s="1"/>
  <c r="K654" i="3" a="1"/>
  <c r="K654" i="3" s="1"/>
  <c r="K655" i="3" a="1"/>
  <c r="K655" i="3" s="1"/>
  <c r="K656" i="3" a="1"/>
  <c r="K656" i="3" s="1"/>
  <c r="K657" i="3" a="1"/>
  <c r="K657" i="3" s="1"/>
  <c r="K658" i="3" a="1"/>
  <c r="K658" i="3" s="1"/>
  <c r="K659" i="3" a="1"/>
  <c r="K659" i="3" s="1"/>
  <c r="K660" i="3" a="1"/>
  <c r="K660" i="3" s="1"/>
  <c r="K661" i="3" a="1"/>
  <c r="K661" i="3" s="1"/>
  <c r="K662" i="3" a="1"/>
  <c r="K662" i="3" s="1"/>
  <c r="K663" i="3" a="1"/>
  <c r="K663" i="3" s="1"/>
  <c r="K664" i="3" a="1"/>
  <c r="K664" i="3" s="1"/>
  <c r="K665" i="3" a="1"/>
  <c r="K665" i="3" s="1"/>
  <c r="K666" i="3" a="1"/>
  <c r="K666" i="3" s="1"/>
  <c r="K667" i="3" a="1"/>
  <c r="K667" i="3" s="1"/>
  <c r="K668" i="3" a="1"/>
  <c r="K668" i="3" s="1"/>
  <c r="K669" i="3" a="1"/>
  <c r="K669" i="3" s="1"/>
  <c r="K670" i="3" a="1"/>
  <c r="K670" i="3" s="1"/>
  <c r="K671" i="3" a="1"/>
  <c r="K671" i="3" s="1"/>
  <c r="K672" i="3" a="1"/>
  <c r="K672" i="3" s="1"/>
  <c r="K673" i="3" a="1"/>
  <c r="K673" i="3" s="1"/>
  <c r="K674" i="3" a="1"/>
  <c r="K674" i="3" s="1"/>
  <c r="K675" i="3" a="1"/>
  <c r="K675" i="3" s="1"/>
  <c r="K676" i="3" a="1"/>
  <c r="K676" i="3" s="1"/>
  <c r="K677" i="3" a="1"/>
  <c r="K677" i="3" s="1"/>
  <c r="K678" i="3" a="1"/>
  <c r="K678" i="3" s="1"/>
  <c r="K679" i="3" a="1"/>
  <c r="K679" i="3" s="1"/>
  <c r="K680" i="3" a="1"/>
  <c r="K680" i="3" s="1"/>
  <c r="K681" i="3" a="1"/>
  <c r="K681" i="3" s="1"/>
  <c r="K682" i="3" a="1"/>
  <c r="K682" i="3" s="1"/>
  <c r="K683" i="3" a="1"/>
  <c r="K683" i="3" s="1"/>
  <c r="K684" i="3" a="1"/>
  <c r="K684" i="3" s="1"/>
  <c r="K685" i="3" a="1"/>
  <c r="K685" i="3" s="1"/>
  <c r="K686" i="3" a="1"/>
  <c r="K686" i="3" s="1"/>
  <c r="K687" i="3" a="1"/>
  <c r="K687" i="3" s="1"/>
  <c r="K688" i="3" a="1"/>
  <c r="K688" i="3" s="1"/>
  <c r="K689" i="3" a="1"/>
  <c r="K689" i="3" s="1"/>
  <c r="K690" i="3" a="1"/>
  <c r="K690" i="3" s="1"/>
  <c r="K691" i="3" a="1"/>
  <c r="K691" i="3" s="1"/>
  <c r="K692" i="3" a="1"/>
  <c r="K692" i="3" s="1"/>
  <c r="K693" i="3" a="1"/>
  <c r="K693" i="3" s="1"/>
  <c r="K694" i="3" a="1"/>
  <c r="K694" i="3" s="1"/>
  <c r="K695" i="3" a="1"/>
  <c r="K695" i="3" s="1"/>
  <c r="K696" i="3" a="1"/>
  <c r="K696" i="3" s="1"/>
  <c r="K697" i="3" a="1"/>
  <c r="K697" i="3" s="1"/>
  <c r="K698" i="3" a="1"/>
  <c r="K698" i="3" s="1"/>
  <c r="K699" i="3" a="1"/>
  <c r="K699" i="3" s="1"/>
  <c r="K700" i="3" a="1"/>
  <c r="K700" i="3" s="1"/>
  <c r="K701" i="3" a="1"/>
  <c r="K701" i="3" s="1"/>
  <c r="K702" i="3" a="1"/>
  <c r="K702" i="3" s="1"/>
  <c r="K703" i="3" a="1"/>
  <c r="K703" i="3" s="1"/>
  <c r="K704" i="3" a="1"/>
  <c r="K704" i="3"/>
  <c r="K705" i="3" a="1"/>
  <c r="K705" i="3" s="1"/>
  <c r="K706" i="3" a="1"/>
  <c r="K706" i="3" s="1"/>
  <c r="K707" i="3" a="1"/>
  <c r="K707" i="3" s="1"/>
  <c r="K708" i="3" a="1"/>
  <c r="K708" i="3" s="1"/>
  <c r="K709" i="3" a="1"/>
  <c r="K709" i="3" s="1"/>
  <c r="K710" i="3" a="1"/>
  <c r="K710" i="3" s="1"/>
  <c r="K711" i="3" a="1"/>
  <c r="K711" i="3" s="1"/>
  <c r="K712" i="3" a="1"/>
  <c r="K712" i="3" s="1"/>
  <c r="K713" i="3" a="1"/>
  <c r="K713" i="3" s="1"/>
  <c r="K714" i="3" a="1"/>
  <c r="K714" i="3" s="1"/>
  <c r="K715" i="3" a="1"/>
  <c r="K715" i="3" s="1"/>
  <c r="K716" i="3" a="1"/>
  <c r="K716" i="3" s="1"/>
  <c r="K717" i="3" a="1"/>
  <c r="K717" i="3" s="1"/>
  <c r="K718" i="3" a="1"/>
  <c r="K718" i="3" s="1"/>
  <c r="K719" i="3" a="1"/>
  <c r="K719" i="3" s="1"/>
  <c r="K720" i="3" a="1"/>
  <c r="K720" i="3" s="1"/>
  <c r="K721" i="3" a="1"/>
  <c r="K721" i="3" s="1"/>
  <c r="K722" i="3" a="1"/>
  <c r="K722" i="3" s="1"/>
  <c r="K149" i="3" a="1"/>
  <c r="K149" i="3" s="1"/>
  <c r="K150" i="3" a="1"/>
  <c r="K150" i="3" s="1"/>
  <c r="K151" i="3" a="1"/>
  <c r="K151" i="3" s="1"/>
  <c r="K152" i="3" a="1"/>
  <c r="K152" i="3" s="1"/>
  <c r="K143" i="3" a="1"/>
  <c r="K143" i="3" s="1"/>
  <c r="K144" i="3" a="1"/>
  <c r="K144" i="3" s="1"/>
  <c r="K145" i="3" a="1"/>
  <c r="K145" i="3" s="1"/>
  <c r="K146" i="3" a="1"/>
  <c r="K146" i="3" s="1"/>
  <c r="K147" i="3" a="1"/>
  <c r="K147" i="3" s="1"/>
  <c r="K148" i="3" a="1"/>
  <c r="K148" i="3" s="1"/>
  <c r="K137" i="3" a="1"/>
  <c r="K137" i="3" s="1"/>
  <c r="K138" i="3" a="1"/>
  <c r="K138" i="3" s="1"/>
  <c r="K139" i="3" a="1"/>
  <c r="K139" i="3" s="1"/>
  <c r="K140" i="3" a="1"/>
  <c r="K140" i="3" s="1"/>
  <c r="K141" i="3" a="1"/>
  <c r="K141" i="3" s="1"/>
  <c r="K142" i="3" a="1"/>
  <c r="K142" i="3" s="1"/>
  <c r="K135" i="3" a="1"/>
  <c r="K135" i="3" s="1"/>
  <c r="K136" i="3" a="1"/>
  <c r="K136" i="3" s="1"/>
  <c r="K131" i="3" a="1"/>
  <c r="K131" i="3" s="1"/>
  <c r="K132" i="3" a="1"/>
  <c r="K132" i="3" s="1"/>
  <c r="K133" i="3" a="1"/>
  <c r="K133" i="3" s="1"/>
  <c r="K134" i="3" a="1"/>
  <c r="K134" i="3" s="1"/>
  <c r="K126" i="3" a="1"/>
  <c r="K126" i="3" s="1"/>
  <c r="K127" i="3" a="1"/>
  <c r="K127" i="3" s="1"/>
  <c r="K128" i="3" a="1"/>
  <c r="K128" i="3" s="1"/>
  <c r="K129" i="3" a="1"/>
  <c r="K129" i="3" s="1"/>
  <c r="K130" i="3" a="1"/>
  <c r="K130" i="3" s="1"/>
  <c r="K123" i="3" a="1"/>
  <c r="K123" i="3" s="1"/>
  <c r="K124" i="3" a="1"/>
  <c r="K124" i="3" s="1"/>
  <c r="K125" i="3" a="1"/>
  <c r="K125" i="3" s="1"/>
  <c r="K120" i="3" a="1"/>
  <c r="K120" i="3" s="1"/>
  <c r="K121" i="3" a="1"/>
  <c r="K121" i="3" s="1"/>
  <c r="K122" i="3" a="1"/>
  <c r="K122" i="3" s="1"/>
  <c r="K117" i="3" a="1"/>
  <c r="K117" i="3" s="1"/>
  <c r="K118" i="3" a="1"/>
  <c r="K118" i="3" s="1"/>
  <c r="K119" i="3" a="1"/>
  <c r="K119" i="3" s="1"/>
  <c r="K110" i="3" a="1"/>
  <c r="K110" i="3" s="1"/>
  <c r="K111" i="3" a="1"/>
  <c r="K111" i="3" s="1"/>
  <c r="K112" i="3" a="1"/>
  <c r="K112" i="3" s="1"/>
  <c r="K113" i="3" a="1"/>
  <c r="K113" i="3" s="1"/>
  <c r="K114" i="3" a="1"/>
  <c r="K114" i="3" s="1"/>
  <c r="K115" i="3" a="1"/>
  <c r="K115" i="3" s="1"/>
  <c r="K116" i="3" a="1"/>
  <c r="K116" i="3" s="1"/>
  <c r="K107" i="3" a="1"/>
  <c r="K107" i="3" s="1"/>
  <c r="K108" i="3" a="1"/>
  <c r="K108" i="3" s="1"/>
  <c r="K109" i="3" a="1"/>
  <c r="K109" i="3" s="1"/>
  <c r="K104" i="3" a="1"/>
  <c r="K104" i="3" s="1"/>
  <c r="K105" i="3" a="1"/>
  <c r="K105" i="3" s="1"/>
  <c r="K106" i="3" a="1"/>
  <c r="K106" i="3" s="1"/>
  <c r="K103" i="3" a="1"/>
  <c r="K103" i="3" s="1"/>
  <c r="K99" i="3" a="1"/>
  <c r="K99" i="3" s="1"/>
  <c r="K100" i="3" a="1"/>
  <c r="K100" i="3" s="1"/>
  <c r="K101" i="3" a="1"/>
  <c r="K101" i="3" s="1"/>
  <c r="K102" i="3" a="1"/>
  <c r="K102" i="3" s="1"/>
  <c r="K95" i="3" a="1"/>
  <c r="K95" i="3" s="1"/>
  <c r="K96" i="3" a="1"/>
  <c r="K96" i="3" s="1"/>
  <c r="K97" i="3" a="1"/>
  <c r="K97" i="3" s="1"/>
  <c r="K98" i="3" a="1"/>
  <c r="K98" i="3" s="1"/>
  <c r="K91" i="3" a="1"/>
  <c r="K91" i="3" s="1"/>
  <c r="K92" i="3" a="1"/>
  <c r="K92" i="3" s="1"/>
  <c r="K93" i="3" a="1"/>
  <c r="K93" i="3" s="1"/>
  <c r="K94" i="3" a="1"/>
  <c r="K94" i="3" s="1"/>
  <c r="K88" i="3" a="1"/>
  <c r="K88" i="3" s="1"/>
  <c r="K89" i="3" a="1"/>
  <c r="K89" i="3" s="1"/>
  <c r="K90" i="3" a="1"/>
  <c r="K90" i="3" s="1"/>
  <c r="K84" i="3" a="1"/>
  <c r="K84" i="3" s="1"/>
  <c r="K85" i="3" a="1"/>
  <c r="K85" i="3" s="1"/>
  <c r="K86" i="3" a="1"/>
  <c r="K86" i="3" s="1"/>
  <c r="K87" i="3" a="1"/>
  <c r="K87" i="3" s="1"/>
  <c r="K74" i="3" a="1"/>
  <c r="K74" i="3" s="1"/>
  <c r="K75" i="3" a="1"/>
  <c r="K75" i="3" s="1"/>
  <c r="K76" i="3" a="1"/>
  <c r="K76" i="3" s="1"/>
  <c r="K77" i="3" a="1"/>
  <c r="K77" i="3" s="1"/>
  <c r="K78" i="3" a="1"/>
  <c r="K78" i="3" s="1"/>
  <c r="K79" i="3" a="1"/>
  <c r="K79" i="3" s="1"/>
  <c r="K80" i="3" a="1"/>
  <c r="K80" i="3" s="1"/>
  <c r="K81" i="3" a="1"/>
  <c r="K81" i="3" s="1"/>
  <c r="K82" i="3" a="1"/>
  <c r="K82" i="3" s="1"/>
  <c r="K83" i="3" a="1"/>
  <c r="K83" i="3"/>
  <c r="K71" i="3" a="1"/>
  <c r="K71" i="3" s="1"/>
  <c r="K72" i="3" a="1"/>
  <c r="K72" i="3" s="1"/>
  <c r="K73" i="3" a="1"/>
  <c r="K73" i="3" s="1"/>
  <c r="K63" i="3" a="1"/>
  <c r="K63" i="3" s="1"/>
  <c r="K64" i="3" a="1"/>
  <c r="K64" i="3" s="1"/>
  <c r="K65" i="3" a="1"/>
  <c r="K65" i="3" s="1"/>
  <c r="K66" i="3" a="1"/>
  <c r="K66" i="3" s="1"/>
  <c r="K67" i="3" a="1"/>
  <c r="K67" i="3" s="1"/>
  <c r="K68" i="3" a="1"/>
  <c r="K68" i="3" s="1"/>
  <c r="K69" i="3" a="1"/>
  <c r="K69" i="3" s="1"/>
  <c r="K70" i="3" a="1"/>
  <c r="K70" i="3" s="1"/>
  <c r="K53" i="3" a="1"/>
  <c r="K53" i="3" s="1"/>
  <c r="K54" i="3" a="1"/>
  <c r="K54" i="3" s="1"/>
  <c r="K55" i="3" a="1"/>
  <c r="K55" i="3" s="1"/>
  <c r="K56" i="3" a="1"/>
  <c r="K56" i="3" s="1"/>
  <c r="K57" i="3" a="1"/>
  <c r="K57" i="3" s="1"/>
  <c r="K58" i="3" a="1"/>
  <c r="K58" i="3" s="1"/>
  <c r="K59" i="3" a="1"/>
  <c r="K59" i="3" s="1"/>
  <c r="K60" i="3" a="1"/>
  <c r="K60" i="3" s="1"/>
  <c r="K61" i="3" a="1"/>
  <c r="K61" i="3" s="1"/>
  <c r="K62" i="3" a="1"/>
  <c r="K62" i="3" s="1"/>
  <c r="K48" i="3" a="1"/>
  <c r="K48" i="3" s="1"/>
  <c r="K49" i="3" a="1"/>
  <c r="K49" i="3" s="1"/>
  <c r="K50" i="3" a="1"/>
  <c r="K50" i="3" s="1"/>
  <c r="K51" i="3" a="1"/>
  <c r="K51" i="3" s="1"/>
  <c r="K52" i="3" a="1"/>
  <c r="K52" i="3" s="1"/>
  <c r="K45" i="3" a="1"/>
  <c r="K45" i="3" s="1"/>
  <c r="K46" i="3" a="1"/>
  <c r="K46" i="3" s="1"/>
  <c r="K47" i="3" a="1"/>
  <c r="K47" i="3" s="1"/>
  <c r="K44" i="3" a="1"/>
  <c r="K44" i="3" s="1"/>
  <c r="K39" i="3" a="1"/>
  <c r="K39" i="3" s="1"/>
  <c r="K40" i="3" a="1"/>
  <c r="K40" i="3" s="1"/>
  <c r="K41" i="3" a="1"/>
  <c r="K41" i="3" s="1"/>
  <c r="K42" i="3" a="1"/>
  <c r="K42" i="3" s="1"/>
  <c r="K43" i="3" a="1"/>
  <c r="K43" i="3" s="1"/>
  <c r="K36" i="3" a="1"/>
  <c r="K36" i="3" s="1"/>
  <c r="K37" i="3" a="1"/>
  <c r="K37" i="3" s="1"/>
  <c r="K38" i="3" a="1"/>
  <c r="K38" i="3" s="1"/>
  <c r="K35" i="3" a="1"/>
  <c r="K35" i="3" s="1"/>
  <c r="K32" i="3" a="1"/>
  <c r="K32" i="3" s="1"/>
  <c r="K33" i="3" a="1"/>
  <c r="K33" i="3" s="1"/>
  <c r="K34" i="3" a="1"/>
  <c r="K34" i="3" s="1"/>
  <c r="K25" i="3" a="1"/>
  <c r="K25" i="3" s="1"/>
  <c r="K26" i="3" a="1"/>
  <c r="K26" i="3" s="1"/>
  <c r="K27" i="3" a="1"/>
  <c r="K27" i="3" s="1"/>
  <c r="K28" i="3" a="1"/>
  <c r="K28" i="3" s="1"/>
  <c r="K29" i="3" a="1"/>
  <c r="K29" i="3" s="1"/>
  <c r="K30" i="3" a="1"/>
  <c r="K30" i="3" s="1"/>
  <c r="K31" i="3" a="1"/>
  <c r="K31" i="3" s="1"/>
  <c r="K23" i="3" a="1"/>
  <c r="K23" i="3" s="1"/>
  <c r="K24" i="3" a="1"/>
  <c r="K24" i="3" s="1"/>
  <c r="K22" i="3" a="1"/>
  <c r="K22" i="3" s="1"/>
  <c r="K18" i="3" a="1"/>
  <c r="K18" i="3" s="1"/>
  <c r="K19" i="3" a="1"/>
  <c r="K19" i="3" s="1"/>
  <c r="K20" i="3" a="1"/>
  <c r="K20" i="3" s="1"/>
  <c r="K21" i="3" a="1"/>
  <c r="K21" i="3" s="1"/>
  <c r="K14" i="3" a="1"/>
  <c r="K14" i="3" s="1"/>
  <c r="K15" i="3" a="1"/>
  <c r="K15" i="3" s="1"/>
  <c r="K16" i="3" a="1"/>
  <c r="K16" i="3" s="1"/>
  <c r="K17" i="3" a="1"/>
  <c r="K17" i="3" s="1"/>
  <c r="K11" i="3" a="1"/>
  <c r="K11" i="3" s="1"/>
  <c r="K12" i="3" a="1"/>
  <c r="K12" i="3" s="1"/>
  <c r="K13" i="3" a="1"/>
  <c r="K13" i="3" s="1"/>
  <c r="K8" i="3" a="1"/>
  <c r="K8" i="3" s="1"/>
  <c r="K9" i="3" a="1"/>
  <c r="K9" i="3" s="1"/>
  <c r="K10" i="3" a="1"/>
  <c r="K10" i="3" s="1"/>
  <c r="K2" i="3" a="1"/>
  <c r="K2" i="3" s="1"/>
  <c r="K3" i="3" a="1"/>
  <c r="K3" i="3" s="1"/>
  <c r="K4" i="3" a="1"/>
  <c r="K4" i="3" s="1"/>
  <c r="K5" i="3" a="1"/>
  <c r="K5" i="3" s="1"/>
  <c r="K6" i="3" a="1"/>
  <c r="K6" i="3" s="1"/>
  <c r="K7" i="3" a="1"/>
  <c r="K7" i="3" s="1"/>
  <c r="J864" i="3" a="1"/>
  <c r="J864" i="3" s="1"/>
  <c r="J865" i="3" a="1"/>
  <c r="J865" i="3" s="1"/>
  <c r="J862" i="3" a="1"/>
  <c r="J862" i="3" s="1"/>
  <c r="J863" i="3" a="1"/>
  <c r="J863" i="3" s="1"/>
  <c r="J861" i="3" a="1"/>
  <c r="J861" i="3" s="1"/>
  <c r="J859" i="3" a="1"/>
  <c r="J859" i="3" s="1"/>
  <c r="J860" i="3" a="1"/>
  <c r="J860" i="3" s="1"/>
  <c r="J854" i="3" a="1"/>
  <c r="J854" i="3" s="1"/>
  <c r="J855" i="3" a="1"/>
  <c r="J855" i="3" s="1"/>
  <c r="J856" i="3" a="1"/>
  <c r="J856" i="3" s="1"/>
  <c r="J857" i="3" a="1"/>
  <c r="J857" i="3" s="1"/>
  <c r="J858" i="3" a="1"/>
  <c r="J858" i="3" s="1"/>
  <c r="J852" i="3" a="1"/>
  <c r="J852" i="3" s="1"/>
  <c r="J853" i="3" a="1"/>
  <c r="J853" i="3" s="1"/>
  <c r="J850" i="3" a="1"/>
  <c r="J850" i="3" s="1"/>
  <c r="J851" i="3" a="1"/>
  <c r="J851" i="3" s="1"/>
  <c r="J847" i="3" a="1"/>
  <c r="J847" i="3" s="1"/>
  <c r="J848" i="3" a="1"/>
  <c r="J848" i="3" s="1"/>
  <c r="J849" i="3" a="1"/>
  <c r="J849" i="3" s="1"/>
  <c r="J843" i="3" a="1"/>
  <c r="J843" i="3" s="1"/>
  <c r="J844" i="3" a="1"/>
  <c r="J844" i="3" s="1"/>
  <c r="J845" i="3" a="1"/>
  <c r="J845" i="3" s="1"/>
  <c r="J846" i="3" a="1"/>
  <c r="J846" i="3" s="1"/>
  <c r="J839" i="3" a="1"/>
  <c r="J839" i="3" s="1"/>
  <c r="J840" i="3" a="1"/>
  <c r="J840" i="3" s="1"/>
  <c r="J841" i="3" a="1"/>
  <c r="J841" i="3" s="1"/>
  <c r="J842" i="3" a="1"/>
  <c r="J842" i="3" s="1"/>
  <c r="J834" i="3" a="1"/>
  <c r="J834" i="3" s="1"/>
  <c r="J835" i="3" a="1"/>
  <c r="J835" i="3" s="1"/>
  <c r="J836" i="3" a="1"/>
  <c r="J836" i="3" s="1"/>
  <c r="J837" i="3" a="1"/>
  <c r="J837" i="3" s="1"/>
  <c r="J838" i="3" a="1"/>
  <c r="J838" i="3" s="1"/>
  <c r="J829" i="3" a="1"/>
  <c r="J829" i="3" s="1"/>
  <c r="J830" i="3" a="1"/>
  <c r="J830" i="3" s="1"/>
  <c r="J831" i="3" a="1"/>
  <c r="J831" i="3" s="1"/>
  <c r="J832" i="3" a="1"/>
  <c r="J832" i="3" s="1"/>
  <c r="J833" i="3" a="1"/>
  <c r="J833" i="3" s="1"/>
  <c r="J828" i="3" a="1"/>
  <c r="J828" i="3" s="1"/>
  <c r="J824" i="3" a="1"/>
  <c r="J824" i="3" s="1"/>
  <c r="J825" i="3" a="1"/>
  <c r="J825" i="3" s="1"/>
  <c r="J826" i="3" a="1"/>
  <c r="J826" i="3" s="1"/>
  <c r="J827" i="3" a="1"/>
  <c r="J827" i="3" s="1"/>
  <c r="J822" i="3" a="1"/>
  <c r="J822" i="3" s="1"/>
  <c r="J823" i="3" a="1"/>
  <c r="J823" i="3" s="1"/>
  <c r="J816" i="3" a="1"/>
  <c r="J816" i="3" s="1"/>
  <c r="J817" i="3" a="1"/>
  <c r="J817" i="3" s="1"/>
  <c r="J818" i="3" a="1"/>
  <c r="J818" i="3" s="1"/>
  <c r="J819" i="3" a="1"/>
  <c r="J819" i="3" s="1"/>
  <c r="J820" i="3" a="1"/>
  <c r="J820" i="3" s="1"/>
  <c r="J821" i="3" a="1"/>
  <c r="J821" i="3" s="1"/>
  <c r="J809" i="3" a="1"/>
  <c r="J809" i="3" s="1"/>
  <c r="J810" i="3" a="1"/>
  <c r="J810" i="3" s="1"/>
  <c r="J811" i="3" a="1"/>
  <c r="J811" i="3" s="1"/>
  <c r="J812" i="3" a="1"/>
  <c r="J812" i="3" s="1"/>
  <c r="J813" i="3" a="1"/>
  <c r="J813" i="3" s="1"/>
  <c r="J814" i="3" a="1"/>
  <c r="J814" i="3" s="1"/>
  <c r="J815" i="3" a="1"/>
  <c r="J815" i="3" s="1"/>
  <c r="J801" i="3" a="1"/>
  <c r="J801" i="3" s="1"/>
  <c r="J802" i="3" a="1"/>
  <c r="J802" i="3" s="1"/>
  <c r="J803" i="3" a="1"/>
  <c r="J803" i="3" s="1"/>
  <c r="J804" i="3" a="1"/>
  <c r="J804" i="3" s="1"/>
  <c r="J805" i="3" a="1"/>
  <c r="J805" i="3" s="1"/>
  <c r="J806" i="3" a="1"/>
  <c r="J806" i="3" s="1"/>
  <c r="J807" i="3" a="1"/>
  <c r="J807" i="3" s="1"/>
  <c r="J808" i="3" a="1"/>
  <c r="J808" i="3" s="1"/>
  <c r="J797" i="3" a="1"/>
  <c r="J797" i="3" s="1"/>
  <c r="J798" i="3" a="1"/>
  <c r="J798" i="3" s="1"/>
  <c r="J799" i="3" a="1"/>
  <c r="J799" i="3" s="1"/>
  <c r="J800" i="3" a="1"/>
  <c r="J800" i="3" s="1"/>
  <c r="J794" i="3" a="1"/>
  <c r="J794" i="3" s="1"/>
  <c r="J795" i="3" a="1"/>
  <c r="J795" i="3" s="1"/>
  <c r="J796" i="3" a="1"/>
  <c r="J796" i="3" s="1"/>
  <c r="J792" i="3" a="1"/>
  <c r="J792" i="3" s="1"/>
  <c r="J793" i="3" a="1"/>
  <c r="J793" i="3" s="1"/>
  <c r="J790" i="3" a="1"/>
  <c r="J790" i="3" s="1"/>
  <c r="J791" i="3" a="1"/>
  <c r="J791" i="3" s="1"/>
  <c r="J784" i="3" a="1"/>
  <c r="J784" i="3"/>
  <c r="J785" i="3" a="1"/>
  <c r="J785" i="3" s="1"/>
  <c r="J786" i="3" a="1"/>
  <c r="J786" i="3" s="1"/>
  <c r="J787" i="3" a="1"/>
  <c r="J787" i="3" s="1"/>
  <c r="J788" i="3" a="1"/>
  <c r="J788" i="3" s="1"/>
  <c r="J789" i="3" a="1"/>
  <c r="J789" i="3" s="1"/>
  <c r="J779" i="3" a="1"/>
  <c r="J779" i="3" s="1"/>
  <c r="J780" i="3" a="1"/>
  <c r="J780" i="3" s="1"/>
  <c r="J781" i="3" a="1"/>
  <c r="J781" i="3" s="1"/>
  <c r="J782" i="3" a="1"/>
  <c r="J782" i="3" s="1"/>
  <c r="J783" i="3" a="1"/>
  <c r="J783" i="3" s="1"/>
  <c r="J776" i="3" a="1"/>
  <c r="J776" i="3" s="1"/>
  <c r="J777" i="3" a="1"/>
  <c r="J777" i="3" s="1"/>
  <c r="J778" i="3" a="1"/>
  <c r="J778" i="3" s="1"/>
  <c r="J771" i="3" a="1"/>
  <c r="J771" i="3" s="1"/>
  <c r="J772" i="3" a="1"/>
  <c r="J772" i="3" s="1"/>
  <c r="J773" i="3" a="1"/>
  <c r="J773" i="3" s="1"/>
  <c r="J774" i="3" a="1"/>
  <c r="J774" i="3" s="1"/>
  <c r="J775" i="3" a="1"/>
  <c r="J775" i="3" s="1"/>
  <c r="J768" i="3" a="1"/>
  <c r="J768" i="3" s="1"/>
  <c r="J769" i="3" a="1"/>
  <c r="J769" i="3" s="1"/>
  <c r="J770" i="3" a="1"/>
  <c r="J770" i="3" s="1"/>
  <c r="J764" i="3" a="1"/>
  <c r="J764" i="3"/>
  <c r="J765" i="3" a="1"/>
  <c r="J765" i="3" s="1"/>
  <c r="J766" i="3" a="1"/>
  <c r="J766" i="3" s="1"/>
  <c r="J767" i="3" a="1"/>
  <c r="J767" i="3" s="1"/>
  <c r="J762" i="3" a="1"/>
  <c r="J762" i="3" s="1"/>
  <c r="J763" i="3" a="1"/>
  <c r="J763" i="3" s="1"/>
  <c r="J759" i="3" a="1"/>
  <c r="J759" i="3" s="1"/>
  <c r="J760" i="3" a="1"/>
  <c r="J760" i="3" s="1"/>
  <c r="J761" i="3" a="1"/>
  <c r="J761" i="3" s="1"/>
  <c r="J755" i="3" a="1"/>
  <c r="J755" i="3" s="1"/>
  <c r="J756" i="3" a="1"/>
  <c r="J756" i="3" s="1"/>
  <c r="J757" i="3" a="1"/>
  <c r="J757" i="3"/>
  <c r="J758" i="3" a="1"/>
  <c r="J758" i="3" s="1"/>
  <c r="J751" i="3" a="1"/>
  <c r="J751" i="3" s="1"/>
  <c r="J752" i="3" a="1"/>
  <c r="J752" i="3" s="1"/>
  <c r="J753" i="3" a="1"/>
  <c r="J753" i="3" s="1"/>
  <c r="J754" i="3" a="1"/>
  <c r="J754" i="3" s="1"/>
  <c r="J747" i="3" a="1"/>
  <c r="J747" i="3" s="1"/>
  <c r="J748" i="3" a="1"/>
  <c r="J748" i="3" s="1"/>
  <c r="J749" i="3" a="1"/>
  <c r="J749" i="3" s="1"/>
  <c r="J750" i="3" a="1"/>
  <c r="J750" i="3" s="1"/>
  <c r="J742" i="3" a="1"/>
  <c r="J742" i="3" s="1"/>
  <c r="J743" i="3" a="1"/>
  <c r="J743" i="3" s="1"/>
  <c r="J744" i="3" a="1"/>
  <c r="J744" i="3" s="1"/>
  <c r="J745" i="3" a="1"/>
  <c r="J745" i="3" s="1"/>
  <c r="J746" i="3" a="1"/>
  <c r="J746" i="3" s="1"/>
  <c r="J740" i="3" a="1"/>
  <c r="J740" i="3" s="1"/>
  <c r="J741" i="3" a="1"/>
  <c r="J741" i="3" s="1"/>
  <c r="J738" i="3" a="1"/>
  <c r="J738" i="3" s="1"/>
  <c r="J739" i="3" a="1"/>
  <c r="J739" i="3" s="1"/>
  <c r="J733" i="3" a="1"/>
  <c r="J733" i="3" s="1"/>
  <c r="J734" i="3" a="1"/>
  <c r="J734" i="3" s="1"/>
  <c r="J735" i="3" a="1"/>
  <c r="J735" i="3" s="1"/>
  <c r="J736" i="3" a="1"/>
  <c r="J736" i="3" s="1"/>
  <c r="J737" i="3" a="1"/>
  <c r="J737" i="3" s="1"/>
  <c r="J728" i="3" a="1"/>
  <c r="J728" i="3" s="1"/>
  <c r="J729" i="3" a="1"/>
  <c r="J729" i="3" s="1"/>
  <c r="J730" i="3" a="1"/>
  <c r="J730" i="3" s="1"/>
  <c r="J731" i="3" a="1"/>
  <c r="J731" i="3" s="1"/>
  <c r="J732" i="3" a="1"/>
  <c r="J732" i="3" s="1"/>
  <c r="J723" i="3" a="1"/>
  <c r="J723" i="3" s="1"/>
  <c r="J724" i="3" a="1"/>
  <c r="J724" i="3" s="1"/>
  <c r="J725" i="3" a="1"/>
  <c r="J725" i="3" s="1"/>
  <c r="J726" i="3" a="1"/>
  <c r="J726" i="3" s="1"/>
  <c r="J727" i="3" a="1"/>
  <c r="J727" i="3" s="1"/>
  <c r="J153" i="3" a="1"/>
  <c r="J153" i="3" s="1"/>
  <c r="J154" i="3" a="1"/>
  <c r="J154" i="3" s="1"/>
  <c r="J155" i="3" a="1"/>
  <c r="J155" i="3" s="1"/>
  <c r="J156" i="3" a="1"/>
  <c r="J156" i="3" s="1"/>
  <c r="J157" i="3" a="1"/>
  <c r="J157" i="3" s="1"/>
  <c r="J158" i="3" a="1"/>
  <c r="J158" i="3" s="1"/>
  <c r="J159" i="3" a="1"/>
  <c r="J159" i="3" s="1"/>
  <c r="J160" i="3" a="1"/>
  <c r="J160" i="3" s="1"/>
  <c r="J161" i="3" a="1"/>
  <c r="J161" i="3" s="1"/>
  <c r="J162" i="3" a="1"/>
  <c r="J162" i="3" s="1"/>
  <c r="J163" i="3" a="1"/>
  <c r="J163" i="3" s="1"/>
  <c r="J164" i="3" a="1"/>
  <c r="J164" i="3" s="1"/>
  <c r="J165" i="3" a="1"/>
  <c r="J165" i="3" s="1"/>
  <c r="J166" i="3" a="1"/>
  <c r="J166" i="3" s="1"/>
  <c r="J167" i="3" a="1"/>
  <c r="J167" i="3" s="1"/>
  <c r="J168" i="3" a="1"/>
  <c r="J168" i="3" s="1"/>
  <c r="J169" i="3" a="1"/>
  <c r="J169" i="3" s="1"/>
  <c r="J170" i="3" a="1"/>
  <c r="J170" i="3" s="1"/>
  <c r="J171" i="3" a="1"/>
  <c r="J171" i="3" s="1"/>
  <c r="J172" i="3" a="1"/>
  <c r="J172" i="3" s="1"/>
  <c r="J173" i="3" a="1"/>
  <c r="J173" i="3" s="1"/>
  <c r="J174" i="3" a="1"/>
  <c r="J174" i="3" s="1"/>
  <c r="J175" i="3" a="1"/>
  <c r="J175" i="3"/>
  <c r="J176" i="3" a="1"/>
  <c r="J176" i="3" s="1"/>
  <c r="J177" i="3" a="1"/>
  <c r="J177" i="3" s="1"/>
  <c r="J178" i="3" a="1"/>
  <c r="J178" i="3" s="1"/>
  <c r="J179" i="3" a="1"/>
  <c r="J179" i="3" s="1"/>
  <c r="J180" i="3" a="1"/>
  <c r="J180" i="3" s="1"/>
  <c r="J181" i="3" a="1"/>
  <c r="J181" i="3" s="1"/>
  <c r="J182" i="3" a="1"/>
  <c r="J182" i="3" s="1"/>
  <c r="J183" i="3" a="1"/>
  <c r="J183" i="3" s="1"/>
  <c r="J184" i="3" a="1"/>
  <c r="J184" i="3" s="1"/>
  <c r="J185" i="3" a="1"/>
  <c r="J185" i="3" s="1"/>
  <c r="J186" i="3" a="1"/>
  <c r="J186" i="3" s="1"/>
  <c r="J187" i="3" a="1"/>
  <c r="J187" i="3" s="1"/>
  <c r="J188" i="3" a="1"/>
  <c r="J188" i="3" s="1"/>
  <c r="J189" i="3" a="1"/>
  <c r="J189" i="3" s="1"/>
  <c r="J190" i="3" a="1"/>
  <c r="J190" i="3" s="1"/>
  <c r="J191" i="3" a="1"/>
  <c r="J191" i="3" s="1"/>
  <c r="J192" i="3" a="1"/>
  <c r="J192" i="3" s="1"/>
  <c r="J193" i="3" a="1"/>
  <c r="J193" i="3" s="1"/>
  <c r="J194" i="3" a="1"/>
  <c r="J194" i="3" s="1"/>
  <c r="J195" i="3" a="1"/>
  <c r="J195" i="3" s="1"/>
  <c r="J196" i="3" a="1"/>
  <c r="J196" i="3" s="1"/>
  <c r="J197" i="3" a="1"/>
  <c r="J197" i="3" s="1"/>
  <c r="J198" i="3" a="1"/>
  <c r="J198" i="3" s="1"/>
  <c r="J199" i="3" a="1"/>
  <c r="J199" i="3" s="1"/>
  <c r="J200" i="3" a="1"/>
  <c r="J200" i="3" s="1"/>
  <c r="J201" i="3" a="1"/>
  <c r="J201" i="3" s="1"/>
  <c r="J202" i="3" a="1"/>
  <c r="J202" i="3" s="1"/>
  <c r="J203" i="3" a="1"/>
  <c r="J203" i="3" s="1"/>
  <c r="J204" i="3" a="1"/>
  <c r="J204" i="3" s="1"/>
  <c r="J205" i="3" a="1"/>
  <c r="J205" i="3" s="1"/>
  <c r="J206" i="3" a="1"/>
  <c r="J206" i="3" s="1"/>
  <c r="J207" i="3" a="1"/>
  <c r="J207" i="3" s="1"/>
  <c r="J208" i="3" a="1"/>
  <c r="J208" i="3" s="1"/>
  <c r="J209" i="3" a="1"/>
  <c r="J209" i="3"/>
  <c r="J210" i="3" a="1"/>
  <c r="J210" i="3" s="1"/>
  <c r="J211" i="3" a="1"/>
  <c r="J211" i="3" s="1"/>
  <c r="J212" i="3" a="1"/>
  <c r="J212" i="3" s="1"/>
  <c r="J213" i="3" a="1"/>
  <c r="J213" i="3" s="1"/>
  <c r="J214" i="3" a="1"/>
  <c r="J214" i="3" s="1"/>
  <c r="J215" i="3" a="1"/>
  <c r="J215" i="3" s="1"/>
  <c r="J216" i="3" a="1"/>
  <c r="J216" i="3" s="1"/>
  <c r="J217" i="3" a="1"/>
  <c r="J217" i="3" s="1"/>
  <c r="J218" i="3" a="1"/>
  <c r="J218" i="3" s="1"/>
  <c r="J219" i="3" a="1"/>
  <c r="J219" i="3" s="1"/>
  <c r="J220" i="3" a="1"/>
  <c r="J220" i="3" s="1"/>
  <c r="J221" i="3" a="1"/>
  <c r="J221" i="3"/>
  <c r="J222" i="3" a="1"/>
  <c r="J222" i="3" s="1"/>
  <c r="J223" i="3" a="1"/>
  <c r="J223" i="3" s="1"/>
  <c r="J224" i="3" a="1"/>
  <c r="J224" i="3" s="1"/>
  <c r="J225" i="3" a="1"/>
  <c r="J225" i="3" s="1"/>
  <c r="J226" i="3" a="1"/>
  <c r="J226" i="3" s="1"/>
  <c r="J227" i="3" a="1"/>
  <c r="J227" i="3" s="1"/>
  <c r="J228" i="3" a="1"/>
  <c r="J228" i="3" s="1"/>
  <c r="J229" i="3" a="1"/>
  <c r="J229" i="3" s="1"/>
  <c r="J230" i="3" a="1"/>
  <c r="J230" i="3" s="1"/>
  <c r="J231" i="3" a="1"/>
  <c r="J231" i="3" s="1"/>
  <c r="J232" i="3" a="1"/>
  <c r="J232" i="3" s="1"/>
  <c r="J233" i="3" a="1"/>
  <c r="J233" i="3" s="1"/>
  <c r="J234" i="3" a="1"/>
  <c r="J234" i="3" s="1"/>
  <c r="J235" i="3" a="1"/>
  <c r="J235" i="3" s="1"/>
  <c r="J236" i="3" a="1"/>
  <c r="J236" i="3" s="1"/>
  <c r="J237" i="3" a="1"/>
  <c r="J237" i="3" s="1"/>
  <c r="J238" i="3" a="1"/>
  <c r="J238" i="3" s="1"/>
  <c r="J239" i="3" a="1"/>
  <c r="J239" i="3" s="1"/>
  <c r="J240" i="3" a="1"/>
  <c r="J240" i="3" s="1"/>
  <c r="J241" i="3" a="1"/>
  <c r="J241" i="3" s="1"/>
  <c r="J242" i="3" a="1"/>
  <c r="J242" i="3" s="1"/>
  <c r="J243" i="3" a="1"/>
  <c r="J243" i="3" s="1"/>
  <c r="J244" i="3" a="1"/>
  <c r="J244" i="3" s="1"/>
  <c r="J245" i="3" a="1"/>
  <c r="J245" i="3" s="1"/>
  <c r="J246" i="3" a="1"/>
  <c r="J246" i="3" s="1"/>
  <c r="J247" i="3" a="1"/>
  <c r="J247" i="3" s="1"/>
  <c r="J248" i="3" a="1"/>
  <c r="J248" i="3" s="1"/>
  <c r="J249" i="3" a="1"/>
  <c r="J249" i="3" s="1"/>
  <c r="J250" i="3" a="1"/>
  <c r="J250" i="3" s="1"/>
  <c r="J251" i="3" a="1"/>
  <c r="J251" i="3" s="1"/>
  <c r="J252" i="3" a="1"/>
  <c r="J252" i="3" s="1"/>
  <c r="J253" i="3" a="1"/>
  <c r="J253" i="3" s="1"/>
  <c r="J254" i="3" a="1"/>
  <c r="J254" i="3" s="1"/>
  <c r="J255" i="3" a="1"/>
  <c r="J255" i="3" s="1"/>
  <c r="J256" i="3" a="1"/>
  <c r="J256" i="3" s="1"/>
  <c r="J257" i="3" a="1"/>
  <c r="J257" i="3" s="1"/>
  <c r="J258" i="3" a="1"/>
  <c r="J258" i="3" s="1"/>
  <c r="J259" i="3" a="1"/>
  <c r="J259" i="3" s="1"/>
  <c r="J260" i="3" a="1"/>
  <c r="J260" i="3" s="1"/>
  <c r="J261" i="3" a="1"/>
  <c r="J261" i="3" s="1"/>
  <c r="J262" i="3" a="1"/>
  <c r="J262" i="3" s="1"/>
  <c r="J263" i="3" a="1"/>
  <c r="J263" i="3" s="1"/>
  <c r="J264" i="3" a="1"/>
  <c r="J264" i="3" s="1"/>
  <c r="J265" i="3" a="1"/>
  <c r="J265" i="3" s="1"/>
  <c r="J266" i="3" a="1"/>
  <c r="J266" i="3" s="1"/>
  <c r="J267" i="3" a="1"/>
  <c r="J267" i="3" s="1"/>
  <c r="J268" i="3" a="1"/>
  <c r="J268" i="3" s="1"/>
  <c r="J269" i="3" a="1"/>
  <c r="J269" i="3" s="1"/>
  <c r="J270" i="3" a="1"/>
  <c r="J270" i="3" s="1"/>
  <c r="J271" i="3" a="1"/>
  <c r="J271" i="3" s="1"/>
  <c r="J272" i="3" a="1"/>
  <c r="J272" i="3" s="1"/>
  <c r="J273" i="3" a="1"/>
  <c r="J273" i="3" s="1"/>
  <c r="J274" i="3" a="1"/>
  <c r="J274" i="3" s="1"/>
  <c r="J275" i="3" a="1"/>
  <c r="J275" i="3" s="1"/>
  <c r="J276" i="3" a="1"/>
  <c r="J276" i="3" s="1"/>
  <c r="J277" i="3" a="1"/>
  <c r="J277" i="3" s="1"/>
  <c r="J278" i="3" a="1"/>
  <c r="J278" i="3" s="1"/>
  <c r="J279" i="3" a="1"/>
  <c r="J279" i="3" s="1"/>
  <c r="J280" i="3" a="1"/>
  <c r="J280" i="3" s="1"/>
  <c r="J281" i="3" a="1"/>
  <c r="J281" i="3" s="1"/>
  <c r="J282" i="3" a="1"/>
  <c r="J282" i="3" s="1"/>
  <c r="J283" i="3" a="1"/>
  <c r="J283" i="3" s="1"/>
  <c r="J284" i="3" a="1"/>
  <c r="J284" i="3" s="1"/>
  <c r="J285" i="3" a="1"/>
  <c r="J285" i="3" s="1"/>
  <c r="J286" i="3" a="1"/>
  <c r="J286" i="3" s="1"/>
  <c r="J287" i="3" a="1"/>
  <c r="J287" i="3" s="1"/>
  <c r="J288" i="3" a="1"/>
  <c r="J288" i="3" s="1"/>
  <c r="J289" i="3" a="1"/>
  <c r="J289" i="3" s="1"/>
  <c r="J290" i="3" a="1"/>
  <c r="J290" i="3" s="1"/>
  <c r="J291" i="3" a="1"/>
  <c r="J291" i="3" s="1"/>
  <c r="J292" i="3" a="1"/>
  <c r="J292" i="3" s="1"/>
  <c r="J293" i="3" a="1"/>
  <c r="J293" i="3" s="1"/>
  <c r="J294" i="3" a="1"/>
  <c r="J294" i="3" s="1"/>
  <c r="J295" i="3" a="1"/>
  <c r="J295" i="3" s="1"/>
  <c r="J296" i="3" a="1"/>
  <c r="J296" i="3" s="1"/>
  <c r="J297" i="3" a="1"/>
  <c r="J297" i="3" s="1"/>
  <c r="J298" i="3" a="1"/>
  <c r="J298" i="3" s="1"/>
  <c r="J299" i="3" a="1"/>
  <c r="J299" i="3" s="1"/>
  <c r="J300" i="3" a="1"/>
  <c r="J300" i="3" s="1"/>
  <c r="J301" i="3" a="1"/>
  <c r="J301" i="3" s="1"/>
  <c r="J302" i="3" a="1"/>
  <c r="J302" i="3" s="1"/>
  <c r="J303" i="3" a="1"/>
  <c r="J303" i="3" s="1"/>
  <c r="J304" i="3" a="1"/>
  <c r="J304" i="3" s="1"/>
  <c r="J305" i="3" a="1"/>
  <c r="J305" i="3" s="1"/>
  <c r="J306" i="3" a="1"/>
  <c r="J306" i="3"/>
  <c r="J307" i="3" a="1"/>
  <c r="J307" i="3" s="1"/>
  <c r="J308" i="3" a="1"/>
  <c r="J308" i="3" s="1"/>
  <c r="J309" i="3" a="1"/>
  <c r="J309" i="3" s="1"/>
  <c r="J310" i="3" a="1"/>
  <c r="J310" i="3" s="1"/>
  <c r="J311" i="3" a="1"/>
  <c r="J311" i="3" s="1"/>
  <c r="J312" i="3" a="1"/>
  <c r="J312" i="3" s="1"/>
  <c r="J313" i="3" a="1"/>
  <c r="J313" i="3" s="1"/>
  <c r="J314" i="3" a="1"/>
  <c r="J314" i="3" s="1"/>
  <c r="J315" i="3" a="1"/>
  <c r="J315" i="3" s="1"/>
  <c r="J316" i="3" a="1"/>
  <c r="J316" i="3" s="1"/>
  <c r="J317" i="3" a="1"/>
  <c r="J317" i="3" s="1"/>
  <c r="J318" i="3" a="1"/>
  <c r="J318" i="3" s="1"/>
  <c r="J319" i="3" a="1"/>
  <c r="J319" i="3" s="1"/>
  <c r="J320" i="3" a="1"/>
  <c r="J320" i="3" s="1"/>
  <c r="J321" i="3" a="1"/>
  <c r="J321" i="3" s="1"/>
  <c r="J322" i="3" a="1"/>
  <c r="J322" i="3" s="1"/>
  <c r="J323" i="3" a="1"/>
  <c r="J323" i="3" s="1"/>
  <c r="J324" i="3" a="1"/>
  <c r="J324" i="3" s="1"/>
  <c r="J325" i="3" a="1"/>
  <c r="J325" i="3" s="1"/>
  <c r="J326" i="3" a="1"/>
  <c r="J326" i="3" s="1"/>
  <c r="J327" i="3" a="1"/>
  <c r="J327" i="3" s="1"/>
  <c r="J328" i="3" a="1"/>
  <c r="J328" i="3" s="1"/>
  <c r="J329" i="3" a="1"/>
  <c r="J329" i="3" s="1"/>
  <c r="J330" i="3" a="1"/>
  <c r="J330" i="3" s="1"/>
  <c r="J331" i="3" a="1"/>
  <c r="J331" i="3" s="1"/>
  <c r="J332" i="3" a="1"/>
  <c r="J332" i="3" s="1"/>
  <c r="J333" i="3" a="1"/>
  <c r="J333" i="3" s="1"/>
  <c r="J334" i="3" a="1"/>
  <c r="J334" i="3" s="1"/>
  <c r="J335" i="3" a="1"/>
  <c r="J335" i="3" s="1"/>
  <c r="J336" i="3" a="1"/>
  <c r="J336" i="3" s="1"/>
  <c r="J337" i="3" a="1"/>
  <c r="J337" i="3" s="1"/>
  <c r="J338" i="3" a="1"/>
  <c r="J338" i="3" s="1"/>
  <c r="J339" i="3" a="1"/>
  <c r="J339" i="3" s="1"/>
  <c r="J340" i="3" a="1"/>
  <c r="J340" i="3" s="1"/>
  <c r="J341" i="3" a="1"/>
  <c r="J341" i="3" s="1"/>
  <c r="J342" i="3" a="1"/>
  <c r="J342" i="3" s="1"/>
  <c r="J343" i="3" a="1"/>
  <c r="J343" i="3" s="1"/>
  <c r="J344" i="3" a="1"/>
  <c r="J344" i="3" s="1"/>
  <c r="J345" i="3" a="1"/>
  <c r="J345" i="3" s="1"/>
  <c r="J346" i="3" a="1"/>
  <c r="J346" i="3" s="1"/>
  <c r="J347" i="3" a="1"/>
  <c r="J347" i="3" s="1"/>
  <c r="J348" i="3" a="1"/>
  <c r="J348" i="3" s="1"/>
  <c r="J349" i="3" a="1"/>
  <c r="J349" i="3" s="1"/>
  <c r="J350" i="3" a="1"/>
  <c r="J350" i="3" s="1"/>
  <c r="J351" i="3" a="1"/>
  <c r="J351" i="3" s="1"/>
  <c r="J352" i="3" a="1"/>
  <c r="J352" i="3" s="1"/>
  <c r="J353" i="3" a="1"/>
  <c r="J353" i="3" s="1"/>
  <c r="J354" i="3" a="1"/>
  <c r="J354" i="3" s="1"/>
  <c r="J355" i="3" a="1"/>
  <c r="J355" i="3" s="1"/>
  <c r="J356" i="3" a="1"/>
  <c r="J356" i="3" s="1"/>
  <c r="J357" i="3" a="1"/>
  <c r="J357" i="3" s="1"/>
  <c r="J358" i="3" a="1"/>
  <c r="J358" i="3" s="1"/>
  <c r="J359" i="3" a="1"/>
  <c r="J359" i="3" s="1"/>
  <c r="J360" i="3" a="1"/>
  <c r="J360" i="3" s="1"/>
  <c r="J361" i="3" a="1"/>
  <c r="J361" i="3" s="1"/>
  <c r="J362" i="3" a="1"/>
  <c r="J362" i="3" s="1"/>
  <c r="J363" i="3" a="1"/>
  <c r="J363" i="3" s="1"/>
  <c r="J364" i="3" a="1"/>
  <c r="J364" i="3" s="1"/>
  <c r="J365" i="3" a="1"/>
  <c r="J365" i="3" s="1"/>
  <c r="J366" i="3" a="1"/>
  <c r="J366" i="3" s="1"/>
  <c r="J367" i="3" a="1"/>
  <c r="J367" i="3" s="1"/>
  <c r="J368" i="3" a="1"/>
  <c r="J368" i="3" s="1"/>
  <c r="J369" i="3" a="1"/>
  <c r="J369" i="3" s="1"/>
  <c r="J370" i="3" a="1"/>
  <c r="J370" i="3" s="1"/>
  <c r="J371" i="3" a="1"/>
  <c r="J371" i="3" s="1"/>
  <c r="J372" i="3" a="1"/>
  <c r="J372" i="3" s="1"/>
  <c r="J373" i="3" a="1"/>
  <c r="J373" i="3" s="1"/>
  <c r="J374" i="3" a="1"/>
  <c r="J374" i="3" s="1"/>
  <c r="J375" i="3" a="1"/>
  <c r="J375" i="3" s="1"/>
  <c r="J376" i="3" a="1"/>
  <c r="J376" i="3" s="1"/>
  <c r="J377" i="3" a="1"/>
  <c r="J377" i="3" s="1"/>
  <c r="J378" i="3" a="1"/>
  <c r="J378" i="3" s="1"/>
  <c r="J379" i="3" a="1"/>
  <c r="J379" i="3" s="1"/>
  <c r="J380" i="3" a="1"/>
  <c r="J380" i="3" s="1"/>
  <c r="J381" i="3" a="1"/>
  <c r="J381" i="3" s="1"/>
  <c r="J382" i="3" a="1"/>
  <c r="J382" i="3" s="1"/>
  <c r="J383" i="3" a="1"/>
  <c r="J383" i="3" s="1"/>
  <c r="J384" i="3" a="1"/>
  <c r="J384" i="3" s="1"/>
  <c r="J385" i="3" a="1"/>
  <c r="J385" i="3" s="1"/>
  <c r="J386" i="3" a="1"/>
  <c r="J386" i="3" s="1"/>
  <c r="J387" i="3" a="1"/>
  <c r="J387" i="3" s="1"/>
  <c r="J388" i="3" a="1"/>
  <c r="J388" i="3" s="1"/>
  <c r="J389" i="3" a="1"/>
  <c r="J389" i="3" s="1"/>
  <c r="J390" i="3" a="1"/>
  <c r="J390" i="3" s="1"/>
  <c r="J391" i="3" a="1"/>
  <c r="J391" i="3"/>
  <c r="J392" i="3" a="1"/>
  <c r="J392" i="3" s="1"/>
  <c r="J393" i="3" a="1"/>
  <c r="J393" i="3" s="1"/>
  <c r="J394" i="3" a="1"/>
  <c r="J394" i="3" s="1"/>
  <c r="J395" i="3" a="1"/>
  <c r="J395" i="3" s="1"/>
  <c r="J396" i="3" a="1"/>
  <c r="J396" i="3" s="1"/>
  <c r="J397" i="3" a="1"/>
  <c r="J397" i="3" s="1"/>
  <c r="J398" i="3" a="1"/>
  <c r="J398" i="3" s="1"/>
  <c r="J399" i="3" a="1"/>
  <c r="J399" i="3" s="1"/>
  <c r="J400" i="3" a="1"/>
  <c r="J400" i="3" s="1"/>
  <c r="J401" i="3" a="1"/>
  <c r="J401" i="3" s="1"/>
  <c r="J402" i="3" a="1"/>
  <c r="J402" i="3" s="1"/>
  <c r="J403" i="3" a="1"/>
  <c r="J403" i="3" s="1"/>
  <c r="J404" i="3" a="1"/>
  <c r="J404" i="3" s="1"/>
  <c r="J405" i="3" a="1"/>
  <c r="J405" i="3" s="1"/>
  <c r="J406" i="3" a="1"/>
  <c r="J406" i="3" s="1"/>
  <c r="J407" i="3" a="1"/>
  <c r="J407" i="3" s="1"/>
  <c r="J408" i="3" a="1"/>
  <c r="J408" i="3" s="1"/>
  <c r="J409" i="3" a="1"/>
  <c r="J409" i="3" s="1"/>
  <c r="J410" i="3" a="1"/>
  <c r="J410" i="3" s="1"/>
  <c r="J411" i="3" a="1"/>
  <c r="J411" i="3" s="1"/>
  <c r="J412" i="3" a="1"/>
  <c r="J412" i="3" s="1"/>
  <c r="J413" i="3" a="1"/>
  <c r="J413" i="3" s="1"/>
  <c r="J414" i="3" a="1"/>
  <c r="J414" i="3" s="1"/>
  <c r="J415" i="3" a="1"/>
  <c r="J415" i="3" s="1"/>
  <c r="J416" i="3" a="1"/>
  <c r="J416" i="3" s="1"/>
  <c r="J417" i="3" a="1"/>
  <c r="J417" i="3" s="1"/>
  <c r="J418" i="3" a="1"/>
  <c r="J418" i="3" s="1"/>
  <c r="J419" i="3" a="1"/>
  <c r="J419" i="3" s="1"/>
  <c r="J420" i="3" a="1"/>
  <c r="J420" i="3" s="1"/>
  <c r="J421" i="3" a="1"/>
  <c r="J421" i="3" s="1"/>
  <c r="J422" i="3" a="1"/>
  <c r="J422" i="3" s="1"/>
  <c r="J423" i="3" a="1"/>
  <c r="J423" i="3" s="1"/>
  <c r="J424" i="3" a="1"/>
  <c r="J424" i="3" s="1"/>
  <c r="J425" i="3" a="1"/>
  <c r="J425" i="3" s="1"/>
  <c r="J426" i="3" a="1"/>
  <c r="J426" i="3" s="1"/>
  <c r="J427" i="3" a="1"/>
  <c r="J427" i="3" s="1"/>
  <c r="J428" i="3" a="1"/>
  <c r="J428" i="3" s="1"/>
  <c r="J429" i="3" a="1"/>
  <c r="J429" i="3" s="1"/>
  <c r="J430" i="3" a="1"/>
  <c r="J430" i="3" s="1"/>
  <c r="J431" i="3" a="1"/>
  <c r="J431" i="3"/>
  <c r="J432" i="3" a="1"/>
  <c r="J432" i="3" s="1"/>
  <c r="J433" i="3" a="1"/>
  <c r="J433" i="3" s="1"/>
  <c r="J434" i="3" a="1"/>
  <c r="J434" i="3" s="1"/>
  <c r="J435" i="3" a="1"/>
  <c r="J435" i="3" s="1"/>
  <c r="J436" i="3" a="1"/>
  <c r="J436" i="3" s="1"/>
  <c r="J437" i="3" a="1"/>
  <c r="J437" i="3" s="1"/>
  <c r="J438" i="3" a="1"/>
  <c r="J438" i="3" s="1"/>
  <c r="J439" i="3" a="1"/>
  <c r="J439" i="3" s="1"/>
  <c r="J440" i="3" a="1"/>
  <c r="J440" i="3" s="1"/>
  <c r="J441" i="3" a="1"/>
  <c r="J441" i="3" s="1"/>
  <c r="J442" i="3" a="1"/>
  <c r="J442" i="3" s="1"/>
  <c r="J443" i="3" a="1"/>
  <c r="J443" i="3" s="1"/>
  <c r="J444" i="3" a="1"/>
  <c r="J444" i="3" s="1"/>
  <c r="J445" i="3" a="1"/>
  <c r="J445" i="3" s="1"/>
  <c r="J446" i="3" a="1"/>
  <c r="J446" i="3" s="1"/>
  <c r="J447" i="3" a="1"/>
  <c r="J447" i="3" s="1"/>
  <c r="J448" i="3" a="1"/>
  <c r="J448" i="3" s="1"/>
  <c r="J449" i="3" a="1"/>
  <c r="J449" i="3" s="1"/>
  <c r="J450" i="3" a="1"/>
  <c r="J450" i="3" s="1"/>
  <c r="J451" i="3" a="1"/>
  <c r="J451" i="3" s="1"/>
  <c r="J452" i="3" a="1"/>
  <c r="J452" i="3" s="1"/>
  <c r="J453" i="3" a="1"/>
  <c r="J453" i="3" s="1"/>
  <c r="J454" i="3" a="1"/>
  <c r="J454" i="3" s="1"/>
  <c r="J455" i="3" a="1"/>
  <c r="J455" i="3" s="1"/>
  <c r="J456" i="3" a="1"/>
  <c r="J456" i="3" s="1"/>
  <c r="J457" i="3" a="1"/>
  <c r="J457" i="3" s="1"/>
  <c r="J458" i="3" a="1"/>
  <c r="J458" i="3" s="1"/>
  <c r="J459" i="3" a="1"/>
  <c r="J459" i="3" s="1"/>
  <c r="J460" i="3" a="1"/>
  <c r="J460" i="3" s="1"/>
  <c r="J461" i="3" a="1"/>
  <c r="J461" i="3" s="1"/>
  <c r="J462" i="3" a="1"/>
  <c r="J462" i="3" s="1"/>
  <c r="J463" i="3" a="1"/>
  <c r="J463" i="3" s="1"/>
  <c r="J464" i="3" a="1"/>
  <c r="J464" i="3" s="1"/>
  <c r="J465" i="3" a="1"/>
  <c r="J465" i="3" s="1"/>
  <c r="J466" i="3" a="1"/>
  <c r="J466" i="3" s="1"/>
  <c r="J467" i="3" a="1"/>
  <c r="J467" i="3" s="1"/>
  <c r="J468" i="3" a="1"/>
  <c r="J468" i="3" s="1"/>
  <c r="J469" i="3" a="1"/>
  <c r="J469" i="3" s="1"/>
  <c r="J470" i="3" a="1"/>
  <c r="J470" i="3" s="1"/>
  <c r="J471" i="3" a="1"/>
  <c r="J471" i="3" s="1"/>
  <c r="J472" i="3" a="1"/>
  <c r="J472" i="3" s="1"/>
  <c r="J473" i="3" a="1"/>
  <c r="J473" i="3" s="1"/>
  <c r="J474" i="3" a="1"/>
  <c r="J474" i="3" s="1"/>
  <c r="J475" i="3" a="1"/>
  <c r="J475" i="3" s="1"/>
  <c r="J476" i="3" a="1"/>
  <c r="J476" i="3" s="1"/>
  <c r="J477" i="3" a="1"/>
  <c r="J477" i="3" s="1"/>
  <c r="J478" i="3" a="1"/>
  <c r="J478" i="3" s="1"/>
  <c r="J479" i="3" a="1"/>
  <c r="J479" i="3" s="1"/>
  <c r="J480" i="3" a="1"/>
  <c r="J480" i="3" s="1"/>
  <c r="J481" i="3" a="1"/>
  <c r="J481" i="3" s="1"/>
  <c r="J482" i="3" a="1"/>
  <c r="J482" i="3" s="1"/>
  <c r="J483" i="3" a="1"/>
  <c r="J483" i="3" s="1"/>
  <c r="J484" i="3" a="1"/>
  <c r="J484" i="3" s="1"/>
  <c r="J485" i="3" a="1"/>
  <c r="J485" i="3" s="1"/>
  <c r="J486" i="3" a="1"/>
  <c r="J486" i="3"/>
  <c r="J487" i="3" a="1"/>
  <c r="J487" i="3" s="1"/>
  <c r="J488" i="3" a="1"/>
  <c r="J488" i="3" s="1"/>
  <c r="J489" i="3" a="1"/>
  <c r="J489" i="3" s="1"/>
  <c r="J490" i="3" a="1"/>
  <c r="J490" i="3" s="1"/>
  <c r="J491" i="3" a="1"/>
  <c r="J491" i="3" s="1"/>
  <c r="J492" i="3" a="1"/>
  <c r="J492" i="3" s="1"/>
  <c r="J493" i="3" a="1"/>
  <c r="J493" i="3" s="1"/>
  <c r="J494" i="3" a="1"/>
  <c r="J494" i="3" s="1"/>
  <c r="J495" i="3" a="1"/>
  <c r="J495" i="3" s="1"/>
  <c r="J496" i="3" a="1"/>
  <c r="J496" i="3" s="1"/>
  <c r="J497" i="3" a="1"/>
  <c r="J497" i="3" s="1"/>
  <c r="J498" i="3" a="1"/>
  <c r="J498" i="3" s="1"/>
  <c r="J499" i="3" a="1"/>
  <c r="J499" i="3" s="1"/>
  <c r="J500" i="3" a="1"/>
  <c r="J500" i="3" s="1"/>
  <c r="J501" i="3" a="1"/>
  <c r="J501" i="3" s="1"/>
  <c r="J502" i="3" a="1"/>
  <c r="J502" i="3" s="1"/>
  <c r="J503" i="3" a="1"/>
  <c r="J503" i="3" s="1"/>
  <c r="J504" i="3" a="1"/>
  <c r="J504" i="3" s="1"/>
  <c r="J505" i="3" a="1"/>
  <c r="J505" i="3" s="1"/>
  <c r="J506" i="3" a="1"/>
  <c r="J506" i="3" s="1"/>
  <c r="J507" i="3" a="1"/>
  <c r="J507" i="3" s="1"/>
  <c r="J508" i="3" a="1"/>
  <c r="J508" i="3" s="1"/>
  <c r="J509" i="3" a="1"/>
  <c r="J509" i="3" s="1"/>
  <c r="J510" i="3" a="1"/>
  <c r="J510" i="3" s="1"/>
  <c r="J511" i="3" a="1"/>
  <c r="J511" i="3" s="1"/>
  <c r="J512" i="3" a="1"/>
  <c r="J512" i="3" s="1"/>
  <c r="J513" i="3" a="1"/>
  <c r="J513" i="3" s="1"/>
  <c r="J514" i="3" a="1"/>
  <c r="J514" i="3" s="1"/>
  <c r="J515" i="3" a="1"/>
  <c r="J515" i="3" s="1"/>
  <c r="J516" i="3" a="1"/>
  <c r="J516" i="3" s="1"/>
  <c r="J517" i="3" a="1"/>
  <c r="J517" i="3" s="1"/>
  <c r="J518" i="3" a="1"/>
  <c r="J518" i="3"/>
  <c r="J519" i="3" a="1"/>
  <c r="J519" i="3" s="1"/>
  <c r="J520" i="3" a="1"/>
  <c r="J520" i="3" s="1"/>
  <c r="J521" i="3" a="1"/>
  <c r="J521" i="3" s="1"/>
  <c r="J522" i="3" a="1"/>
  <c r="J522" i="3" s="1"/>
  <c r="J523" i="3" a="1"/>
  <c r="J523" i="3" s="1"/>
  <c r="J524" i="3" a="1"/>
  <c r="J524" i="3" s="1"/>
  <c r="J525" i="3" a="1"/>
  <c r="J525" i="3" s="1"/>
  <c r="J526" i="3" a="1"/>
  <c r="J526" i="3" s="1"/>
  <c r="J527" i="3" a="1"/>
  <c r="J527" i="3" s="1"/>
  <c r="J528" i="3" a="1"/>
  <c r="J528" i="3" s="1"/>
  <c r="J529" i="3" a="1"/>
  <c r="J529" i="3" s="1"/>
  <c r="J530" i="3" a="1"/>
  <c r="J530" i="3" s="1"/>
  <c r="J531" i="3" a="1"/>
  <c r="J531" i="3" s="1"/>
  <c r="J532" i="3" a="1"/>
  <c r="J532" i="3" s="1"/>
  <c r="J533" i="3" a="1"/>
  <c r="J533" i="3" s="1"/>
  <c r="J534" i="3" a="1"/>
  <c r="J534" i="3" s="1"/>
  <c r="J535" i="3" a="1"/>
  <c r="J535" i="3" s="1"/>
  <c r="J536" i="3" a="1"/>
  <c r="J536" i="3" s="1"/>
  <c r="J537" i="3" a="1"/>
  <c r="J537" i="3" s="1"/>
  <c r="J538" i="3" a="1"/>
  <c r="J538" i="3" s="1"/>
  <c r="J539" i="3" a="1"/>
  <c r="J539" i="3" s="1"/>
  <c r="J540" i="3" a="1"/>
  <c r="J540" i="3" s="1"/>
  <c r="J541" i="3" a="1"/>
  <c r="J541" i="3" s="1"/>
  <c r="J542" i="3" a="1"/>
  <c r="J542" i="3" s="1"/>
  <c r="J543" i="3" a="1"/>
  <c r="J543" i="3" s="1"/>
  <c r="J544" i="3" a="1"/>
  <c r="J544" i="3" s="1"/>
  <c r="J545" i="3" a="1"/>
  <c r="J545" i="3" s="1"/>
  <c r="J546" i="3" a="1"/>
  <c r="J546" i="3" s="1"/>
  <c r="J547" i="3" a="1"/>
  <c r="J547" i="3" s="1"/>
  <c r="J548" i="3" a="1"/>
  <c r="J548" i="3" s="1"/>
  <c r="J549" i="3" a="1"/>
  <c r="J549" i="3" s="1"/>
  <c r="J550" i="3" a="1"/>
  <c r="J550" i="3" s="1"/>
  <c r="J551" i="3" a="1"/>
  <c r="J551" i="3" s="1"/>
  <c r="J552" i="3" a="1"/>
  <c r="J552" i="3" s="1"/>
  <c r="J553" i="3" a="1"/>
  <c r="J553" i="3" s="1"/>
  <c r="J554" i="3" a="1"/>
  <c r="J554" i="3" s="1"/>
  <c r="J555" i="3" a="1"/>
  <c r="J555" i="3" s="1"/>
  <c r="J556" i="3" a="1"/>
  <c r="J556" i="3" s="1"/>
  <c r="J557" i="3" a="1"/>
  <c r="J557" i="3" s="1"/>
  <c r="J558" i="3" a="1"/>
  <c r="J558" i="3" s="1"/>
  <c r="J559" i="3" a="1"/>
  <c r="J559" i="3" s="1"/>
  <c r="J560" i="3" a="1"/>
  <c r="J560" i="3" s="1"/>
  <c r="J561" i="3" a="1"/>
  <c r="J561" i="3" s="1"/>
  <c r="J562" i="3" a="1"/>
  <c r="J562" i="3" s="1"/>
  <c r="J563" i="3" a="1"/>
  <c r="J563" i="3" s="1"/>
  <c r="J564" i="3" a="1"/>
  <c r="J564" i="3" s="1"/>
  <c r="J565" i="3" a="1"/>
  <c r="J565" i="3" s="1"/>
  <c r="J566" i="3" a="1"/>
  <c r="J566" i="3" s="1"/>
  <c r="J567" i="3" a="1"/>
  <c r="J567" i="3" s="1"/>
  <c r="J568" i="3" a="1"/>
  <c r="J568" i="3"/>
  <c r="J569" i="3" a="1"/>
  <c r="J569" i="3" s="1"/>
  <c r="J570" i="3" a="1"/>
  <c r="J570" i="3" s="1"/>
  <c r="J571" i="3" a="1"/>
  <c r="J571" i="3" s="1"/>
  <c r="J572" i="3" a="1"/>
  <c r="J572" i="3" s="1"/>
  <c r="J573" i="3" a="1"/>
  <c r="J573" i="3" s="1"/>
  <c r="J574" i="3" a="1"/>
  <c r="J574" i="3" s="1"/>
  <c r="J575" i="3" a="1"/>
  <c r="J575" i="3" s="1"/>
  <c r="J576" i="3" a="1"/>
  <c r="J576" i="3" s="1"/>
  <c r="J577" i="3" a="1"/>
  <c r="J577" i="3" s="1"/>
  <c r="J578" i="3" a="1"/>
  <c r="J578" i="3" s="1"/>
  <c r="J579" i="3" a="1"/>
  <c r="J579" i="3"/>
  <c r="J580" i="3" a="1"/>
  <c r="J580" i="3" s="1"/>
  <c r="J581" i="3" a="1"/>
  <c r="J581" i="3" s="1"/>
  <c r="J582" i="3" a="1"/>
  <c r="J582" i="3" s="1"/>
  <c r="J583" i="3" a="1"/>
  <c r="J583" i="3" s="1"/>
  <c r="J584" i="3" a="1"/>
  <c r="J584" i="3" s="1"/>
  <c r="J585" i="3" a="1"/>
  <c r="J585" i="3" s="1"/>
  <c r="J586" i="3" a="1"/>
  <c r="J586" i="3" s="1"/>
  <c r="J587" i="3" a="1"/>
  <c r="J587" i="3" s="1"/>
  <c r="J588" i="3" a="1"/>
  <c r="J588" i="3" s="1"/>
  <c r="J589" i="3" a="1"/>
  <c r="J589" i="3" s="1"/>
  <c r="J590" i="3" a="1"/>
  <c r="J590" i="3"/>
  <c r="J591" i="3" a="1"/>
  <c r="J591" i="3" s="1"/>
  <c r="J592" i="3" a="1"/>
  <c r="J592" i="3" s="1"/>
  <c r="J593" i="3" a="1"/>
  <c r="J593" i="3" s="1"/>
  <c r="J594" i="3" a="1"/>
  <c r="J594" i="3" s="1"/>
  <c r="J595" i="3" a="1"/>
  <c r="J595" i="3" s="1"/>
  <c r="J596" i="3" a="1"/>
  <c r="J596" i="3" s="1"/>
  <c r="J597" i="3" a="1"/>
  <c r="J597" i="3" s="1"/>
  <c r="J598" i="3" a="1"/>
  <c r="J598" i="3" s="1"/>
  <c r="J599" i="3" a="1"/>
  <c r="J599" i="3" s="1"/>
  <c r="J600" i="3" a="1"/>
  <c r="J600" i="3"/>
  <c r="J601" i="3" a="1"/>
  <c r="J601" i="3" s="1"/>
  <c r="J602" i="3" a="1"/>
  <c r="J602" i="3" s="1"/>
  <c r="J603" i="3" a="1"/>
  <c r="J603" i="3" s="1"/>
  <c r="J604" i="3" a="1"/>
  <c r="J604" i="3" s="1"/>
  <c r="J605" i="3" a="1"/>
  <c r="J605" i="3" s="1"/>
  <c r="J606" i="3" a="1"/>
  <c r="J606" i="3" s="1"/>
  <c r="J607" i="3" a="1"/>
  <c r="J607" i="3" s="1"/>
  <c r="J608" i="3" a="1"/>
  <c r="J608" i="3" s="1"/>
  <c r="J609" i="3" a="1"/>
  <c r="J609" i="3" s="1"/>
  <c r="J610" i="3" a="1"/>
  <c r="J610" i="3" s="1"/>
  <c r="J611" i="3" a="1"/>
  <c r="J611" i="3" s="1"/>
  <c r="J612" i="3" a="1"/>
  <c r="J612" i="3" s="1"/>
  <c r="J613" i="3" a="1"/>
  <c r="J613" i="3" s="1"/>
  <c r="J614" i="3" a="1"/>
  <c r="J614" i="3" s="1"/>
  <c r="J615" i="3" a="1"/>
  <c r="J615" i="3" s="1"/>
  <c r="J616" i="3" a="1"/>
  <c r="J616" i="3" s="1"/>
  <c r="J617" i="3" a="1"/>
  <c r="J617" i="3" s="1"/>
  <c r="J618" i="3" a="1"/>
  <c r="J618" i="3" s="1"/>
  <c r="J619" i="3" a="1"/>
  <c r="J619" i="3" s="1"/>
  <c r="J620" i="3" a="1"/>
  <c r="J620" i="3" s="1"/>
  <c r="J621" i="3" a="1"/>
  <c r="J621" i="3" s="1"/>
  <c r="J622" i="3" a="1"/>
  <c r="J622" i="3" s="1"/>
  <c r="J623" i="3" a="1"/>
  <c r="J623" i="3" s="1"/>
  <c r="J624" i="3" a="1"/>
  <c r="J624" i="3" s="1"/>
  <c r="J625" i="3" a="1"/>
  <c r="J625" i="3" s="1"/>
  <c r="J626" i="3" a="1"/>
  <c r="J626" i="3" s="1"/>
  <c r="J627" i="3" a="1"/>
  <c r="J627" i="3" s="1"/>
  <c r="J628" i="3" a="1"/>
  <c r="J628" i="3" s="1"/>
  <c r="J629" i="3" a="1"/>
  <c r="J629" i="3" s="1"/>
  <c r="J630" i="3" a="1"/>
  <c r="J630" i="3" s="1"/>
  <c r="J631" i="3" a="1"/>
  <c r="J631" i="3" s="1"/>
  <c r="J632" i="3" a="1"/>
  <c r="J632" i="3" s="1"/>
  <c r="J633" i="3" a="1"/>
  <c r="J633" i="3" s="1"/>
  <c r="J634" i="3" a="1"/>
  <c r="J634" i="3" s="1"/>
  <c r="J635" i="3" a="1"/>
  <c r="J635" i="3" s="1"/>
  <c r="J636" i="3" a="1"/>
  <c r="J636" i="3" s="1"/>
  <c r="J637" i="3" a="1"/>
  <c r="J637" i="3" s="1"/>
  <c r="J638" i="3" a="1"/>
  <c r="J638" i="3" s="1"/>
  <c r="J639" i="3" a="1"/>
  <c r="J639" i="3" s="1"/>
  <c r="J640" i="3" a="1"/>
  <c r="J640" i="3" s="1"/>
  <c r="J641" i="3" a="1"/>
  <c r="J641" i="3" s="1"/>
  <c r="J642" i="3" a="1"/>
  <c r="J642" i="3" s="1"/>
  <c r="J643" i="3" a="1"/>
  <c r="J643" i="3" s="1"/>
  <c r="J644" i="3" a="1"/>
  <c r="J644" i="3" s="1"/>
  <c r="J645" i="3" a="1"/>
  <c r="J645" i="3" s="1"/>
  <c r="J646" i="3" a="1"/>
  <c r="J646" i="3" s="1"/>
  <c r="J647" i="3" a="1"/>
  <c r="J647" i="3" s="1"/>
  <c r="J648" i="3" a="1"/>
  <c r="J648" i="3" s="1"/>
  <c r="J649" i="3" a="1"/>
  <c r="J649" i="3" s="1"/>
  <c r="J650" i="3" a="1"/>
  <c r="J650" i="3" s="1"/>
  <c r="J651" i="3" a="1"/>
  <c r="J651" i="3" s="1"/>
  <c r="J652" i="3" a="1"/>
  <c r="J652" i="3" s="1"/>
  <c r="J653" i="3" a="1"/>
  <c r="J653" i="3" s="1"/>
  <c r="J654" i="3" a="1"/>
  <c r="J654" i="3" s="1"/>
  <c r="J655" i="3" a="1"/>
  <c r="J655" i="3" s="1"/>
  <c r="J656" i="3" a="1"/>
  <c r="J656" i="3" s="1"/>
  <c r="J657" i="3" a="1"/>
  <c r="J657" i="3" s="1"/>
  <c r="J658" i="3" a="1"/>
  <c r="J658" i="3" s="1"/>
  <c r="J659" i="3" a="1"/>
  <c r="J659" i="3" s="1"/>
  <c r="J660" i="3" a="1"/>
  <c r="J660" i="3" s="1"/>
  <c r="J661" i="3" a="1"/>
  <c r="J661" i="3" s="1"/>
  <c r="J662" i="3" a="1"/>
  <c r="J662" i="3" s="1"/>
  <c r="J663" i="3" a="1"/>
  <c r="J663" i="3" s="1"/>
  <c r="J664" i="3" a="1"/>
  <c r="J664" i="3" s="1"/>
  <c r="J665" i="3" a="1"/>
  <c r="J665" i="3" s="1"/>
  <c r="J666" i="3" a="1"/>
  <c r="J666" i="3" s="1"/>
  <c r="J667" i="3" a="1"/>
  <c r="J667" i="3" s="1"/>
  <c r="J668" i="3" a="1"/>
  <c r="J668" i="3" s="1"/>
  <c r="J669" i="3" a="1"/>
  <c r="J669" i="3" s="1"/>
  <c r="J670" i="3" a="1"/>
  <c r="J670" i="3" s="1"/>
  <c r="J671" i="3" a="1"/>
  <c r="J671" i="3" s="1"/>
  <c r="J672" i="3" a="1"/>
  <c r="J672" i="3" s="1"/>
  <c r="J673" i="3" a="1"/>
  <c r="J673" i="3" s="1"/>
  <c r="J674" i="3" a="1"/>
  <c r="J674" i="3" s="1"/>
  <c r="J675" i="3" a="1"/>
  <c r="J675" i="3" s="1"/>
  <c r="J676" i="3" a="1"/>
  <c r="J676" i="3" s="1"/>
  <c r="J677" i="3" a="1"/>
  <c r="J677" i="3" s="1"/>
  <c r="J678" i="3" a="1"/>
  <c r="J678" i="3" s="1"/>
  <c r="J679" i="3" a="1"/>
  <c r="J679" i="3" s="1"/>
  <c r="J680" i="3" a="1"/>
  <c r="J680" i="3" s="1"/>
  <c r="J681" i="3" a="1"/>
  <c r="J681" i="3" s="1"/>
  <c r="J682" i="3" a="1"/>
  <c r="J682" i="3" s="1"/>
  <c r="J683" i="3" a="1"/>
  <c r="J683" i="3" s="1"/>
  <c r="J684" i="3" a="1"/>
  <c r="J684" i="3" s="1"/>
  <c r="J685" i="3" a="1"/>
  <c r="J685" i="3" s="1"/>
  <c r="J686" i="3" a="1"/>
  <c r="J686" i="3" s="1"/>
  <c r="J687" i="3" a="1"/>
  <c r="J687" i="3" s="1"/>
  <c r="J688" i="3" a="1"/>
  <c r="J688" i="3" s="1"/>
  <c r="J689" i="3" a="1"/>
  <c r="J689" i="3" s="1"/>
  <c r="J690" i="3" a="1"/>
  <c r="J690" i="3" s="1"/>
  <c r="J691" i="3" a="1"/>
  <c r="J691" i="3" s="1"/>
  <c r="J692" i="3" a="1"/>
  <c r="J692" i="3" s="1"/>
  <c r="J693" i="3" a="1"/>
  <c r="J693" i="3" s="1"/>
  <c r="J694" i="3" a="1"/>
  <c r="J694" i="3" s="1"/>
  <c r="J695" i="3" a="1"/>
  <c r="J695" i="3" s="1"/>
  <c r="J696" i="3" a="1"/>
  <c r="J696" i="3" s="1"/>
  <c r="J697" i="3" a="1"/>
  <c r="J697" i="3" s="1"/>
  <c r="J698" i="3" a="1"/>
  <c r="J698" i="3" s="1"/>
  <c r="J699" i="3" a="1"/>
  <c r="J699" i="3" s="1"/>
  <c r="J700" i="3" a="1"/>
  <c r="J700" i="3"/>
  <c r="J701" i="3" a="1"/>
  <c r="J701" i="3" s="1"/>
  <c r="J702" i="3" a="1"/>
  <c r="J702" i="3" s="1"/>
  <c r="J703" i="3" a="1"/>
  <c r="J703" i="3" s="1"/>
  <c r="J704" i="3" a="1"/>
  <c r="J704" i="3" s="1"/>
  <c r="J705" i="3" a="1"/>
  <c r="J705" i="3" s="1"/>
  <c r="J706" i="3" a="1"/>
  <c r="J706" i="3" s="1"/>
  <c r="J707" i="3" a="1"/>
  <c r="J707" i="3" s="1"/>
  <c r="J708" i="3" a="1"/>
  <c r="J708" i="3" s="1"/>
  <c r="J709" i="3" a="1"/>
  <c r="J709" i="3" s="1"/>
  <c r="J710" i="3" a="1"/>
  <c r="J710" i="3" s="1"/>
  <c r="J711" i="3" a="1"/>
  <c r="J711" i="3" s="1"/>
  <c r="J712" i="3" a="1"/>
  <c r="J712" i="3" s="1"/>
  <c r="J713" i="3" a="1"/>
  <c r="J713" i="3" s="1"/>
  <c r="J714" i="3" a="1"/>
  <c r="J714" i="3" s="1"/>
  <c r="J715" i="3" a="1"/>
  <c r="J715" i="3" s="1"/>
  <c r="J716" i="3" a="1"/>
  <c r="J716" i="3" s="1"/>
  <c r="J717" i="3" a="1"/>
  <c r="J717" i="3" s="1"/>
  <c r="J718" i="3" a="1"/>
  <c r="J718" i="3" s="1"/>
  <c r="J719" i="3" a="1"/>
  <c r="J719" i="3" s="1"/>
  <c r="J720" i="3" a="1"/>
  <c r="J720" i="3" s="1"/>
  <c r="J721" i="3" a="1"/>
  <c r="J721" i="3" s="1"/>
  <c r="J722" i="3" a="1"/>
  <c r="J722" i="3"/>
  <c r="J149" i="3" a="1"/>
  <c r="J149" i="3" s="1"/>
  <c r="J150" i="3" a="1"/>
  <c r="J150" i="3" s="1"/>
  <c r="J151" i="3" a="1"/>
  <c r="J151" i="3" s="1"/>
  <c r="J152" i="3" a="1"/>
  <c r="J152" i="3" s="1"/>
  <c r="J143" i="3" a="1"/>
  <c r="J143" i="3" s="1"/>
  <c r="J144" i="3" a="1"/>
  <c r="J144" i="3" s="1"/>
  <c r="J145" i="3" a="1"/>
  <c r="J145" i="3" s="1"/>
  <c r="J146" i="3" a="1"/>
  <c r="J146" i="3" s="1"/>
  <c r="J147" i="3" a="1"/>
  <c r="J147" i="3" s="1"/>
  <c r="J148" i="3" a="1"/>
  <c r="J148" i="3" s="1"/>
  <c r="J137" i="3" a="1"/>
  <c r="J137" i="3" s="1"/>
  <c r="J138" i="3" a="1"/>
  <c r="J138" i="3" s="1"/>
  <c r="J139" i="3" a="1"/>
  <c r="J139" i="3" s="1"/>
  <c r="J140" i="3" a="1"/>
  <c r="J140" i="3" s="1"/>
  <c r="J141" i="3" a="1"/>
  <c r="J141" i="3" s="1"/>
  <c r="J142" i="3" a="1"/>
  <c r="J142" i="3" s="1"/>
  <c r="J135" i="3" a="1"/>
  <c r="J135" i="3" s="1"/>
  <c r="J136" i="3" a="1"/>
  <c r="J136" i="3" s="1"/>
  <c r="J131" i="3" a="1"/>
  <c r="J131" i="3" s="1"/>
  <c r="J132" i="3" a="1"/>
  <c r="J132" i="3" s="1"/>
  <c r="J133" i="3" a="1"/>
  <c r="J133" i="3" s="1"/>
  <c r="J134" i="3" a="1"/>
  <c r="J134" i="3" s="1"/>
  <c r="J126" i="3" a="1"/>
  <c r="J126" i="3" s="1"/>
  <c r="J127" i="3" a="1"/>
  <c r="J127" i="3" s="1"/>
  <c r="J128" i="3" a="1"/>
  <c r="J128" i="3" s="1"/>
  <c r="J129" i="3" a="1"/>
  <c r="J129" i="3" s="1"/>
  <c r="J130" i="3" a="1"/>
  <c r="J130" i="3" s="1"/>
  <c r="J123" i="3" a="1"/>
  <c r="J123" i="3" s="1"/>
  <c r="J124" i="3" a="1"/>
  <c r="J124" i="3" s="1"/>
  <c r="J125" i="3" a="1"/>
  <c r="J125" i="3" s="1"/>
  <c r="J120" i="3" a="1"/>
  <c r="J120" i="3" s="1"/>
  <c r="J121" i="3" a="1"/>
  <c r="J121" i="3" s="1"/>
  <c r="J122" i="3" a="1"/>
  <c r="J122" i="3" s="1"/>
  <c r="J117" i="3" a="1"/>
  <c r="J117" i="3" s="1"/>
  <c r="J118" i="3" a="1"/>
  <c r="J118" i="3" s="1"/>
  <c r="J119" i="3" a="1"/>
  <c r="J119" i="3" s="1"/>
  <c r="J110" i="3" a="1"/>
  <c r="J110" i="3" s="1"/>
  <c r="J111" i="3" a="1"/>
  <c r="J111" i="3" s="1"/>
  <c r="J112" i="3" a="1"/>
  <c r="J112" i="3" s="1"/>
  <c r="J113" i="3" a="1"/>
  <c r="J113" i="3" s="1"/>
  <c r="J114" i="3" a="1"/>
  <c r="J114" i="3" s="1"/>
  <c r="J115" i="3" a="1"/>
  <c r="J115" i="3" s="1"/>
  <c r="J116" i="3" a="1"/>
  <c r="J116" i="3" s="1"/>
  <c r="J107" i="3" a="1"/>
  <c r="J107" i="3" s="1"/>
  <c r="J108" i="3" a="1"/>
  <c r="J108" i="3" s="1"/>
  <c r="J109" i="3" a="1"/>
  <c r="J109" i="3" s="1"/>
  <c r="J104" i="3" a="1"/>
  <c r="J104" i="3" s="1"/>
  <c r="J105" i="3" a="1"/>
  <c r="J105" i="3" s="1"/>
  <c r="J106" i="3" a="1"/>
  <c r="J106" i="3" s="1"/>
  <c r="J103" i="3" a="1"/>
  <c r="J103" i="3"/>
  <c r="J99" i="3" a="1"/>
  <c r="J99" i="3" s="1"/>
  <c r="J100" i="3" a="1"/>
  <c r="J100" i="3" s="1"/>
  <c r="J101" i="3" a="1"/>
  <c r="J101" i="3" s="1"/>
  <c r="J102" i="3" a="1"/>
  <c r="J102" i="3" s="1"/>
  <c r="J95" i="3" a="1"/>
  <c r="J95" i="3" s="1"/>
  <c r="J96" i="3" a="1"/>
  <c r="J96" i="3" s="1"/>
  <c r="J97" i="3" a="1"/>
  <c r="J97" i="3" s="1"/>
  <c r="J98" i="3" a="1"/>
  <c r="J98" i="3" s="1"/>
  <c r="J91" i="3" a="1"/>
  <c r="J91" i="3" s="1"/>
  <c r="J92" i="3" a="1"/>
  <c r="J92" i="3" s="1"/>
  <c r="J93" i="3" a="1"/>
  <c r="J93" i="3" s="1"/>
  <c r="J94" i="3" a="1"/>
  <c r="J94" i="3" s="1"/>
  <c r="J88" i="3" a="1"/>
  <c r="J88" i="3" s="1"/>
  <c r="J89" i="3" a="1"/>
  <c r="J89" i="3" s="1"/>
  <c r="J90" i="3" a="1"/>
  <c r="J90" i="3" s="1"/>
  <c r="J84" i="3" a="1"/>
  <c r="J84" i="3" s="1"/>
  <c r="J85" i="3" a="1"/>
  <c r="J85" i="3" s="1"/>
  <c r="J86" i="3" a="1"/>
  <c r="J86" i="3" s="1"/>
  <c r="J87" i="3" a="1"/>
  <c r="J87" i="3" s="1"/>
  <c r="J74" i="3" a="1"/>
  <c r="J74" i="3" s="1"/>
  <c r="J75" i="3" a="1"/>
  <c r="J75" i="3" s="1"/>
  <c r="J76" i="3" a="1"/>
  <c r="J76" i="3" s="1"/>
  <c r="J77" i="3" a="1"/>
  <c r="J77" i="3" s="1"/>
  <c r="J78" i="3" a="1"/>
  <c r="J78" i="3" s="1"/>
  <c r="J79" i="3" a="1"/>
  <c r="J79" i="3" s="1"/>
  <c r="J80" i="3" a="1"/>
  <c r="J80" i="3" s="1"/>
  <c r="J81" i="3" a="1"/>
  <c r="J81" i="3" s="1"/>
  <c r="J82" i="3" a="1"/>
  <c r="J82" i="3" s="1"/>
  <c r="J83" i="3" a="1"/>
  <c r="J83" i="3" s="1"/>
  <c r="J71" i="3" a="1"/>
  <c r="J71" i="3" s="1"/>
  <c r="J72" i="3" a="1"/>
  <c r="J72" i="3" s="1"/>
  <c r="J73" i="3" a="1"/>
  <c r="J73" i="3" s="1"/>
  <c r="J63" i="3" a="1"/>
  <c r="J63" i="3" s="1"/>
  <c r="J64" i="3" a="1"/>
  <c r="J64" i="3" s="1"/>
  <c r="J65" i="3" a="1"/>
  <c r="J65" i="3" s="1"/>
  <c r="J66" i="3" a="1"/>
  <c r="J66" i="3" s="1"/>
  <c r="J67" i="3" a="1"/>
  <c r="J67" i="3" s="1"/>
  <c r="J68" i="3" a="1"/>
  <c r="J68" i="3" s="1"/>
  <c r="J69" i="3" a="1"/>
  <c r="J69" i="3" s="1"/>
  <c r="J70" i="3" a="1"/>
  <c r="J70" i="3" s="1"/>
  <c r="J53" i="3" a="1"/>
  <c r="J53" i="3" s="1"/>
  <c r="J54" i="3" a="1"/>
  <c r="J54" i="3" s="1"/>
  <c r="J55" i="3" a="1"/>
  <c r="J55" i="3" s="1"/>
  <c r="J56" i="3" a="1"/>
  <c r="J56" i="3" s="1"/>
  <c r="J57" i="3" a="1"/>
  <c r="J57" i="3" s="1"/>
  <c r="J58" i="3" a="1"/>
  <c r="J58" i="3" s="1"/>
  <c r="J59" i="3" a="1"/>
  <c r="J59" i="3" s="1"/>
  <c r="J60" i="3" a="1"/>
  <c r="J60" i="3" s="1"/>
  <c r="J61" i="3" a="1"/>
  <c r="J61" i="3" s="1"/>
  <c r="J62" i="3" a="1"/>
  <c r="J62" i="3"/>
  <c r="J48" i="3" a="1"/>
  <c r="J48" i="3" s="1"/>
  <c r="J49" i="3" a="1"/>
  <c r="J49" i="3" s="1"/>
  <c r="J50" i="3" a="1"/>
  <c r="J50" i="3" s="1"/>
  <c r="J51" i="3" a="1"/>
  <c r="J51" i="3" s="1"/>
  <c r="J52" i="3" a="1"/>
  <c r="J52" i="3" s="1"/>
  <c r="J45" i="3" a="1"/>
  <c r="J45" i="3" s="1"/>
  <c r="J46" i="3" a="1"/>
  <c r="J46" i="3" s="1"/>
  <c r="J47" i="3" a="1"/>
  <c r="J47" i="3" s="1"/>
  <c r="J44" i="3" a="1"/>
  <c r="J44" i="3" s="1"/>
  <c r="J39" i="3" a="1"/>
  <c r="J39" i="3" s="1"/>
  <c r="J40" i="3" a="1"/>
  <c r="J40" i="3" s="1"/>
  <c r="J41" i="3" a="1"/>
  <c r="J41" i="3" s="1"/>
  <c r="J42" i="3" a="1"/>
  <c r="J42" i="3" s="1"/>
  <c r="J43" i="3" a="1"/>
  <c r="J43" i="3" s="1"/>
  <c r="J36" i="3" a="1"/>
  <c r="J36" i="3" s="1"/>
  <c r="J37" i="3" a="1"/>
  <c r="J37" i="3"/>
  <c r="J38" i="3" a="1"/>
  <c r="J38" i="3" s="1"/>
  <c r="J35" i="3" a="1"/>
  <c r="J35" i="3" s="1"/>
  <c r="J32" i="3" a="1"/>
  <c r="J32" i="3" s="1"/>
  <c r="J33" i="3" a="1"/>
  <c r="J33" i="3" s="1"/>
  <c r="J34" i="3" a="1"/>
  <c r="J34" i="3" s="1"/>
  <c r="J25" i="3" a="1"/>
  <c r="J25" i="3" s="1"/>
  <c r="J26" i="3" a="1"/>
  <c r="J26" i="3" s="1"/>
  <c r="J27" i="3" a="1"/>
  <c r="J27" i="3" s="1"/>
  <c r="J28" i="3" a="1"/>
  <c r="J28" i="3" s="1"/>
  <c r="J29" i="3" a="1"/>
  <c r="J29" i="3" s="1"/>
  <c r="J30" i="3" a="1"/>
  <c r="J30" i="3" s="1"/>
  <c r="J31" i="3" a="1"/>
  <c r="J31" i="3" s="1"/>
  <c r="J23" i="3" a="1"/>
  <c r="J23" i="3" s="1"/>
  <c r="J24" i="3" a="1"/>
  <c r="J24" i="3" s="1"/>
  <c r="J22" i="3" a="1"/>
  <c r="J22" i="3" s="1"/>
  <c r="J18" i="3" a="1"/>
  <c r="J18" i="3"/>
  <c r="J19" i="3" a="1"/>
  <c r="J19" i="3" s="1"/>
  <c r="J20" i="3" a="1"/>
  <c r="J20" i="3" s="1"/>
  <c r="J21" i="3" a="1"/>
  <c r="J21" i="3" s="1"/>
  <c r="J14" i="3" a="1"/>
  <c r="J14" i="3" s="1"/>
  <c r="J15" i="3" a="1"/>
  <c r="J15" i="3" s="1"/>
  <c r="J16" i="3" a="1"/>
  <c r="J16" i="3" s="1"/>
  <c r="J17" i="3" a="1"/>
  <c r="J17" i="3" s="1"/>
  <c r="J11" i="3" a="1"/>
  <c r="J11" i="3" s="1"/>
  <c r="J12" i="3" a="1"/>
  <c r="J12" i="3" s="1"/>
  <c r="J13" i="3" a="1"/>
  <c r="J13" i="3" s="1"/>
  <c r="J8" i="3" a="1"/>
  <c r="J8" i="3" s="1"/>
  <c r="J9" i="3" a="1"/>
  <c r="J9" i="3" s="1"/>
  <c r="J10" i="3" a="1"/>
  <c r="J10" i="3" s="1"/>
  <c r="J2" i="3" a="1"/>
  <c r="J2" i="3" s="1"/>
  <c r="J3" i="3" a="1"/>
  <c r="J3" i="3" s="1"/>
  <c r="J4" i="3" a="1"/>
  <c r="J4" i="3" s="1"/>
  <c r="J5" i="3" a="1"/>
  <c r="J5" i="3" s="1"/>
  <c r="J6" i="3" a="1"/>
  <c r="J6" i="3" s="1"/>
  <c r="J7" i="3" a="1"/>
  <c r="J7" i="3" s="1"/>
  <c r="E10" i="4"/>
  <c r="E9" i="4"/>
  <c r="E8" i="4"/>
  <c r="E7" i="4"/>
  <c r="E6" i="4"/>
  <c r="E5" i="4"/>
  <c r="E3" i="4"/>
  <c r="E4" i="4"/>
  <c r="M272" i="3" l="1"/>
  <c r="B35" i="4"/>
  <c r="M700" i="3"/>
  <c r="B34" i="4"/>
  <c r="M697" i="3"/>
  <c r="B33" i="4"/>
  <c r="M622" i="3"/>
  <c r="B32" i="4"/>
  <c r="M610" i="3"/>
  <c r="B31" i="4"/>
  <c r="M408" i="3"/>
  <c r="B30" i="4"/>
  <c r="M276" i="3"/>
  <c r="B29" i="4"/>
  <c r="M273" i="3"/>
  <c r="B28" i="4"/>
  <c r="B38" i="4"/>
  <c r="B26" i="4"/>
  <c r="B37" i="4"/>
  <c r="M608" i="3"/>
  <c r="M259" i="3"/>
  <c r="M712" i="3"/>
  <c r="M505" i="3"/>
  <c r="M116" i="3"/>
  <c r="M800" i="3"/>
  <c r="M524" i="3"/>
  <c r="M252" i="3"/>
  <c r="M790" i="3"/>
  <c r="M513" i="3"/>
  <c r="M132" i="3"/>
  <c r="M789" i="3"/>
  <c r="M508" i="3"/>
  <c r="M131" i="3"/>
  <c r="M709" i="3"/>
  <c r="M418" i="3"/>
  <c r="M115" i="3"/>
  <c r="M796" i="3"/>
  <c r="M517" i="3"/>
  <c r="M136" i="3"/>
  <c r="M705" i="3"/>
  <c r="M412" i="3"/>
  <c r="M619" i="3"/>
  <c r="M405" i="3"/>
  <c r="M802" i="3"/>
  <c r="M616" i="3"/>
  <c r="M395" i="3"/>
  <c r="M784" i="3"/>
  <c r="M695" i="3"/>
  <c r="M604" i="3"/>
  <c r="M501" i="3"/>
  <c r="M392" i="3"/>
  <c r="M251" i="3"/>
  <c r="M112" i="3"/>
  <c r="M849" i="3"/>
  <c r="M757" i="3"/>
  <c r="M669" i="3"/>
  <c r="M577" i="3"/>
  <c r="M475" i="3"/>
  <c r="M352" i="3"/>
  <c r="M213" i="3"/>
  <c r="M72" i="3"/>
  <c r="M844" i="3"/>
  <c r="M756" i="3"/>
  <c r="M668" i="3"/>
  <c r="M575" i="3"/>
  <c r="M471" i="3"/>
  <c r="M348" i="3"/>
  <c r="M212" i="3"/>
  <c r="M71" i="3"/>
  <c r="M843" i="3"/>
  <c r="M754" i="3"/>
  <c r="M667" i="3"/>
  <c r="M571" i="3"/>
  <c r="M465" i="3"/>
  <c r="M347" i="3"/>
  <c r="M211" i="3"/>
  <c r="M60" i="3"/>
  <c r="M831" i="3"/>
  <c r="M741" i="3"/>
  <c r="M651" i="3"/>
  <c r="M559" i="3"/>
  <c r="M454" i="3"/>
  <c r="M328" i="3"/>
  <c r="M190" i="3"/>
  <c r="M43" i="3"/>
  <c r="M827" i="3"/>
  <c r="M739" i="3"/>
  <c r="M649" i="3"/>
  <c r="M552" i="3"/>
  <c r="M447" i="3"/>
  <c r="M325" i="3"/>
  <c r="M179" i="3"/>
  <c r="M36" i="3"/>
  <c r="M826" i="3"/>
  <c r="M736" i="3"/>
  <c r="M648" i="3"/>
  <c r="M549" i="3"/>
  <c r="M443" i="3"/>
  <c r="M319" i="3"/>
  <c r="M176" i="3"/>
  <c r="M35" i="3"/>
  <c r="M841" i="3"/>
  <c r="M791" i="3"/>
  <c r="M753" i="3"/>
  <c r="M703" i="3"/>
  <c r="M663" i="3"/>
  <c r="M613" i="3"/>
  <c r="M565" i="3"/>
  <c r="M511" i="3"/>
  <c r="M460" i="3"/>
  <c r="M406" i="3"/>
  <c r="M346" i="3"/>
  <c r="M268" i="3"/>
  <c r="M200" i="3"/>
  <c r="M120" i="3"/>
  <c r="M57" i="3"/>
  <c r="M824" i="3"/>
  <c r="M781" i="3"/>
  <c r="M732" i="3"/>
  <c r="M693" i="3"/>
  <c r="M643" i="3"/>
  <c r="M600" i="3"/>
  <c r="M544" i="3"/>
  <c r="M495" i="3"/>
  <c r="M441" i="3"/>
  <c r="M391" i="3"/>
  <c r="M310" i="3"/>
  <c r="M250" i="3"/>
  <c r="M172" i="3"/>
  <c r="M109" i="3"/>
  <c r="M33" i="3"/>
  <c r="M861" i="3"/>
  <c r="M820" i="3"/>
  <c r="M772" i="3"/>
  <c r="M730" i="3"/>
  <c r="M683" i="3"/>
  <c r="M639" i="3"/>
  <c r="M592" i="3"/>
  <c r="M543" i="3"/>
  <c r="M489" i="3"/>
  <c r="M440" i="3"/>
  <c r="M371" i="3"/>
  <c r="M309" i="3"/>
  <c r="M232" i="3"/>
  <c r="M168" i="3"/>
  <c r="M93" i="3"/>
  <c r="M22" i="3"/>
  <c r="M860" i="3"/>
  <c r="M816" i="3"/>
  <c r="M769" i="3"/>
  <c r="M728" i="3"/>
  <c r="M681" i="3"/>
  <c r="M635" i="3"/>
  <c r="M587" i="3"/>
  <c r="M540" i="3"/>
  <c r="M481" i="3"/>
  <c r="M436" i="3"/>
  <c r="M370" i="3"/>
  <c r="M308" i="3"/>
  <c r="M229" i="3"/>
  <c r="M160" i="3"/>
  <c r="M92" i="3"/>
  <c r="M19" i="3"/>
  <c r="M859" i="3"/>
  <c r="M814" i="3"/>
  <c r="M767" i="3"/>
  <c r="M721" i="3"/>
  <c r="M679" i="3"/>
  <c r="M634" i="3"/>
  <c r="M584" i="3"/>
  <c r="M536" i="3"/>
  <c r="M478" i="3"/>
  <c r="M430" i="3"/>
  <c r="M368" i="3"/>
  <c r="M298" i="3"/>
  <c r="M228" i="3"/>
  <c r="M155" i="3"/>
  <c r="M82" i="3"/>
  <c r="M16" i="3"/>
  <c r="M852" i="3"/>
  <c r="M811" i="3"/>
  <c r="M763" i="3"/>
  <c r="M720" i="3"/>
  <c r="M670" i="3"/>
  <c r="M633" i="3"/>
  <c r="M580" i="3"/>
  <c r="M529" i="3"/>
  <c r="M476" i="3"/>
  <c r="M427" i="3"/>
  <c r="M357" i="3"/>
  <c r="M292" i="3"/>
  <c r="M214" i="3"/>
  <c r="M154" i="3"/>
  <c r="M73" i="3"/>
  <c r="M13" i="3"/>
  <c r="M855" i="3"/>
  <c r="M825" i="3"/>
  <c r="M792" i="3"/>
  <c r="M765" i="3"/>
  <c r="M735" i="3"/>
  <c r="M704" i="3"/>
  <c r="M673" i="3"/>
  <c r="M646" i="3"/>
  <c r="M615" i="3"/>
  <c r="M583" i="3"/>
  <c r="M547" i="3"/>
  <c r="M512" i="3"/>
  <c r="M477" i="3"/>
  <c r="M442" i="3"/>
  <c r="M407" i="3"/>
  <c r="M367" i="3"/>
  <c r="M311" i="3"/>
  <c r="M271" i="3"/>
  <c r="M217" i="3"/>
  <c r="M175" i="3"/>
  <c r="M130" i="3"/>
  <c r="M76" i="3"/>
  <c r="M34" i="3"/>
  <c r="M840" i="3"/>
  <c r="M808" i="3"/>
  <c r="M779" i="3"/>
  <c r="M751" i="3"/>
  <c r="M719" i="3"/>
  <c r="M687" i="3"/>
  <c r="M660" i="3"/>
  <c r="M632" i="3"/>
  <c r="M599" i="3"/>
  <c r="M564" i="3"/>
  <c r="M528" i="3"/>
  <c r="M493" i="3"/>
  <c r="M459" i="3"/>
  <c r="M424" i="3"/>
  <c r="M388" i="3"/>
  <c r="M336" i="3"/>
  <c r="M289" i="3"/>
  <c r="M249" i="3"/>
  <c r="M193" i="3"/>
  <c r="M152" i="3"/>
  <c r="M103" i="3"/>
  <c r="M56" i="3"/>
  <c r="M12" i="3"/>
  <c r="M865" i="3"/>
  <c r="M838" i="3"/>
  <c r="M807" i="3"/>
  <c r="M776" i="3"/>
  <c r="M747" i="3"/>
  <c r="M718" i="3"/>
  <c r="M685" i="3"/>
  <c r="M657" i="3"/>
  <c r="M628" i="3"/>
  <c r="M598" i="3"/>
  <c r="M562" i="3"/>
  <c r="M527" i="3"/>
  <c r="M492" i="3"/>
  <c r="M457" i="3"/>
  <c r="M423" i="3"/>
  <c r="M384" i="3"/>
  <c r="M332" i="3"/>
  <c r="M288" i="3"/>
  <c r="M238" i="3"/>
  <c r="M192" i="3"/>
  <c r="M151" i="3"/>
  <c r="M95" i="3"/>
  <c r="M55" i="3"/>
  <c r="M862" i="3"/>
  <c r="M835" i="3"/>
  <c r="M805" i="3"/>
  <c r="M775" i="3"/>
  <c r="M744" i="3"/>
  <c r="M716" i="3"/>
  <c r="M684" i="3"/>
  <c r="M652" i="3"/>
  <c r="M624" i="3"/>
  <c r="M597" i="3"/>
  <c r="M561" i="3"/>
  <c r="M526" i="3"/>
  <c r="M491" i="3"/>
  <c r="M456" i="3"/>
  <c r="M421" i="3"/>
  <c r="M376" i="3"/>
  <c r="M331" i="3"/>
  <c r="M287" i="3"/>
  <c r="M235" i="3"/>
  <c r="M191" i="3"/>
  <c r="M141" i="3"/>
  <c r="M94" i="3"/>
  <c r="M52" i="3"/>
  <c r="M864" i="3"/>
  <c r="M848" i="3"/>
  <c r="M829" i="3"/>
  <c r="M813" i="3"/>
  <c r="M795" i="3"/>
  <c r="M778" i="3"/>
  <c r="M760" i="3"/>
  <c r="M743" i="3"/>
  <c r="M727" i="3"/>
  <c r="M708" i="3"/>
  <c r="M691" i="3"/>
  <c r="M672" i="3"/>
  <c r="M656" i="3"/>
  <c r="M637" i="3"/>
  <c r="M621" i="3"/>
  <c r="M603" i="3"/>
  <c r="M586" i="3"/>
  <c r="M568" i="3"/>
  <c r="M551" i="3"/>
  <c r="M535" i="3"/>
  <c r="M516" i="3"/>
  <c r="M499" i="3"/>
  <c r="M480" i="3"/>
  <c r="M464" i="3"/>
  <c r="M445" i="3"/>
  <c r="M429" i="3"/>
  <c r="M411" i="3"/>
  <c r="M394" i="3"/>
  <c r="M373" i="3"/>
  <c r="M356" i="3"/>
  <c r="M335" i="3"/>
  <c r="M316" i="3"/>
  <c r="M296" i="3"/>
  <c r="M275" i="3"/>
  <c r="M256" i="3"/>
  <c r="M237" i="3"/>
  <c r="M216" i="3"/>
  <c r="M199" i="3"/>
  <c r="M178" i="3"/>
  <c r="M157" i="3"/>
  <c r="M140" i="3"/>
  <c r="M119" i="3"/>
  <c r="M100" i="3"/>
  <c r="M80" i="3"/>
  <c r="M59" i="3"/>
  <c r="M40" i="3"/>
  <c r="M21" i="3"/>
  <c r="M863" i="3"/>
  <c r="M847" i="3"/>
  <c r="M828" i="3"/>
  <c r="M812" i="3"/>
  <c r="M793" i="3"/>
  <c r="M777" i="3"/>
  <c r="M759" i="3"/>
  <c r="M742" i="3"/>
  <c r="M724" i="3"/>
  <c r="M706" i="3"/>
  <c r="M688" i="3"/>
  <c r="M671" i="3"/>
  <c r="M655" i="3"/>
  <c r="M636" i="3"/>
  <c r="M620" i="3"/>
  <c r="M601" i="3"/>
  <c r="M585" i="3"/>
  <c r="M567" i="3"/>
  <c r="M550" i="3"/>
  <c r="M532" i="3"/>
  <c r="M514" i="3"/>
  <c r="M496" i="3"/>
  <c r="M479" i="3"/>
  <c r="M463" i="3"/>
  <c r="M444" i="3"/>
  <c r="M428" i="3"/>
  <c r="M409" i="3"/>
  <c r="M393" i="3"/>
  <c r="M372" i="3"/>
  <c r="M355" i="3"/>
  <c r="M334" i="3"/>
  <c r="M312" i="3"/>
  <c r="M295" i="3"/>
  <c r="M274" i="3"/>
  <c r="M253" i="3"/>
  <c r="M236" i="3"/>
  <c r="M215" i="3"/>
  <c r="M196" i="3"/>
  <c r="M177" i="3"/>
  <c r="M156" i="3"/>
  <c r="M139" i="3"/>
  <c r="M118" i="3"/>
  <c r="M96" i="3"/>
  <c r="M79" i="3"/>
  <c r="M58" i="3"/>
  <c r="M37" i="3"/>
  <c r="M20" i="3"/>
  <c r="M856" i="3"/>
  <c r="M839" i="3"/>
  <c r="M823" i="3"/>
  <c r="M804" i="3"/>
  <c r="M787" i="3"/>
  <c r="M768" i="3"/>
  <c r="M752" i="3"/>
  <c r="M733" i="3"/>
  <c r="M717" i="3"/>
  <c r="M699" i="3"/>
  <c r="M682" i="3"/>
  <c r="M664" i="3"/>
  <c r="M647" i="3"/>
  <c r="M631" i="3"/>
  <c r="M612" i="3"/>
  <c r="M595" i="3"/>
  <c r="M576" i="3"/>
  <c r="M560" i="3"/>
  <c r="M541" i="3"/>
  <c r="M525" i="3"/>
  <c r="M507" i="3"/>
  <c r="M490" i="3"/>
  <c r="M472" i="3"/>
  <c r="M455" i="3"/>
  <c r="M439" i="3"/>
  <c r="M420" i="3"/>
  <c r="M403" i="3"/>
  <c r="M383" i="3"/>
  <c r="M364" i="3"/>
  <c r="M345" i="3"/>
  <c r="M324" i="3"/>
  <c r="M307" i="3"/>
  <c r="M286" i="3"/>
  <c r="M265" i="3"/>
  <c r="M248" i="3"/>
  <c r="M227" i="3"/>
  <c r="M208" i="3"/>
  <c r="M188" i="3"/>
  <c r="M167" i="3"/>
  <c r="M148" i="3"/>
  <c r="M129" i="3"/>
  <c r="M108" i="3"/>
  <c r="M91" i="3"/>
  <c r="M70" i="3"/>
  <c r="M49" i="3"/>
  <c r="M32" i="3"/>
  <c r="M11" i="3"/>
  <c r="M400" i="3"/>
  <c r="M382" i="3"/>
  <c r="M361" i="3"/>
  <c r="M344" i="3"/>
  <c r="M323" i="3"/>
  <c r="M304" i="3"/>
  <c r="M285" i="3"/>
  <c r="M264" i="3"/>
  <c r="M247" i="3"/>
  <c r="M226" i="3"/>
  <c r="M204" i="3"/>
  <c r="M187" i="3"/>
  <c r="M166" i="3"/>
  <c r="M145" i="3"/>
  <c r="M128" i="3"/>
  <c r="M107" i="3"/>
  <c r="M88" i="3"/>
  <c r="M69" i="3"/>
  <c r="M48" i="3"/>
  <c r="M31" i="3"/>
  <c r="M10" i="3"/>
  <c r="M853" i="3"/>
  <c r="M837" i="3"/>
  <c r="M817" i="3"/>
  <c r="M801" i="3"/>
  <c r="M783" i="3"/>
  <c r="M766" i="3"/>
  <c r="M748" i="3"/>
  <c r="M731" i="3"/>
  <c r="M715" i="3"/>
  <c r="M696" i="3"/>
  <c r="M680" i="3"/>
  <c r="M661" i="3"/>
  <c r="M645" i="3"/>
  <c r="M625" i="3"/>
  <c r="M609" i="3"/>
  <c r="M591" i="3"/>
  <c r="M574" i="3"/>
  <c r="M556" i="3"/>
  <c r="M539" i="3"/>
  <c r="M523" i="3"/>
  <c r="M504" i="3"/>
  <c r="M488" i="3"/>
  <c r="M469" i="3"/>
  <c r="M453" i="3"/>
  <c r="M433" i="3"/>
  <c r="M417" i="3"/>
  <c r="M399" i="3"/>
  <c r="M381" i="3"/>
  <c r="M360" i="3"/>
  <c r="M343" i="3"/>
  <c r="M322" i="3"/>
  <c r="M301" i="3"/>
  <c r="M284" i="3"/>
  <c r="M263" i="3"/>
  <c r="M244" i="3"/>
  <c r="M224" i="3"/>
  <c r="M203" i="3"/>
  <c r="M184" i="3"/>
  <c r="M165" i="3"/>
  <c r="M144" i="3"/>
  <c r="M127" i="3"/>
  <c r="M106" i="3"/>
  <c r="M85" i="3"/>
  <c r="M68" i="3"/>
  <c r="M47" i="3"/>
  <c r="M28" i="3"/>
  <c r="M8" i="3"/>
  <c r="M589" i="3"/>
  <c r="M573" i="3"/>
  <c r="M555" i="3"/>
  <c r="M538" i="3"/>
  <c r="M520" i="3"/>
  <c r="M503" i="3"/>
  <c r="M487" i="3"/>
  <c r="M468" i="3"/>
  <c r="M451" i="3"/>
  <c r="M432" i="3"/>
  <c r="M416" i="3"/>
  <c r="M397" i="3"/>
  <c r="M380" i="3"/>
  <c r="M359" i="3"/>
  <c r="M340" i="3"/>
  <c r="M321" i="3"/>
  <c r="M300" i="3"/>
  <c r="M283" i="3"/>
  <c r="M262" i="3"/>
  <c r="M240" i="3"/>
  <c r="M223" i="3"/>
  <c r="M202" i="3"/>
  <c r="M181" i="3"/>
  <c r="M164" i="3"/>
  <c r="M143" i="3"/>
  <c r="M124" i="3"/>
  <c r="M105" i="3"/>
  <c r="M84" i="3"/>
  <c r="M67" i="3"/>
  <c r="M46" i="3"/>
  <c r="M24" i="3"/>
  <c r="M7" i="3"/>
  <c r="M850" i="3"/>
  <c r="M832" i="3"/>
  <c r="M815" i="3"/>
  <c r="M799" i="3"/>
  <c r="M780" i="3"/>
  <c r="M764" i="3"/>
  <c r="M745" i="3"/>
  <c r="M729" i="3"/>
  <c r="M711" i="3"/>
  <c r="M694" i="3"/>
  <c r="M676" i="3"/>
  <c r="M658" i="3"/>
  <c r="M640" i="3"/>
  <c r="M623" i="3"/>
  <c r="M607" i="3"/>
  <c r="M588" i="3"/>
  <c r="M572" i="3"/>
  <c r="M553" i="3"/>
  <c r="M537" i="3"/>
  <c r="M519" i="3"/>
  <c r="M502" i="3"/>
  <c r="M484" i="3"/>
  <c r="M466" i="3"/>
  <c r="M448" i="3"/>
  <c r="M431" i="3"/>
  <c r="M415" i="3"/>
  <c r="M396" i="3"/>
  <c r="M379" i="3"/>
  <c r="M358" i="3"/>
  <c r="M337" i="3"/>
  <c r="M320" i="3"/>
  <c r="M299" i="3"/>
  <c r="M280" i="3"/>
  <c r="M260" i="3"/>
  <c r="M239" i="3"/>
  <c r="M220" i="3"/>
  <c r="M201" i="3"/>
  <c r="M180" i="3"/>
  <c r="M163" i="3"/>
  <c r="M142" i="3"/>
  <c r="M121" i="3"/>
  <c r="M104" i="3"/>
  <c r="M83" i="3"/>
  <c r="M64" i="3"/>
  <c r="M44" i="3"/>
  <c r="M23" i="3"/>
  <c r="M4" i="3"/>
  <c r="M851" i="3"/>
  <c r="M836" i="3"/>
  <c r="M819" i="3"/>
  <c r="M803" i="3"/>
  <c r="M788" i="3"/>
  <c r="M771" i="3"/>
  <c r="M755" i="3"/>
  <c r="M740" i="3"/>
  <c r="M723" i="3"/>
  <c r="M707" i="3"/>
  <c r="M692" i="3"/>
  <c r="M675" i="3"/>
  <c r="M659" i="3"/>
  <c r="M644" i="3"/>
  <c r="M627" i="3"/>
  <c r="M611" i="3"/>
  <c r="M596" i="3"/>
  <c r="M579" i="3"/>
  <c r="M563" i="3"/>
  <c r="M548" i="3"/>
  <c r="M531" i="3"/>
  <c r="M515" i="3"/>
  <c r="M500" i="3"/>
  <c r="M483" i="3"/>
  <c r="M467" i="3"/>
  <c r="M452" i="3"/>
  <c r="M435" i="3"/>
  <c r="M419" i="3"/>
  <c r="M404" i="3"/>
  <c r="M385" i="3"/>
  <c r="M369" i="3"/>
  <c r="M349" i="3"/>
  <c r="M333" i="3"/>
  <c r="M313" i="3"/>
  <c r="M297" i="3"/>
  <c r="M277" i="3"/>
  <c r="M261" i="3"/>
  <c r="M241" i="3"/>
  <c r="M225" i="3"/>
  <c r="M205" i="3"/>
  <c r="M189" i="3"/>
  <c r="M169" i="3"/>
  <c r="M153" i="3"/>
  <c r="M133" i="3"/>
  <c r="M117" i="3"/>
  <c r="M97" i="3"/>
  <c r="M81" i="3"/>
  <c r="M61" i="3"/>
  <c r="M45" i="3"/>
  <c r="M25" i="3"/>
  <c r="M9" i="3"/>
  <c r="M858" i="3"/>
  <c r="M846" i="3"/>
  <c r="M834" i="3"/>
  <c r="M822" i="3"/>
  <c r="M810" i="3"/>
  <c r="M798" i="3"/>
  <c r="M786" i="3"/>
  <c r="M774" i="3"/>
  <c r="M762" i="3"/>
  <c r="M750" i="3"/>
  <c r="M738" i="3"/>
  <c r="M726" i="3"/>
  <c r="M714" i="3"/>
  <c r="M702" i="3"/>
  <c r="M690" i="3"/>
  <c r="M678" i="3"/>
  <c r="M666" i="3"/>
  <c r="M654" i="3"/>
  <c r="M642" i="3"/>
  <c r="M630" i="3"/>
  <c r="M618" i="3"/>
  <c r="M606" i="3"/>
  <c r="M594" i="3"/>
  <c r="M582" i="3"/>
  <c r="M570" i="3"/>
  <c r="M558" i="3"/>
  <c r="M546" i="3"/>
  <c r="M534" i="3"/>
  <c r="M522" i="3"/>
  <c r="M510" i="3"/>
  <c r="M498" i="3"/>
  <c r="M486" i="3"/>
  <c r="M474" i="3"/>
  <c r="M462" i="3"/>
  <c r="M450" i="3"/>
  <c r="M438" i="3"/>
  <c r="M426" i="3"/>
  <c r="M414" i="3"/>
  <c r="M402" i="3"/>
  <c r="M390" i="3"/>
  <c r="M378" i="3"/>
  <c r="M366" i="3"/>
  <c r="M354" i="3"/>
  <c r="M342" i="3"/>
  <c r="M330" i="3"/>
  <c r="M318" i="3"/>
  <c r="M306" i="3"/>
  <c r="M294" i="3"/>
  <c r="M282" i="3"/>
  <c r="M270" i="3"/>
  <c r="M258" i="3"/>
  <c r="M246" i="3"/>
  <c r="M234" i="3"/>
  <c r="M222" i="3"/>
  <c r="M210" i="3"/>
  <c r="M198" i="3"/>
  <c r="M186" i="3"/>
  <c r="M174" i="3"/>
  <c r="M162" i="3"/>
  <c r="M150" i="3"/>
  <c r="M138" i="3"/>
  <c r="M126" i="3"/>
  <c r="M114" i="3"/>
  <c r="M102" i="3"/>
  <c r="M90" i="3"/>
  <c r="M78" i="3"/>
  <c r="M66" i="3"/>
  <c r="M54" i="3"/>
  <c r="M42" i="3"/>
  <c r="M30" i="3"/>
  <c r="M18" i="3"/>
  <c r="M6" i="3"/>
  <c r="M857" i="3"/>
  <c r="M845" i="3"/>
  <c r="M833" i="3"/>
  <c r="M821" i="3"/>
  <c r="M809" i="3"/>
  <c r="M797" i="3"/>
  <c r="M785" i="3"/>
  <c r="M773" i="3"/>
  <c r="M761" i="3"/>
  <c r="M749" i="3"/>
  <c r="M737" i="3"/>
  <c r="M725" i="3"/>
  <c r="M713" i="3"/>
  <c r="M701" i="3"/>
  <c r="M689" i="3"/>
  <c r="M677" i="3"/>
  <c r="M665" i="3"/>
  <c r="M653" i="3"/>
  <c r="M641" i="3"/>
  <c r="M629" i="3"/>
  <c r="M617" i="3"/>
  <c r="M605" i="3"/>
  <c r="M593" i="3"/>
  <c r="M581" i="3"/>
  <c r="M569" i="3"/>
  <c r="M557" i="3"/>
  <c r="M545" i="3"/>
  <c r="M533" i="3"/>
  <c r="M521" i="3"/>
  <c r="M509" i="3"/>
  <c r="M497" i="3"/>
  <c r="M485" i="3"/>
  <c r="M473" i="3"/>
  <c r="M461" i="3"/>
  <c r="M449" i="3"/>
  <c r="M437" i="3"/>
  <c r="M425" i="3"/>
  <c r="M413" i="3"/>
  <c r="M401" i="3"/>
  <c r="M389" i="3"/>
  <c r="M377" i="3"/>
  <c r="M365" i="3"/>
  <c r="M353" i="3"/>
  <c r="M341" i="3"/>
  <c r="M329" i="3"/>
  <c r="M317" i="3"/>
  <c r="M305" i="3"/>
  <c r="M293" i="3"/>
  <c r="M281" i="3"/>
  <c r="M269" i="3"/>
  <c r="M257" i="3"/>
  <c r="M245" i="3"/>
  <c r="M233" i="3"/>
  <c r="M221" i="3"/>
  <c r="M209" i="3"/>
  <c r="M197" i="3"/>
  <c r="M185" i="3"/>
  <c r="M173" i="3"/>
  <c r="M161" i="3"/>
  <c r="M149" i="3"/>
  <c r="M137" i="3"/>
  <c r="M125" i="3"/>
  <c r="M113" i="3"/>
  <c r="M101" i="3"/>
  <c r="M89" i="3"/>
  <c r="M77" i="3"/>
  <c r="M65" i="3"/>
  <c r="M53" i="3"/>
  <c r="M41" i="3"/>
  <c r="M29" i="3"/>
  <c r="M17" i="3"/>
  <c r="M5" i="3"/>
  <c r="M387" i="3"/>
  <c r="M375" i="3"/>
  <c r="M363" i="3"/>
  <c r="M351" i="3"/>
  <c r="M339" i="3"/>
  <c r="M327" i="3"/>
  <c r="M315" i="3"/>
  <c r="M303" i="3"/>
  <c r="M291" i="3"/>
  <c r="M279" i="3"/>
  <c r="M267" i="3"/>
  <c r="M255" i="3"/>
  <c r="M243" i="3"/>
  <c r="M231" i="3"/>
  <c r="M219" i="3"/>
  <c r="M207" i="3"/>
  <c r="M195" i="3"/>
  <c r="M183" i="3"/>
  <c r="M171" i="3"/>
  <c r="M159" i="3"/>
  <c r="M147" i="3"/>
  <c r="M135" i="3"/>
  <c r="M123" i="3"/>
  <c r="M111" i="3"/>
  <c r="M99" i="3"/>
  <c r="M87" i="3"/>
  <c r="M75" i="3"/>
  <c r="M63" i="3"/>
  <c r="M51" i="3"/>
  <c r="M39" i="3"/>
  <c r="M27" i="3"/>
  <c r="M15" i="3"/>
  <c r="M3" i="3"/>
  <c r="M854" i="3"/>
  <c r="M842" i="3"/>
  <c r="M830" i="3"/>
  <c r="M818" i="3"/>
  <c r="M806" i="3"/>
  <c r="M794" i="3"/>
  <c r="M782" i="3"/>
  <c r="M770" i="3"/>
  <c r="M758" i="3"/>
  <c r="M746" i="3"/>
  <c r="M734" i="3"/>
  <c r="M722" i="3"/>
  <c r="M710" i="3"/>
  <c r="M698" i="3"/>
  <c r="M686" i="3"/>
  <c r="M674" i="3"/>
  <c r="M662" i="3"/>
  <c r="M650" i="3"/>
  <c r="M638" i="3"/>
  <c r="M626" i="3"/>
  <c r="M614" i="3"/>
  <c r="M602" i="3"/>
  <c r="M590" i="3"/>
  <c r="M578" i="3"/>
  <c r="M566" i="3"/>
  <c r="M554" i="3"/>
  <c r="M542" i="3"/>
  <c r="M530" i="3"/>
  <c r="M518" i="3"/>
  <c r="M506" i="3"/>
  <c r="M494" i="3"/>
  <c r="M482" i="3"/>
  <c r="M470" i="3"/>
  <c r="M458" i="3"/>
  <c r="M446" i="3"/>
  <c r="M434" i="3"/>
  <c r="M422" i="3"/>
  <c r="M410" i="3"/>
  <c r="M398" i="3"/>
  <c r="M386" i="3"/>
  <c r="M374" i="3"/>
  <c r="M362" i="3"/>
  <c r="M350" i="3"/>
  <c r="M338" i="3"/>
  <c r="M326" i="3"/>
  <c r="M314" i="3"/>
  <c r="M302" i="3"/>
  <c r="M290" i="3"/>
  <c r="M278" i="3"/>
  <c r="M266" i="3"/>
  <c r="M254" i="3"/>
  <c r="M242" i="3"/>
  <c r="M230" i="3"/>
  <c r="M218" i="3"/>
  <c r="M206" i="3"/>
  <c r="M194" i="3"/>
  <c r="M182" i="3"/>
  <c r="M170" i="3"/>
  <c r="M158" i="3"/>
  <c r="M146" i="3"/>
  <c r="M134" i="3"/>
  <c r="M122" i="3"/>
  <c r="M110" i="3"/>
  <c r="M98" i="3"/>
  <c r="M86" i="3"/>
  <c r="M74" i="3"/>
  <c r="M62" i="3"/>
  <c r="M50" i="3"/>
  <c r="M38" i="3"/>
  <c r="M26" i="3"/>
  <c r="M14" i="3"/>
  <c r="B39"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B9E3B1-1E62-44F0-A44F-B71632EEA50F}"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FF800238-BA40-42AC-A129-D8F2D9C9B109}"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<sst xmlns="http://schemas.openxmlformats.org/spreadsheetml/2006/main" count="11411" uniqueCount="967">
  <si>
    <t>Patient_ID</t>
  </si>
  <si>
    <t>Age</t>
  </si>
  <si>
    <t>Gender</t>
  </si>
  <si>
    <t>Condition</t>
  </si>
  <si>
    <t>Hospital</t>
  </si>
  <si>
    <t>Admission_Date</t>
  </si>
  <si>
    <t>Length_of_Stay</t>
  </si>
  <si>
    <t>Drug_Cost_GBP</t>
  </si>
  <si>
    <t>Outcome</t>
  </si>
  <si>
    <t>P0379</t>
  </si>
  <si>
    <t>Kidney Disease</t>
  </si>
  <si>
    <t>Stafford Hospital</t>
  </si>
  <si>
    <t>Referred</t>
  </si>
  <si>
    <t>P0323</t>
  </si>
  <si>
    <t>Diabetes</t>
  </si>
  <si>
    <t xml:space="preserve">stoke hospital </t>
  </si>
  <si>
    <t>Ongoing</t>
  </si>
  <si>
    <t>P1064</t>
  </si>
  <si>
    <t>Female</t>
  </si>
  <si>
    <t>Asthma</t>
  </si>
  <si>
    <t xml:space="preserve"> New Cross Hospital</t>
  </si>
  <si>
    <t>Recovered</t>
  </si>
  <si>
    <t>P0471</t>
  </si>
  <si>
    <t>Stoke Hospital</t>
  </si>
  <si>
    <t>P0002</t>
  </si>
  <si>
    <t>Stroke</t>
  </si>
  <si>
    <t>Deceased</t>
  </si>
  <si>
    <t>P0638</t>
  </si>
  <si>
    <t xml:space="preserve">male </t>
  </si>
  <si>
    <t>Russells Hall Hospital</t>
  </si>
  <si>
    <t>P0364</t>
  </si>
  <si>
    <t>P0553</t>
  </si>
  <si>
    <t>P0020</t>
  </si>
  <si>
    <t>COPD</t>
  </si>
  <si>
    <t>Walsall Manor</t>
  </si>
  <si>
    <t>P0929</t>
  </si>
  <si>
    <t>P0325</t>
  </si>
  <si>
    <t>P0489</t>
  </si>
  <si>
    <t>FEMALE</t>
  </si>
  <si>
    <t>P0468</t>
  </si>
  <si>
    <t>P0361</t>
  </si>
  <si>
    <t>P0072</t>
  </si>
  <si>
    <t>Male</t>
  </si>
  <si>
    <t>New Cross Hospital</t>
  </si>
  <si>
    <t>P0654</t>
  </si>
  <si>
    <t xml:space="preserve">diabetes </t>
  </si>
  <si>
    <t>P0855</t>
  </si>
  <si>
    <t>P0237</t>
  </si>
  <si>
    <t>Heart Disease</t>
  </si>
  <si>
    <t>P0062</t>
  </si>
  <si>
    <t>P0415</t>
  </si>
  <si>
    <t>Hypertension</t>
  </si>
  <si>
    <t>P0883</t>
  </si>
  <si>
    <t>P0132</t>
  </si>
  <si>
    <t>P0927</t>
  </si>
  <si>
    <t>P0040</t>
  </si>
  <si>
    <t>P0756</t>
  </si>
  <si>
    <t>Keele Hospital</t>
  </si>
  <si>
    <t>P0558</t>
  </si>
  <si>
    <t>P0014</t>
  </si>
  <si>
    <t>P1100</t>
  </si>
  <si>
    <t>P0059</t>
  </si>
  <si>
    <t>P1062</t>
  </si>
  <si>
    <t>P1147</t>
  </si>
  <si>
    <t>P0412</t>
  </si>
  <si>
    <t>P1153</t>
  </si>
  <si>
    <t>P0261</t>
  </si>
  <si>
    <t>P0073</t>
  </si>
  <si>
    <t>P1193</t>
  </si>
  <si>
    <t>P0419</t>
  </si>
  <si>
    <t>P0399</t>
  </si>
  <si>
    <t>P1113</t>
  </si>
  <si>
    <t>P0704</t>
  </si>
  <si>
    <t>P0378</t>
  </si>
  <si>
    <t>P0159</t>
  </si>
  <si>
    <t>P0084</t>
  </si>
  <si>
    <t>P0663</t>
  </si>
  <si>
    <t>P1104</t>
  </si>
  <si>
    <t>P0102</t>
  </si>
  <si>
    <t>P0437</t>
  </si>
  <si>
    <t>P0770</t>
  </si>
  <si>
    <t>P0911</t>
  </si>
  <si>
    <t>P0880</t>
  </si>
  <si>
    <t>P0581</t>
  </si>
  <si>
    <t>P0815</t>
  </si>
  <si>
    <t>P0960</t>
  </si>
  <si>
    <t>P0745</t>
  </si>
  <si>
    <t>P0281</t>
  </si>
  <si>
    <t>P1157</t>
  </si>
  <si>
    <t>P0330</t>
  </si>
  <si>
    <t>P0246</t>
  </si>
  <si>
    <t>P0667</t>
  </si>
  <si>
    <t>P1156</t>
  </si>
  <si>
    <t>P0672</t>
  </si>
  <si>
    <t>P0572</t>
  </si>
  <si>
    <t>P0931</t>
  </si>
  <si>
    <t>P0295</t>
  </si>
  <si>
    <t>P0280</t>
  </si>
  <si>
    <t>P0050</t>
  </si>
  <si>
    <t>P0658</t>
  </si>
  <si>
    <t>P0128</t>
  </si>
  <si>
    <t>P0967</t>
  </si>
  <si>
    <t>P0993</t>
  </si>
  <si>
    <t>P0563</t>
  </si>
  <si>
    <t>P0322</t>
  </si>
  <si>
    <t>P0003</t>
  </si>
  <si>
    <t>P1013</t>
  </si>
  <si>
    <t>P0217</t>
  </si>
  <si>
    <t>P0424</t>
  </si>
  <si>
    <t>P0410</t>
  </si>
  <si>
    <t>P0209</t>
  </si>
  <si>
    <t>P0206</t>
  </si>
  <si>
    <t>P0304</t>
  </si>
  <si>
    <t>P1086</t>
  </si>
  <si>
    <t>P0602</t>
  </si>
  <si>
    <t>P0406</t>
  </si>
  <si>
    <t>P0675</t>
  </si>
  <si>
    <t>P1148</t>
  </si>
  <si>
    <t>P0340</t>
  </si>
  <si>
    <t>P0540</t>
  </si>
  <si>
    <t>P0843</t>
  </si>
  <si>
    <t>P0677</t>
  </si>
  <si>
    <t>P0660</t>
  </si>
  <si>
    <t>P0490</t>
  </si>
  <si>
    <t>P0864</t>
  </si>
  <si>
    <t>P0613</t>
  </si>
  <si>
    <t>P0628</t>
  </si>
  <si>
    <t>P0121</t>
  </si>
  <si>
    <t>P0218</t>
  </si>
  <si>
    <t>P0248</t>
  </si>
  <si>
    <t>P1057</t>
  </si>
  <si>
    <t>P1088</t>
  </si>
  <si>
    <t>P1123</t>
  </si>
  <si>
    <t>P0124</t>
  </si>
  <si>
    <t>P1089</t>
  </si>
  <si>
    <t>P0532</t>
  </si>
  <si>
    <t>P1173</t>
  </si>
  <si>
    <t>P0149</t>
  </si>
  <si>
    <t>P1021</t>
  </si>
  <si>
    <t>P0957</t>
  </si>
  <si>
    <t>P0007</t>
  </si>
  <si>
    <t>P0448</t>
  </si>
  <si>
    <t>P0958</t>
  </si>
  <si>
    <t>P0567</t>
  </si>
  <si>
    <t>P0315</t>
  </si>
  <si>
    <t>P0066</t>
  </si>
  <si>
    <t>P0773</t>
  </si>
  <si>
    <t>P0759</t>
  </si>
  <si>
    <t>P0138</t>
  </si>
  <si>
    <t>P1004</t>
  </si>
  <si>
    <t>P0492</t>
  </si>
  <si>
    <t>P0802</t>
  </si>
  <si>
    <t>P0519</t>
  </si>
  <si>
    <t>P0700</t>
  </si>
  <si>
    <t>P0951</t>
  </si>
  <si>
    <t>P0307</t>
  </si>
  <si>
    <t>P1011</t>
  </si>
  <si>
    <t>P0394</t>
  </si>
  <si>
    <t>P1094</t>
  </si>
  <si>
    <t>P0231</t>
  </si>
  <si>
    <t>P0804</t>
  </si>
  <si>
    <t>P0258</t>
  </si>
  <si>
    <t>P0274</t>
  </si>
  <si>
    <t>P0397</t>
  </si>
  <si>
    <t>P0582</t>
  </si>
  <si>
    <t>P1140</t>
  </si>
  <si>
    <t>P0562</t>
  </si>
  <si>
    <t>P0161</t>
  </si>
  <si>
    <t>P1142</t>
  </si>
  <si>
    <t>P0747</t>
  </si>
  <si>
    <t>P0837</t>
  </si>
  <si>
    <t>P0922</t>
  </si>
  <si>
    <t>P0097</t>
  </si>
  <si>
    <t>P0046</t>
  </si>
  <si>
    <t>P0222</t>
  </si>
  <si>
    <t>P0869</t>
  </si>
  <si>
    <t>P1109</t>
  </si>
  <si>
    <t>P0312</t>
  </si>
  <si>
    <t>P1006</t>
  </si>
  <si>
    <t>P0702</t>
  </si>
  <si>
    <t>P0151</t>
  </si>
  <si>
    <t>P0311</t>
  </si>
  <si>
    <t>P0954</t>
  </si>
  <si>
    <t>P0775</t>
  </si>
  <si>
    <t>P1189</t>
  </si>
  <si>
    <t>P0421</t>
  </si>
  <si>
    <t>P1197</t>
  </si>
  <si>
    <t>P0795</t>
  </si>
  <si>
    <t>P0648</t>
  </si>
  <si>
    <t>P0137</t>
  </si>
  <si>
    <t>P0172</t>
  </si>
  <si>
    <t>P0488</t>
  </si>
  <si>
    <t>P0926</t>
  </si>
  <si>
    <t>P0244</t>
  </si>
  <si>
    <t>P0226</t>
  </si>
  <si>
    <t>P0674</t>
  </si>
  <si>
    <t>P0451</t>
  </si>
  <si>
    <t>P0127</t>
  </si>
  <si>
    <t>P0472</t>
  </si>
  <si>
    <t>P0749</t>
  </si>
  <si>
    <t>P0109</t>
  </si>
  <si>
    <t>P0176</t>
  </si>
  <si>
    <t>P0099</t>
  </si>
  <si>
    <t>P0857</t>
  </si>
  <si>
    <t>P0912</t>
  </si>
  <si>
    <t>P0774</t>
  </si>
  <si>
    <t>P0664</t>
  </si>
  <si>
    <t>P0734</t>
  </si>
  <si>
    <t>P0842</t>
  </si>
  <si>
    <t>P1146</t>
  </si>
  <si>
    <t>P0409</t>
  </si>
  <si>
    <t>P0596</t>
  </si>
  <si>
    <t>P0538</t>
  </si>
  <si>
    <t>P0183</t>
  </si>
  <si>
    <t>P0443</t>
  </si>
  <si>
    <t>P1159</t>
  </si>
  <si>
    <t>P1068</t>
  </si>
  <si>
    <t>P0688</t>
  </si>
  <si>
    <t>P0382</t>
  </si>
  <si>
    <t>P0803</t>
  </si>
  <si>
    <t>P0360</t>
  </si>
  <si>
    <t>P1071</t>
  </si>
  <si>
    <t>P0071</t>
  </si>
  <si>
    <t>P0760</t>
  </si>
  <si>
    <t>P0778</t>
  </si>
  <si>
    <t>P0294</t>
  </si>
  <si>
    <t>P0088</t>
  </si>
  <si>
    <t>P0300</t>
  </si>
  <si>
    <t>P1107</t>
  </si>
  <si>
    <t>P1032</t>
  </si>
  <si>
    <t>P0953</t>
  </si>
  <si>
    <t>P0355</t>
  </si>
  <si>
    <t>P0624</t>
  </si>
  <si>
    <t>P0334</t>
  </si>
  <si>
    <t>P0822</t>
  </si>
  <si>
    <t>P0103</t>
  </si>
  <si>
    <t>P0120</t>
  </si>
  <si>
    <t>P0914</t>
  </si>
  <si>
    <t>P0047</t>
  </si>
  <si>
    <t>P0590</t>
  </si>
  <si>
    <t>P0006</t>
  </si>
  <si>
    <t>P1024</t>
  </si>
  <si>
    <t>P0547</t>
  </si>
  <si>
    <t>P0683</t>
  </si>
  <si>
    <t>P1078</t>
  </si>
  <si>
    <t>P0606</t>
  </si>
  <si>
    <t>P1137</t>
  </si>
  <si>
    <t>P0559</t>
  </si>
  <si>
    <t>P0502</t>
  </si>
  <si>
    <t>P0150</t>
  </si>
  <si>
    <t>P1043</t>
  </si>
  <si>
    <t>P0895</t>
  </si>
  <si>
    <t>P1128</t>
  </si>
  <si>
    <t>P0932</t>
  </si>
  <si>
    <t>P0853</t>
  </si>
  <si>
    <t>P0516</t>
  </si>
  <si>
    <t>P0703</t>
  </si>
  <si>
    <t>P0345</t>
  </si>
  <si>
    <t>P0829</t>
  </si>
  <si>
    <t>P1002</t>
  </si>
  <si>
    <t>P0971</t>
  </si>
  <si>
    <t>P0655</t>
  </si>
  <si>
    <t>P0714</t>
  </si>
  <si>
    <t>P0856</t>
  </si>
  <si>
    <t>P0729</t>
  </si>
  <si>
    <t>P0354</t>
  </si>
  <si>
    <t>P0910</t>
  </si>
  <si>
    <t>P0584</t>
  </si>
  <si>
    <t>P0948</t>
  </si>
  <si>
    <t>P0798</t>
  </si>
  <si>
    <t>P1023</t>
  </si>
  <si>
    <t>P0684</t>
  </si>
  <si>
    <t>P0288</t>
  </si>
  <si>
    <t>P0090</t>
  </si>
  <si>
    <t>P0785</t>
  </si>
  <si>
    <t>P0737</t>
  </si>
  <si>
    <t>P1158</t>
  </si>
  <si>
    <t>P0893</t>
  </si>
  <si>
    <t>P0495</t>
  </si>
  <si>
    <t>P0392</t>
  </si>
  <si>
    <t>P1164</t>
  </si>
  <si>
    <t>P0539</t>
  </si>
  <si>
    <t>P0056</t>
  </si>
  <si>
    <t>P1118</t>
  </si>
  <si>
    <t>P0763</t>
  </si>
  <si>
    <t>P0191</t>
  </si>
  <si>
    <t>P1106</t>
  </si>
  <si>
    <t>P1044</t>
  </si>
  <si>
    <t>P1036</t>
  </si>
  <si>
    <t>P1093</t>
  </si>
  <si>
    <t>P0754</t>
  </si>
  <si>
    <t>P0154</t>
  </si>
  <si>
    <t>P0617</t>
  </si>
  <si>
    <t>P0854</t>
  </si>
  <si>
    <t>P0348</t>
  </si>
  <si>
    <t>P0508</t>
  </si>
  <si>
    <t>P0550</t>
  </si>
  <si>
    <t>P0620</t>
  </si>
  <si>
    <t>P0723</t>
  </si>
  <si>
    <t>P1017</t>
  </si>
  <si>
    <t>P0185</t>
  </si>
  <si>
    <t>P1167</t>
  </si>
  <si>
    <t>P0573</t>
  </si>
  <si>
    <t>P0143</t>
  </si>
  <si>
    <t>P0187</t>
  </si>
  <si>
    <t>P0067</t>
  </si>
  <si>
    <t>P0537</t>
  </si>
  <si>
    <t>P0155</t>
  </si>
  <si>
    <t>P0817</t>
  </si>
  <si>
    <t>P0630</t>
  </si>
  <si>
    <t>P1192</t>
  </si>
  <si>
    <t>P0041</t>
  </si>
  <si>
    <t>P1076</t>
  </si>
  <si>
    <t>P1082</t>
  </si>
  <si>
    <t>P0039</t>
  </si>
  <si>
    <t>P0186</t>
  </si>
  <si>
    <t>P0528</t>
  </si>
  <si>
    <t>P0892</t>
  </si>
  <si>
    <t>P0223</t>
  </si>
  <si>
    <t>P0356</t>
  </si>
  <si>
    <t>P0994</t>
  </si>
  <si>
    <t>P0010</t>
  </si>
  <si>
    <t>P0720</t>
  </si>
  <si>
    <t>P1045</t>
  </si>
  <si>
    <t>P0950</t>
  </si>
  <si>
    <t>P0195</t>
  </si>
  <si>
    <t>P1015</t>
  </si>
  <si>
    <t>P0849</t>
  </si>
  <si>
    <t>P0453</t>
  </si>
  <si>
    <t>P1091</t>
  </si>
  <si>
    <t>P0416</t>
  </si>
  <si>
    <t>P0462</t>
  </si>
  <si>
    <t>P0008</t>
  </si>
  <si>
    <t>P0458</t>
  </si>
  <si>
    <t>P0349</t>
  </si>
  <si>
    <t>P0235</t>
  </si>
  <si>
    <t>P0131</t>
  </si>
  <si>
    <t>P0175</t>
  </si>
  <si>
    <t>P1042</t>
  </si>
  <si>
    <t>P1198</t>
  </si>
  <si>
    <t>P0096</t>
  </si>
  <si>
    <t>P0821</t>
  </si>
  <si>
    <t>P0593</t>
  </si>
  <si>
    <t>P0077</t>
  </si>
  <si>
    <t>P0560</t>
  </si>
  <si>
    <t>P0279</t>
  </si>
  <si>
    <t>P1038</t>
  </si>
  <si>
    <t>P0591</t>
  </si>
  <si>
    <t>P1124</t>
  </si>
  <si>
    <t>P0182</t>
  </si>
  <si>
    <t>P1105</t>
  </si>
  <si>
    <t>P1055</t>
  </si>
  <si>
    <t>P0717</t>
  </si>
  <si>
    <t>P0739</t>
  </si>
  <si>
    <t>P0296</t>
  </si>
  <si>
    <t>P0061</t>
  </si>
  <si>
    <t>P0989</t>
  </si>
  <si>
    <t>P0384</t>
  </si>
  <si>
    <t>P0933</t>
  </si>
  <si>
    <t>P0915</t>
  </si>
  <si>
    <t>P1084</t>
  </si>
  <si>
    <t>P0835</t>
  </si>
  <si>
    <t>P1195</t>
  </si>
  <si>
    <t>P1129</t>
  </si>
  <si>
    <t>P0243</t>
  </si>
  <si>
    <t>P0094</t>
  </si>
  <si>
    <t>P0380</t>
  </si>
  <si>
    <t>P0284</t>
  </si>
  <si>
    <t>P0879</t>
  </si>
  <si>
    <t>P0318</t>
  </si>
  <si>
    <t>P0141</t>
  </si>
  <si>
    <t>P1130</t>
  </si>
  <si>
    <t>P0287</t>
  </si>
  <si>
    <t>P0225</t>
  </si>
  <si>
    <t>P0192</t>
  </si>
  <si>
    <t>P0847</t>
  </si>
  <si>
    <t>P0153</t>
  </si>
  <si>
    <t>P0164</t>
  </si>
  <si>
    <t>P1037</t>
  </si>
  <si>
    <t>P0908</t>
  </si>
  <si>
    <t>P0595</t>
  </si>
  <si>
    <t>P0497</t>
  </si>
  <si>
    <t>P0053</t>
  </si>
  <si>
    <t>P1005</t>
  </si>
  <si>
    <t>P0799</t>
  </si>
  <si>
    <t>P0344</t>
  </si>
  <si>
    <t>P0632</t>
  </si>
  <si>
    <t>P0370</t>
  </si>
  <si>
    <t>P0937</t>
  </si>
  <si>
    <t>P0844</t>
  </si>
  <si>
    <t>P1144</t>
  </si>
  <si>
    <t>P0629</t>
  </si>
  <si>
    <t>P0196</t>
  </si>
  <si>
    <t>P0100</t>
  </si>
  <si>
    <t>P0903</t>
  </si>
  <si>
    <t>P1199</t>
  </si>
  <si>
    <t>P0076</t>
  </si>
  <si>
    <t>P0521</t>
  </si>
  <si>
    <t>P0635</t>
  </si>
  <si>
    <t>P0634</t>
  </si>
  <si>
    <t>P0064</t>
  </si>
  <si>
    <t>P0974</t>
  </si>
  <si>
    <t>P0750</t>
  </si>
  <si>
    <t>P0800</t>
  </si>
  <si>
    <t>P0533</t>
  </si>
  <si>
    <t>P1069</t>
  </si>
  <si>
    <t>P0661</t>
  </si>
  <si>
    <t>P0180</t>
  </si>
  <si>
    <t>P0075</t>
  </si>
  <si>
    <t>P0319</t>
  </si>
  <si>
    <t>P0259</t>
  </si>
  <si>
    <t>P0753</t>
  </si>
  <si>
    <t>P0839</t>
  </si>
  <si>
    <t>P1181</t>
  </si>
  <si>
    <t>P0642</t>
  </si>
  <si>
    <t>P0659</t>
  </si>
  <si>
    <t>P0616</t>
  </si>
  <si>
    <t>P0466</t>
  </si>
  <si>
    <t>P0005</t>
  </si>
  <si>
    <t>P0271</t>
  </si>
  <si>
    <t>P0692</t>
  </si>
  <si>
    <t>P0267</t>
  </si>
  <si>
    <t>P0140</t>
  </si>
  <si>
    <t>P0247</t>
  </si>
  <si>
    <t>P0168</t>
  </si>
  <si>
    <t>P0680</t>
  </si>
  <si>
    <t>P0427</t>
  </si>
  <si>
    <t>P0473</t>
  </si>
  <si>
    <t>P0375</t>
  </si>
  <si>
    <t>P0571</t>
  </si>
  <si>
    <t>P0036</t>
  </si>
  <si>
    <t>P0015</t>
  </si>
  <si>
    <t>P0166</t>
  </si>
  <si>
    <t>P0460</t>
  </si>
  <si>
    <t>P0026</t>
  </si>
  <si>
    <t>P0861</t>
  </si>
  <si>
    <t>P0504</t>
  </si>
  <si>
    <t>P1014</t>
  </si>
  <si>
    <t>P0656</t>
  </si>
  <si>
    <t>P1012</t>
  </si>
  <si>
    <t>P0792</t>
  </si>
  <si>
    <t>P0941</t>
  </si>
  <si>
    <t>P0557</t>
  </si>
  <si>
    <t>P0365</t>
  </si>
  <si>
    <t>P0535</t>
  </si>
  <si>
    <t>P0057</t>
  </si>
  <si>
    <t>P1097</t>
  </si>
  <si>
    <t>P1119</t>
  </si>
  <si>
    <t>P0807</t>
  </si>
  <si>
    <t>P0644</t>
  </si>
  <si>
    <t>P1034</t>
  </si>
  <si>
    <t>P1095</t>
  </si>
  <si>
    <t>P0459</t>
  </si>
  <si>
    <t>P0776</t>
  </si>
  <si>
    <t>P0481</t>
  </si>
  <si>
    <t>P0666</t>
  </si>
  <si>
    <t>P1081</t>
  </si>
  <si>
    <t>P0552</t>
  </si>
  <si>
    <t>P0310</t>
  </si>
  <si>
    <t>P1035</t>
  </si>
  <si>
    <t>P0870</t>
  </si>
  <si>
    <t>P0078</t>
  </si>
  <si>
    <t>P0142</t>
  </si>
  <si>
    <t>P1007</t>
  </si>
  <si>
    <t>P0377</t>
  </si>
  <si>
    <t>P0321</t>
  </si>
  <si>
    <t>P1117</t>
  </si>
  <si>
    <t>P0158</t>
  </si>
  <si>
    <t>P1051</t>
  </si>
  <si>
    <t>P0464</t>
  </si>
  <si>
    <t>P0147</t>
  </si>
  <si>
    <t>P1155</t>
  </si>
  <si>
    <t>P0273</t>
  </si>
  <si>
    <t>P0784</t>
  </si>
  <si>
    <t>P0440</t>
  </si>
  <si>
    <t>P0693</t>
  </si>
  <si>
    <t>P0578</t>
  </si>
  <si>
    <t>P0662</t>
  </si>
  <si>
    <t>P0522</t>
  </si>
  <si>
    <t>P0651</t>
  </si>
  <si>
    <t>P1170</t>
  </si>
  <si>
    <t>P0686</t>
  </si>
  <si>
    <t>P0108</t>
  </si>
  <si>
    <t>P0308</t>
  </si>
  <si>
    <t>P1161</t>
  </si>
  <si>
    <t>P0389</t>
  </si>
  <si>
    <t>P0341</t>
  </si>
  <si>
    <t>P0913</t>
  </si>
  <si>
    <t>P0610</t>
  </si>
  <si>
    <t>P0201</t>
  </si>
  <si>
    <t>P0063</t>
  </si>
  <si>
    <t>P0048</t>
  </si>
  <si>
    <t>P0429</t>
  </si>
  <si>
    <t>P0336</t>
  </si>
  <si>
    <t>P0819</t>
  </si>
  <si>
    <t>P0034</t>
  </si>
  <si>
    <t>P1133</t>
  </si>
  <si>
    <t>P0417</t>
  </si>
  <si>
    <t>P0878</t>
  </si>
  <si>
    <t>P0900</t>
  </si>
  <si>
    <t>P0265</t>
  </si>
  <si>
    <t>P0297</t>
  </si>
  <si>
    <t>P0935</t>
  </si>
  <si>
    <t>P0129</t>
  </si>
  <si>
    <t>P0363</t>
  </si>
  <si>
    <t>P0956</t>
  </si>
  <si>
    <t>P0996</t>
  </si>
  <si>
    <t>P0858</t>
  </si>
  <si>
    <t>P1016</t>
  </si>
  <si>
    <t>P0982</t>
  </si>
  <si>
    <t>P0794</t>
  </si>
  <si>
    <t>P0909</t>
  </si>
  <si>
    <t>P0790</t>
  </si>
  <si>
    <t>P0627</t>
  </si>
  <si>
    <t>P0114</t>
  </si>
  <si>
    <t>P0230</t>
  </si>
  <si>
    <t>P0156</t>
  </si>
  <si>
    <t>P0404</t>
  </si>
  <si>
    <t>P0423</t>
  </si>
  <si>
    <t>P0881</t>
  </si>
  <si>
    <t>P0637</t>
  </si>
  <si>
    <t>P0254</t>
  </si>
  <si>
    <t>P0030</t>
  </si>
  <si>
    <t>P0618</t>
  </si>
  <si>
    <t>P0111</t>
  </si>
  <si>
    <t>P0353</t>
  </si>
  <si>
    <t>P0500</t>
  </si>
  <si>
    <t>P0081</t>
  </si>
  <si>
    <t>P0482</t>
  </si>
  <si>
    <t>P0343</t>
  </si>
  <si>
    <t>P0139</t>
  </si>
  <si>
    <t>P0145</t>
  </si>
  <si>
    <t>P0569</t>
  </si>
  <si>
    <t>P0383</t>
  </si>
  <si>
    <t>P0125</t>
  </si>
  <si>
    <t>P1060</t>
  </si>
  <si>
    <t>P0713</t>
  </si>
  <si>
    <t>P1108</t>
  </si>
  <si>
    <t>P0586</t>
  </si>
  <si>
    <t>P0707</t>
  </si>
  <si>
    <t>P1163</t>
  </si>
  <si>
    <t>P0523</t>
  </si>
  <si>
    <t>P0390</t>
  </si>
  <si>
    <t>P1039</t>
  </si>
  <si>
    <t>P0695</t>
  </si>
  <si>
    <t>P0270</t>
  </si>
  <si>
    <t>P0871</t>
  </si>
  <si>
    <t>P0594</t>
  </si>
  <si>
    <t>P0491</t>
  </si>
  <si>
    <t>P0083</t>
  </si>
  <si>
    <t>P0299</t>
  </si>
  <si>
    <t>P1154</t>
  </si>
  <si>
    <t>P0184</t>
  </si>
  <si>
    <t>P1101</t>
  </si>
  <si>
    <t>P0545</t>
  </si>
  <si>
    <t>P0242</t>
  </si>
  <si>
    <t>P0496</t>
  </si>
  <si>
    <t>P0133</t>
  </si>
  <si>
    <t>P1141</t>
  </si>
  <si>
    <t>P0505</t>
  </si>
  <si>
    <t>P0442</t>
  </si>
  <si>
    <t>P0889</t>
  </si>
  <si>
    <t>P1185</t>
  </si>
  <si>
    <t>P0212</t>
  </si>
  <si>
    <t>P0570</t>
  </si>
  <si>
    <t>P0925</t>
  </si>
  <si>
    <t>P0607</t>
  </si>
  <si>
    <t>P1168</t>
  </si>
  <si>
    <t>P0561</t>
  </si>
  <si>
    <t>P0303</t>
  </si>
  <si>
    <t>P0845</t>
  </si>
  <si>
    <t>P0251</t>
  </si>
  <si>
    <t>P0171</t>
  </si>
  <si>
    <t>P1125</t>
  </si>
  <si>
    <t>P0241</t>
  </si>
  <si>
    <t>P0493</t>
  </si>
  <si>
    <t>P1191</t>
  </si>
  <si>
    <t>P0904</t>
  </si>
  <si>
    <t>P0752</t>
  </si>
  <si>
    <t>P0079</t>
  </si>
  <si>
    <t>P0366</t>
  </si>
  <si>
    <t>P0972</t>
  </si>
  <si>
    <t>P1145</t>
  </si>
  <si>
    <t>P0782</t>
  </si>
  <si>
    <t>P0555</t>
  </si>
  <si>
    <t>P0101</t>
  </si>
  <si>
    <t>P0999</t>
  </si>
  <si>
    <t>P0511</t>
  </si>
  <si>
    <t>P0744</t>
  </si>
  <si>
    <t>P0542</t>
  </si>
  <si>
    <t>P0420</t>
  </si>
  <si>
    <t>P0266</t>
  </si>
  <si>
    <t>P0924</t>
  </si>
  <si>
    <t>P0622</t>
  </si>
  <si>
    <t>P0874</t>
  </si>
  <si>
    <t>P0992</t>
  </si>
  <si>
    <t>P0939</t>
  </si>
  <si>
    <t>P0499</t>
  </si>
  <si>
    <t>P1187</t>
  </si>
  <si>
    <t>P0626</t>
  </si>
  <si>
    <t>P1041</t>
  </si>
  <si>
    <t>P1048</t>
  </si>
  <si>
    <t>P0740</t>
  </si>
  <si>
    <t>P0457</t>
  </si>
  <si>
    <t>P1160</t>
  </si>
  <si>
    <t>P0543</t>
  </si>
  <si>
    <t>P1063</t>
  </si>
  <si>
    <t>P1190</t>
  </si>
  <si>
    <t>P0743</t>
  </si>
  <si>
    <t>P0592</t>
  </si>
  <si>
    <t>P0920</t>
  </si>
  <si>
    <t>P0619</t>
  </si>
  <si>
    <t>P0485</t>
  </si>
  <si>
    <t>P0919</t>
  </si>
  <si>
    <t>P0210</t>
  </si>
  <si>
    <t>P0447</t>
  </si>
  <si>
    <t>P0812</t>
  </si>
  <si>
    <t>P0200</t>
  </si>
  <si>
    <t>P0801</t>
  </si>
  <si>
    <t>P0227</t>
  </si>
  <si>
    <t>P1018</t>
  </si>
  <si>
    <t>P0428</t>
  </si>
  <si>
    <t>P0811</t>
  </si>
  <si>
    <t>P0004</t>
  </si>
  <si>
    <t>P1053</t>
  </si>
  <si>
    <t>P0818</t>
  </si>
  <si>
    <t>P1000</t>
  </si>
  <si>
    <t>P0431</t>
  </si>
  <si>
    <t>P0735</t>
  </si>
  <si>
    <t>P0402</t>
  </si>
  <si>
    <t>P1065</t>
  </si>
  <si>
    <t>P0955</t>
  </si>
  <si>
    <t>P0277</t>
  </si>
  <si>
    <t>P1072</t>
  </si>
  <si>
    <t>P0921</t>
  </si>
  <si>
    <t>P0673</t>
  </si>
  <si>
    <t>P0385</t>
  </si>
  <si>
    <t>P1049</t>
  </si>
  <si>
    <t>P0093</t>
  </si>
  <si>
    <t>P0830</t>
  </si>
  <si>
    <t>P0388</t>
  </si>
  <si>
    <t>P0204</t>
  </si>
  <si>
    <t>P1099</t>
  </si>
  <si>
    <t>P0339</t>
  </si>
  <si>
    <t>P0021</t>
  </si>
  <si>
    <t>P0583</t>
  </si>
  <si>
    <t>P1020</t>
  </si>
  <si>
    <t>P0215</t>
  </si>
  <si>
    <t>P0224</t>
  </si>
  <si>
    <t>P0564</t>
  </si>
  <si>
    <t>P0276</t>
  </si>
  <si>
    <t>P0873</t>
  </si>
  <si>
    <t>P0107</t>
  </si>
  <si>
    <t>P0011</t>
  </si>
  <si>
    <t>P0917</t>
  </si>
  <si>
    <t>P0599</t>
  </si>
  <si>
    <t>P0962</t>
  </si>
  <si>
    <t>P1138</t>
  </si>
  <si>
    <t>P0643</t>
  </si>
  <si>
    <t>P0541</t>
  </si>
  <si>
    <t>P0346</t>
  </si>
  <si>
    <t>P0687</t>
  </si>
  <si>
    <t>P1030</t>
  </si>
  <si>
    <t>P1122</t>
  </si>
  <si>
    <t>P0074</t>
  </si>
  <si>
    <t>P0728</t>
  </si>
  <si>
    <t>P0645</t>
  </si>
  <si>
    <t>P0042</t>
  </si>
  <si>
    <t>P0367</t>
  </si>
  <si>
    <t>P1152</t>
  </si>
  <si>
    <t>P1112</t>
  </si>
  <si>
    <t>P0565</t>
  </si>
  <si>
    <t>P0876</t>
  </si>
  <si>
    <t>P0436</t>
  </si>
  <si>
    <t>P0916</t>
  </si>
  <si>
    <t>P0058</t>
  </si>
  <si>
    <t>P1102</t>
  </si>
  <si>
    <t>P0238</t>
  </si>
  <si>
    <t>P0229</t>
  </si>
  <si>
    <t>P0260</t>
  </si>
  <si>
    <t>P0396</t>
  </si>
  <si>
    <t>P0832</t>
  </si>
  <si>
    <t>P0640</t>
  </si>
  <si>
    <t>P0860</t>
  </si>
  <si>
    <t>P0865</t>
  </si>
  <si>
    <t>P0679</t>
  </si>
  <si>
    <t>P0435</t>
  </si>
  <si>
    <t>P0665</t>
  </si>
  <si>
    <t>P0536</t>
  </si>
  <si>
    <t>P0609</t>
  </si>
  <si>
    <t>P0476</t>
  </si>
  <si>
    <t>P1019</t>
  </si>
  <si>
    <t>P1188</t>
  </si>
  <si>
    <t>P0408</t>
  </si>
  <si>
    <t>P0755</t>
  </si>
  <si>
    <t>P0970</t>
  </si>
  <si>
    <t>P0746</t>
  </si>
  <si>
    <t>P0065</t>
  </si>
  <si>
    <t>P0890</t>
  </si>
  <si>
    <t>P0868</t>
  </si>
  <si>
    <t>P0414</t>
  </si>
  <si>
    <t>P0393</t>
  </si>
  <si>
    <t>P0510</t>
  </si>
  <si>
    <t>P0407</t>
  </si>
  <si>
    <t>P0898</t>
  </si>
  <si>
    <t>P0207</t>
  </si>
  <si>
    <t>P0470</t>
  </si>
  <si>
    <t>P0178</t>
  </si>
  <si>
    <t>P0357</t>
  </si>
  <si>
    <t>P0652</t>
  </si>
  <si>
    <t>P1059</t>
  </si>
  <si>
    <t>P0475</t>
  </si>
  <si>
    <t>P0885</t>
  </si>
  <si>
    <t>P0054</t>
  </si>
  <si>
    <t>P0327</t>
  </si>
  <si>
    <t>P1136</t>
  </si>
  <si>
    <t>P0501</t>
  </si>
  <si>
    <t>P0721</t>
  </si>
  <si>
    <t>P0668</t>
  </si>
  <si>
    <t>P0783</t>
  </si>
  <si>
    <t>P1115</t>
  </si>
  <si>
    <t>P1061</t>
  </si>
  <si>
    <t>P0043</t>
  </si>
  <si>
    <t>P0716</t>
  </si>
  <si>
    <t>P0110</t>
  </si>
  <si>
    <t>P0834</t>
  </si>
  <si>
    <t>P0577</t>
  </si>
  <si>
    <t>P0337</t>
  </si>
  <si>
    <t>P0509</t>
  </si>
  <si>
    <t>P0530</t>
  </si>
  <si>
    <t>P0411</t>
  </si>
  <si>
    <t>P0657</t>
  </si>
  <si>
    <t>P0882</t>
  </si>
  <si>
    <t>P0945</t>
  </si>
  <si>
    <t>P0255</t>
  </si>
  <si>
    <t>P0685</t>
  </si>
  <si>
    <t>P0826</t>
  </si>
  <si>
    <t>P0450</t>
  </si>
  <si>
    <t>P0589</t>
  </si>
  <si>
    <t>P0789</t>
  </si>
  <si>
    <t>P0098</t>
  </si>
  <si>
    <t>P0347</t>
  </si>
  <si>
    <t>P0942</t>
  </si>
  <si>
    <t>P0316</t>
  </si>
  <si>
    <t>P0768</t>
  </si>
  <si>
    <t>P1079</t>
  </si>
  <si>
    <t>P0965</t>
  </si>
  <si>
    <t>P0964</t>
  </si>
  <si>
    <t>P0342</t>
  </si>
  <si>
    <t>P0603</t>
  </si>
  <si>
    <t>P0751</t>
  </si>
  <si>
    <t>P0162</t>
  </si>
  <si>
    <t>P0877</t>
  </si>
  <si>
    <t>P1172</t>
  </si>
  <si>
    <t>P1121</t>
  </si>
  <si>
    <t>P0647</t>
  </si>
  <si>
    <t>P1183</t>
  </si>
  <si>
    <t>P0901</t>
  </si>
  <si>
    <t>P0575</t>
  </si>
  <si>
    <t>P0940</t>
  </si>
  <si>
    <t>P0867</t>
  </si>
  <si>
    <t>P0068</t>
  </si>
  <si>
    <t>P1022</t>
  </si>
  <si>
    <t>P1083</t>
  </si>
  <si>
    <t>P0706</t>
  </si>
  <si>
    <t>P0733</t>
  </si>
  <si>
    <t>P0653</t>
  </si>
  <si>
    <t>P0710</t>
  </si>
  <si>
    <t>P0283</t>
  </si>
  <si>
    <t>P0764</t>
  </si>
  <si>
    <t>P0035</t>
  </si>
  <si>
    <t>P0742</t>
  </si>
  <si>
    <t>P0023</t>
  </si>
  <si>
    <t>P1074</t>
  </si>
  <si>
    <t>P0092</t>
  </si>
  <si>
    <t>P0719</t>
  </si>
  <si>
    <t>P0144</t>
  </si>
  <si>
    <t>P0028</t>
  </si>
  <si>
    <t>P0232</t>
  </si>
  <si>
    <t>P0777</t>
  </si>
  <si>
    <t>P0044</t>
  </si>
  <si>
    <t>P0245</t>
  </si>
  <si>
    <t>P0831</t>
  </si>
  <si>
    <t>P0055</t>
  </si>
  <si>
    <t>P0805</t>
  </si>
  <si>
    <t>P0788</t>
  </si>
  <si>
    <t>P0840</t>
  </si>
  <si>
    <t>P0082</t>
  </si>
  <si>
    <t>P0701</t>
  </si>
  <si>
    <t>P0425</t>
  </si>
  <si>
    <t>P0580</t>
  </si>
  <si>
    <t>P0285</t>
  </si>
  <si>
    <t>P0478</t>
  </si>
  <si>
    <t>P0038</t>
  </si>
  <si>
    <t>P0621</t>
  </si>
  <si>
    <t>P0827</t>
  </si>
  <si>
    <t>P0032</t>
  </si>
  <si>
    <t>P0884</t>
  </si>
  <si>
    <t>P0009</t>
  </si>
  <si>
    <t>P0671</t>
  </si>
  <si>
    <t>P0833</t>
  </si>
  <si>
    <t>P1070</t>
  </si>
  <si>
    <t>P0115</t>
  </si>
  <si>
    <t>P0608</t>
  </si>
  <si>
    <t>P0359</t>
  </si>
  <si>
    <t>P0089</t>
  </si>
  <si>
    <t>P0949</t>
  </si>
  <si>
    <t>P0787</t>
  </si>
  <si>
    <t>P0418</t>
  </si>
  <si>
    <t>P0973</t>
  </si>
  <si>
    <t>P0886</t>
  </si>
  <si>
    <t>P0579</t>
  </si>
  <si>
    <t>P0051</t>
  </si>
  <si>
    <t>P0631</t>
  </si>
  <si>
    <t>P0112</t>
  </si>
  <si>
    <t>P1033</t>
  </si>
  <si>
    <t>P0546</t>
  </si>
  <si>
    <t>P1052</t>
  </si>
  <si>
    <t>P0650</t>
  </si>
  <si>
    <t>P0123</t>
  </si>
  <si>
    <t>P0814</t>
  </si>
  <si>
    <t>P1050</t>
  </si>
  <si>
    <t>P1096</t>
  </si>
  <si>
    <t>P0938</t>
  </si>
  <si>
    <t>P0765</t>
  </si>
  <si>
    <t>P0930</t>
  </si>
  <si>
    <t>P0252</t>
  </si>
  <si>
    <t>P0134</t>
  </si>
  <si>
    <t>P0517</t>
  </si>
  <si>
    <t>P1047</t>
  </si>
  <si>
    <t>P1010</t>
  </si>
  <si>
    <t>P0205</t>
  </si>
  <si>
    <t>P1184</t>
  </si>
  <si>
    <t>P0401</t>
  </si>
  <si>
    <t>P0809</t>
  </si>
  <si>
    <t>P0598</t>
  </si>
  <si>
    <t>P0253</t>
  </si>
  <si>
    <t>P1080</t>
  </si>
  <si>
    <t>P0113</t>
  </si>
  <si>
    <t>P0170</t>
  </si>
  <si>
    <t>P0433</t>
  </si>
  <si>
    <t>P0529</t>
  </si>
  <si>
    <t>P0548</t>
  </si>
  <si>
    <t>P1132</t>
  </si>
  <si>
    <t>P0422</t>
  </si>
  <si>
    <t>P0282</t>
  </si>
  <si>
    <t>P0091</t>
  </si>
  <si>
    <t>P0646</t>
  </si>
  <si>
    <t>P1139</t>
  </si>
  <si>
    <t>P0290</t>
  </si>
  <si>
    <t>P0190</t>
  </si>
  <si>
    <t>P0208</t>
  </si>
  <si>
    <t>P0597</t>
  </si>
  <si>
    <t>P0899</t>
  </si>
  <si>
    <t>P0017</t>
  </si>
  <si>
    <t>P0786</t>
  </si>
  <si>
    <t>P0376</t>
  </si>
  <si>
    <t>P0463</t>
  </si>
  <si>
    <t>P0461</t>
  </si>
  <si>
    <t>P0013</t>
  </si>
  <si>
    <t>P0019</t>
  </si>
  <si>
    <t>P1066</t>
  </si>
  <si>
    <t>P0479</t>
  </si>
  <si>
    <t>P0286</t>
  </si>
  <si>
    <t>P1075</t>
  </si>
  <si>
    <t>P1025</t>
  </si>
  <si>
    <t>P0526</t>
  </si>
  <si>
    <t>P1077</t>
  </si>
  <si>
    <t>P0033</t>
  </si>
  <si>
    <t>P0289</t>
  </si>
  <si>
    <t>P0221</t>
  </si>
  <si>
    <t>P0952</t>
  </si>
  <si>
    <t>P0136</t>
  </si>
  <si>
    <t>P0203</t>
  </si>
  <si>
    <t>P0250</t>
  </si>
  <si>
    <t>P0169</t>
  </si>
  <si>
    <t>P1166</t>
  </si>
  <si>
    <t>P0681</t>
  </si>
  <si>
    <t>P0189</t>
  </si>
  <si>
    <t>P0732</t>
  </si>
  <si>
    <t>P0727</t>
  </si>
  <si>
    <t>P0335</t>
  </si>
  <si>
    <t>P0292</t>
  </si>
  <si>
    <t>P0117</t>
  </si>
  <si>
    <t>P0052</t>
  </si>
  <si>
    <t>P0152</t>
  </si>
  <si>
    <t>P0636</t>
  </si>
  <si>
    <t>P0387</t>
  </si>
  <si>
    <t>P1116</t>
  </si>
  <si>
    <t>P0122</t>
  </si>
  <si>
    <t>P0568</t>
  </si>
  <si>
    <t>P0441</t>
  </si>
  <si>
    <t>P1182</t>
  </si>
  <si>
    <t>P0894</t>
  </si>
  <si>
    <t>P0503</t>
  </si>
  <si>
    <t>P0678</t>
  </si>
  <si>
    <t>P0173</t>
  </si>
  <si>
    <t>Hospital Name</t>
  </si>
  <si>
    <t>Copd</t>
  </si>
  <si>
    <t>MALE</t>
  </si>
  <si>
    <t>Unknown</t>
  </si>
  <si>
    <t>Length_of_Stay (Days)</t>
  </si>
  <si>
    <t>Age (Years)</t>
  </si>
  <si>
    <t>Count total patients</t>
  </si>
  <si>
    <t>Calculate average age</t>
  </si>
  <si>
    <t>Find minimum age</t>
  </si>
  <si>
    <t>Find maximum age</t>
  </si>
  <si>
    <t>Calculate total drug cost</t>
  </si>
  <si>
    <t>Calculate average drug cost</t>
  </si>
  <si>
    <t>Count male patients</t>
  </si>
  <si>
    <t>Count female patients</t>
  </si>
  <si>
    <t>Count patients with Diabetes</t>
  </si>
  <si>
    <t>Find longest hospital stay</t>
  </si>
  <si>
    <t>Find shortest hospital stay</t>
  </si>
  <si>
    <t>Count patients per condition</t>
  </si>
  <si>
    <t>Calculate total cost for Diabetes patients</t>
  </si>
  <si>
    <t>Age Group</t>
  </si>
  <si>
    <t>High Cost Case</t>
  </si>
  <si>
    <t>Count patients per hospital</t>
  </si>
  <si>
    <t xml:space="preserve"> Average drug cost per hospital</t>
  </si>
  <si>
    <t>Age &gt; 75</t>
  </si>
  <si>
    <t>&gt; AverageCost</t>
  </si>
  <si>
    <t>Admission Month</t>
  </si>
  <si>
    <t>Month</t>
  </si>
  <si>
    <t>Patient Count</t>
  </si>
  <si>
    <t>TOTAL</t>
  </si>
  <si>
    <t>January 2024</t>
  </si>
  <si>
    <t>February 2024</t>
  </si>
  <si>
    <t>March 2024</t>
  </si>
  <si>
    <t>April 2024</t>
  </si>
  <si>
    <t>May 2024</t>
  </si>
  <si>
    <t>June 2024</t>
  </si>
  <si>
    <t>July 2024</t>
  </si>
  <si>
    <t>August 2024</t>
  </si>
  <si>
    <t>September 2024</t>
  </si>
  <si>
    <t>October 2024</t>
  </si>
  <si>
    <t>November 2024</t>
  </si>
  <si>
    <t>December 2024</t>
  </si>
  <si>
    <r>
      <t xml:space="preserve">Count patients with </t>
    </r>
    <r>
      <rPr>
        <b/>
        <sz val="12"/>
        <color theme="1"/>
        <rFont val="Aptos Narrow"/>
        <family val="2"/>
        <scheme val="minor"/>
      </rPr>
      <t>stay &gt;10 days</t>
    </r>
  </si>
  <si>
    <r>
      <rPr>
        <sz val="12"/>
        <color theme="1"/>
        <rFont val="Aptos Narrow"/>
        <family val="2"/>
        <scheme val="minor"/>
      </rPr>
      <t xml:space="preserve">Average stay for </t>
    </r>
    <r>
      <rPr>
        <b/>
        <sz val="12"/>
        <color theme="1"/>
        <rFont val="Aptos Narrow"/>
        <family val="2"/>
        <scheme val="minor"/>
      </rPr>
      <t>Stroke patients</t>
    </r>
  </si>
  <si>
    <r>
      <rPr>
        <sz val="12"/>
        <color theme="1"/>
        <rFont val="Aptos Narrow"/>
        <family val="2"/>
        <scheme val="minor"/>
      </rPr>
      <t xml:space="preserve">Find </t>
    </r>
    <r>
      <rPr>
        <b/>
        <sz val="12"/>
        <color theme="1"/>
        <rFont val="Aptos Narrow"/>
        <family val="2"/>
        <scheme val="minor"/>
      </rPr>
      <t>patients above average cost</t>
    </r>
  </si>
  <si>
    <t>Calculate total cost per condition</t>
  </si>
  <si>
    <t>Calculate average age per condition</t>
  </si>
  <si>
    <t>Calculate average stay per hospital</t>
  </si>
  <si>
    <t>Count patients admitted each month</t>
  </si>
  <si>
    <t>Total Patients</t>
  </si>
  <si>
    <t>Patients per hospital</t>
  </si>
  <si>
    <t>Grand Total</t>
  </si>
  <si>
    <t>Count of Patient_ID</t>
  </si>
  <si>
    <t>Sum of Drug_Cost_GBP</t>
  </si>
  <si>
    <t>Average of Drug_Cost_GBP</t>
  </si>
  <si>
    <t>Average of Length_of_Stay (Days)</t>
  </si>
  <si>
    <t>Column Labels</t>
  </si>
  <si>
    <t>Total Drug Cost</t>
  </si>
  <si>
    <t>Avg Length of Stay</t>
  </si>
  <si>
    <t>Dashboard</t>
  </si>
  <si>
    <t>KPI</t>
  </si>
  <si>
    <t>Avg Age</t>
  </si>
  <si>
    <t>Average of Age (Years)</t>
  </si>
  <si>
    <t>Average drug cost per hospital</t>
  </si>
  <si>
    <t>Average stay per condition</t>
  </si>
  <si>
    <t>Top 5 most expensive patients</t>
  </si>
  <si>
    <t>Monthly admission trend</t>
  </si>
  <si>
    <t>Total cost per hospital</t>
  </si>
  <si>
    <t>Total cost per condition</t>
  </si>
  <si>
    <t>Outcome distribution per condition</t>
  </si>
  <si>
    <t xml:space="preserve"> Gender distribution per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</si>
</sst>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00"/>
    <numFmt numFmtId="165" formatCode="_-[$£-809]* #,##0.00_-;\-[$£-809]* #,##0.00_-;_-[$£-809]* &quot;-&quot;??_-;_-@_-"/>
    <numFmt numFmtId="166" formatCode="0.000"/>
  </numFmts>
  <fonts count="15" x14ac:knownFonts="1">
    <font>
      <sz val="11"/>
      <color theme="1"/>
      <name val="Aptos Narrow"/>
      <family val="2"/>
      <scheme val="minor"/>
    </font>
    <font>
      <sz val="8"/>
      <name val="Aptos Narrow"/>
      <family val="2"/>
      <scheme val="minor"/>
    </font>
    <font>
      <b/>
      <sz val="11"/>
      <color theme="1"/>
      <name val="Aptos Narrow"/>
      <family val="2"/>
      <scheme val="minor"/>
    </font>
    <font>
      <sz val="11"/>
      <name val="Aptos Narrow"/>
      <family val="2"/>
      <scheme val="minor"/>
    </font>
    <font>
      <sz val="12"/>
      <color theme="1"/>
      <name val="Aptos Narrow"/>
      <family val="2"/>
      <scheme val="minor"/>
    </font>
    <font>
      <sz val="11"/>
      <color theme="1"/>
      <name val="Aptos Narrow"/>
      <family val="2"/>
      <scheme val="minor"/>
    </font>
    <font>
      <b/>
      <sz val="12"/>
      <color theme="1"/>
      <name val="Aptos Narrow"/>
      <family val="2"/>
      <scheme val="minor"/>
    </font>
    <font>
      <sz val="35"/>
      <color theme="1"/>
      <name val="Aptos Narrow"/>
      <family val="2"/>
      <scheme val="minor"/>
    </font>
    <font>
      <b/>
      <sz val="14"/>
      <color theme="1"/>
      <name val="Aptos Narrow"/>
      <family val="2"/>
      <scheme val="minor"/>
    </font>
    <font>
      <b/>
      <sz val="22"/>
      <color theme="1"/>
      <name val="Aptos Narrow"/>
      <family val="2"/>
      <scheme val="minor"/>
    </font>
    <font>
      <b/>
      <sz val="35"/>
      <color theme="1"/>
      <name val="Aptos Narrow"/>
      <family val="2"/>
      <scheme val="minor"/>
    </font>
    <font>
      <b/>
      <sz val="16"/>
      <color theme="1"/>
      <name val="Aptos Narrow"/>
      <family val="2"/>
      <scheme val="minor"/>
    </font>
    <font>
      <b/>
      <sz val="18"/>
      <color theme="1"/>
      <name val="Aptos Narrow"/>
      <family val="2"/>
      <scheme val="minor"/>
    </font>
    <font>
      <b/>
      <sz val="18"/>
      <color theme="3" tint="0.249977111117893"/>
      <name val="Aptos Narrow"/>
      <family val="2"/>
      <scheme val="minor"/>
    </font>
    <font>
      <b/>
      <sz val="14"/>
      <color theme="1" tint="0.34998626667073579"/>
      <name val="Aptos Narrow"/>
      <family val="2"/>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theme="4" tint="0.79998168889431442"/>
        <bgColor theme="4" tint="0.79998168889431442"/>
      </patternFill>
    </fill>
  </fills>
  <borders count="7">
    <border>
      <left/>
      <right/>
      <top/>
      <bottom/>
      <diagonal/>
    </border>
    <border>
      <left/>
      <right/>
      <top style="thin">
        <color theme="1"/>
      </top>
      <bottom/>
      <diagonal/>
    </border>
    <border>
      <left style="thin">
        <color theme="4" tint="0.39997558519241921"/>
      </left>
      <right/>
      <top style="thin">
        <color theme="1"/>
      </top>
      <bottom/>
      <diagonal/>
    </border>
    <border>
      <left/>
      <right style="thin">
        <color theme="4" tint="0.39997558519241921"/>
      </right>
      <top style="thin">
        <color theme="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44" fontId="5" fillId="0" borderId="0" applyFont="0" applyFill="0" applyBorder="0" applyAlignment="0" applyProtection="0"/>
  </cellStyleXfs>
  <cellXfs count="67">
    <xf numFmtId="0" fontId="0" fillId="0" borderId="0" xfId="0"/>
    <xf numFmtId="0" fontId="0" fillId="3" borderId="4" xfId="0" applyFill="1" applyBorder="1"/>
    <xf numFmtId="0" fontId="0" fillId="3" borderId="5" xfId="0" applyFill="1" applyBorder="1"/>
    <xf numFmtId="14" fontId="0" fillId="3" borderId="5" xfId="0" applyNumberFormat="1" applyFill="1" applyBorder="1"/>
    <xf numFmtId="0" fontId="0" fillId="3" borderId="6" xfId="0" applyFill="1" applyBorder="1"/>
    <xf numFmtId="0" fontId="0" fillId="2" borderId="4" xfId="0" applyFill="1" applyBorder="1"/>
    <xf numFmtId="0" fontId="0" fillId="2" borderId="5" xfId="0" applyFill="1" applyBorder="1"/>
    <xf numFmtId="14" fontId="0" fillId="2" borderId="5" xfId="0" applyNumberFormat="1" applyFill="1" applyBorder="1"/>
    <xf numFmtId="0" fontId="0" fillId="2" borderId="6" xfId="0" applyFill="1" applyBorder="1"/>
    <xf numFmtId="0" fontId="2" fillId="0" borderId="0" xfId="0" applyFont="1"/>
    <xf numFmtId="14" fontId="2" fillId="0" borderId="0" xfId="0" applyNumberFormat="1" applyFont="1"/>
    <xf numFmtId="0" fontId="3" fillId="0" borderId="0" xfId="0" applyFont="1"/>
    <xf numFmtId="164" fontId="2" fillId="0" borderId="0" xfId="0" applyNumberFormat="1" applyFont="1"/>
    <xf numFmtId="164" fontId="0" fillId="3" borderId="5" xfId="0" applyNumberFormat="1" applyFill="1" applyBorder="1"/>
    <xf numFmtId="164" fontId="0" fillId="2" borderId="5" xfId="0" applyNumberFormat="1" applyFill="1" applyBorder="1"/>
    <xf numFmtId="164" fontId="0" fillId="0" borderId="0" xfId="0" applyNumberFormat="1"/>
    <xf numFmtId="1" fontId="2" fillId="0" borderId="0" xfId="0" applyNumberFormat="1" applyFont="1"/>
    <xf numFmtId="1" fontId="0" fillId="3" borderId="5" xfId="0" applyNumberFormat="1" applyFill="1" applyBorder="1"/>
    <xf numFmtId="1" fontId="0" fillId="2" borderId="5" xfId="0" applyNumberFormat="1" applyFill="1" applyBorder="1"/>
    <xf numFmtId="1" fontId="0" fillId="0" borderId="0" xfId="0" applyNumberFormat="1"/>
    <xf numFmtId="0" fontId="0" fillId="0" borderId="0" xfId="0" applyAlignment="1">
      <alignment horizontal="left" vertical="center" indent="1"/>
    </xf>
    <xf numFmtId="0" fontId="0" fillId="3" borderId="2" xfId="0" applyFill="1" applyBorder="1"/>
    <xf numFmtId="0" fontId="3" fillId="2" borderId="4" xfId="0" applyFont="1" applyFill="1" applyBorder="1"/>
    <xf numFmtId="1" fontId="0" fillId="3" borderId="1" xfId="0" applyNumberFormat="1" applyFill="1" applyBorder="1"/>
    <xf numFmtId="1" fontId="3" fillId="2" borderId="5" xfId="0" applyNumberFormat="1" applyFont="1" applyFill="1" applyBorder="1"/>
    <xf numFmtId="0" fontId="0" fillId="3" borderId="1" xfId="0" applyFill="1" applyBorder="1"/>
    <xf numFmtId="0" fontId="3" fillId="2" borderId="5" xfId="0" applyFont="1" applyFill="1" applyBorder="1"/>
    <xf numFmtId="14" fontId="0" fillId="3" borderId="1" xfId="0" applyNumberFormat="1" applyFill="1" applyBorder="1"/>
    <xf numFmtId="14" fontId="3" fillId="2" borderId="5" xfId="0" applyNumberFormat="1" applyFont="1" applyFill="1" applyBorder="1"/>
    <xf numFmtId="164" fontId="0" fillId="3" borderId="1" xfId="0" applyNumberFormat="1" applyFill="1" applyBorder="1"/>
    <xf numFmtId="164" fontId="3" fillId="2" borderId="5" xfId="0" applyNumberFormat="1" applyFont="1" applyFill="1" applyBorder="1"/>
    <xf numFmtId="0" fontId="0" fillId="3" borderId="3" xfId="0" applyFill="1" applyBorder="1"/>
    <xf numFmtId="0" fontId="3" fillId="2" borderId="6" xfId="0" applyFont="1" applyFill="1" applyBorder="1"/>
    <xf numFmtId="0" fontId="4" fillId="0" borderId="0" xfId="0" applyFont="1"/>
    <xf numFmtId="165" fontId="4" fillId="0" borderId="0" xfId="0" applyNumberFormat="1" applyFont="1"/>
    <xf numFmtId="44" fontId="0" fillId="0" borderId="0" xfId="1" applyFont="1"/>
    <xf numFmtId="44" fontId="4" fillId="0" borderId="0" xfId="1" applyFont="1"/>
    <xf numFmtId="0" fontId="0" fillId="2" borderId="3" xfId="0" applyFill="1" applyBorder="1"/>
    <xf numFmtId="166" fontId="0" fillId="0" borderId="0" xfId="0" applyNumberFormat="1"/>
    <xf numFmtId="0" fontId="0" fillId="2" borderId="0" xfId="0" applyFill="1"/>
    <xf numFmtId="49" fontId="3" fillId="0" borderId="0" xfId="0" applyNumberFormat="1" applyFont="1"/>
    <xf numFmtId="49" fontId="0" fillId="0" borderId="0" xfId="0" applyNumberFormat="1"/>
    <xf numFmtId="0" fontId="6" fillId="0" borderId="0" xfId="0" applyFont="1" applyAlignment="1">
      <alignment horizontal="left" vertical="center" indent="1"/>
    </xf>
    <xf numFmtId="2" fontId="4" fillId="0" borderId="0" xfId="0" applyNumberFormat="1" applyFont="1"/>
    <xf numFmtId="0" fontId="4" fillId="0" borderId="0" xfId="0" applyFont="1" applyAlignment="1">
      <alignment vertic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left" vertical="center"/>
    </xf>
    <xf numFmtId="0" fontId="0" fillId="0" borderId="0" xfId="0" pivotButton="1"/>
    <xf numFmtId="0" fontId="0" fillId="0" borderId="0" xfId="0" applyAlignment="1">
      <alignment horizontal="left"/>
    </xf>
    <xf numFmtId="2" fontId="0" fillId="0" borderId="0" xfId="0" applyNumberFormat="1"/>
    <xf numFmtId="0" fontId="11" fillId="0" borderId="0" xfId="0" applyFont="1" applyAlignment="1">
      <alignment horizontal="centerContinuous"/>
    </xf>
    <xf numFmtId="0" fontId="7" fillId="0" borderId="0" xfId="0" applyFont="1" applyAlignment="1">
      <alignment horizontal="centerContinuous"/>
    </xf>
    <xf numFmtId="0" fontId="10" fillId="0" borderId="0" xfId="0" applyFont="1" applyAlignment="1">
      <alignment horizontal="centerContinuous"/>
    </xf>
    <xf numFmtId="0" fontId="7" fillId="0" borderId="0" xfId="0" applyFont="1"/>
    <xf numFmtId="0" fontId="0" fillId="0" borderId="0" xfId="0" applyAlignment="1">
      <alignment horizontal="centerContinuous"/>
    </xf>
    <xf numFmtId="0" fontId="6" fillId="0" borderId="0" xfId="0" applyFont="1" applyAlignment="1">
      <alignment vertical="center"/>
    </xf>
    <xf numFmtId="0" fontId="14"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wrapText="1"/>
    </xf>
    <xf numFmtId="0" fontId="2" fillId="0" borderId="0" xfId="0" applyFont="1" applyAlignment="1">
      <alignment horizontal="center" vertical="center" wrapText="1"/>
    </xf>
    <xf numFmtId="0" fontId="13" fillId="0" borderId="0" xfId="0" applyFont="1" applyAlignment="1">
      <alignment horizontal="center" vertical="center"/>
    </xf>
    <xf numFmtId="164" fontId="13" fillId="0" borderId="0" xfId="0" applyNumberFormat="1" applyFont="1" applyAlignment="1">
      <alignment horizontal="center" vertical="center"/>
    </xf>
    <xf numFmtId="0" fontId="12" fillId="0" borderId="0" xfId="0" applyFont="1" applyAlignment="1">
      <alignment horizontal="center"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0" fontId="4" fillId="0" borderId="0" xfId="0" applyFont="1" applyAlignment="1">
      <alignment horizontal="left" vertical="center"/>
    </xf>
  </cellXfs>
  <cellStyles count="2">
    <cellStyle name="Currency" xfId="1" builtinId="4"/>
    <cellStyle name="Normal" xfId="0" builtinId="0"/>
  </cellStyles>
  <dxfs count="24">
    <dxf>
      <font>
        <color rgb="FF9C0006"/>
      </font>
      <fill>
        <patternFill>
          <bgColor rgb="FFFFC7CE"/>
        </patternFill>
      </fill>
    </dxf>
    <dxf>
      <numFmt numFmtId="2" formatCode="0.00"/>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outline="0">
        <left/>
        <right style="thin">
          <color theme="4" tint="0.39997558519241921"/>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quot;£&quot;#,##0.00"/>
      <fill>
        <patternFill patternType="solid">
          <fgColor theme="0" tint="-0.14999847407452621"/>
          <bgColor theme="0" tint="-0.1499984740745262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9" formatCode="dd/mm/yyyy"/>
      <fill>
        <patternFill patternType="solid">
          <fgColor theme="0" tint="-0.14999847407452621"/>
          <bgColor theme="0" tint="-0.1499984740745262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0" tint="-0.14999847407452621"/>
          <bgColor theme="0" tint="-0.1499984740745262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outline="0">
        <left style="thin">
          <color theme="4" tint="0.39997558519241921"/>
        </left>
        <right/>
        <top style="thin">
          <color theme="4" tint="0.39997558519241921"/>
        </top>
        <bottom/>
      </border>
    </dxf>
    <dxf>
      <border outline="0">
        <top style="thin">
          <color theme="1"/>
        </top>
        <bottom style="thin">
          <color theme="1"/>
        </bottom>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a:t>
            </a:r>
            <a:r>
              <a:rPr lang="en-US" baseline="0"/>
              <a:t> by Hospital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70907583920431"/>
          <c:y val="0.16245370370370371"/>
          <c:w val="0.7215791447121741"/>
          <c:h val="0.73051727909011377"/>
        </c:manualLayout>
      </c:layout>
      <c:barChart>
        <c:barDir val="bar"/>
        <c:grouping val="clustered"/>
        <c:varyColors val="0"/>
        <c:ser>
          <c:idx val="0"/>
          <c:order val="0"/>
          <c:tx>
            <c:strRef>
              <c:f>Pivot_Table!$B$2</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Pivot_Table!$A$3:$A$9</c:f>
              <c:strCache>
                <c:ptCount val="6"/>
                <c:pt idx="0">
                  <c:v>Walsall Manor</c:v>
                </c:pt>
                <c:pt idx="1">
                  <c:v>Stoke Hospital</c:v>
                </c:pt>
                <c:pt idx="2">
                  <c:v>Stafford Hospital</c:v>
                </c:pt>
                <c:pt idx="3">
                  <c:v>Russells Hall Hospital</c:v>
                </c:pt>
                <c:pt idx="4">
                  <c:v>New Cross Hospital</c:v>
                </c:pt>
                <c:pt idx="5">
                  <c:v>Keele Hospital</c:v>
                </c:pt>
              </c:strCache>
            </c:strRef>
          </c:cat>
          <c:val>
            <c:numRef>
              <c:f>Pivot_Table!$B$3:$B$9</c:f>
              <c:numCache>
                <c:formatCode>General</c:formatCode>
                <c:ptCount val="6"/>
                <c:pt idx="0">
                  <c:v>128</c:v>
                </c:pt>
                <c:pt idx="1">
                  <c:v>214</c:v>
                </c:pt>
                <c:pt idx="2">
                  <c:v>104</c:v>
                </c:pt>
                <c:pt idx="3">
                  <c:v>107</c:v>
                </c:pt>
                <c:pt idx="4">
                  <c:v>219</c:v>
                </c:pt>
                <c:pt idx="5">
                  <c:v>92</c:v>
                </c:pt>
              </c:numCache>
            </c:numRef>
          </c:val>
          <c:extLst>
            <c:ext xmlns:c16="http://schemas.microsoft.com/office/drawing/2014/chart" uri="{C3380CC4-5D6E-409C-BE32-E72D297353CC}">
              <c16:uniqueId val="{00000000-CB16-4294-B426-FA412D3D2624}"/>
            </c:ext>
          </c:extLst>
        </c:ser>
        <c:dLbls>
          <c:dLblPos val="outEnd"/>
          <c:showLegendKey val="0"/>
          <c:showVal val="1"/>
          <c:showCatName val="0"/>
          <c:showSerName val="0"/>
          <c:showPercent val="0"/>
          <c:showBubbleSize val="0"/>
        </c:dLbls>
        <c:gapWidth val="50"/>
        <c:axId val="309934751"/>
        <c:axId val="309933311"/>
      </c:barChart>
      <c:catAx>
        <c:axId val="3099347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33311"/>
        <c:crosses val="autoZero"/>
        <c:auto val="1"/>
        <c:lblAlgn val="ctr"/>
        <c:lblOffset val="100"/>
        <c:noMultiLvlLbl val="0"/>
      </c:catAx>
      <c:valAx>
        <c:axId val="309933311"/>
        <c:scaling>
          <c:orientation val="minMax"/>
        </c:scaling>
        <c:delete val="1"/>
        <c:axPos val="b"/>
        <c:numFmt formatCode="General" sourceLinked="1"/>
        <c:majorTickMark val="out"/>
        <c:minorTickMark val="none"/>
        <c:tickLblPos val="nextTo"/>
        <c:crossAx val="30993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Drug Cost</a:t>
            </a:r>
            <a:r>
              <a:rPr lang="en-US" baseline="0"/>
              <a:t> by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17496994530359963"/>
          <c:y val="0.16245380800487755"/>
          <c:w val="0.67110311750599516"/>
          <c:h val="0.77736111111111106"/>
        </c:manualLayout>
      </c:layout>
      <c:pieChart>
        <c:varyColors val="1"/>
        <c:ser>
          <c:idx val="0"/>
          <c:order val="0"/>
          <c:tx>
            <c:strRef>
              <c:f>Pivot_Table!$H$27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B-4ED4-83A0-6383635A6F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B-4ED4-83A0-6383635A6F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B-4ED4-83A0-6383635A6F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1B-4ED4-83A0-6383635A6F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1B-4ED4-83A0-6383635A6F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1B-4ED4-83A0-6383635A6F7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1B-4ED4-83A0-6383635A6F7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C1B-4ED4-83A0-6383635A6F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Pivot_Table!$G$28:$G$36</c:f>
              <c:strCache>
                <c:ptCount val="8"/>
                <c:pt idx="0">
                  <c:v>Asthma</c:v>
                </c:pt>
                <c:pt idx="1">
                  <c:v>Copd</c:v>
                </c:pt>
                <c:pt idx="2">
                  <c:v>Diabetes</c:v>
                </c:pt>
                <c:pt idx="3">
                  <c:v>Heart Disease</c:v>
                </c:pt>
                <c:pt idx="4">
                  <c:v>Hypertension</c:v>
                </c:pt>
                <c:pt idx="5">
                  <c:v>Kidney Disease</c:v>
                </c:pt>
                <c:pt idx="6">
                  <c:v>Stroke</c:v>
                </c:pt>
                <c:pt idx="7">
                  <c:v>Unknown</c:v>
                </c:pt>
              </c:strCache>
            </c:strRef>
          </c:cat>
          <c:val>
            <c:numRef>
              <c:f>Pivot_Table!$H$28:$H$36</c:f>
              <c:numCache>
                <c:formatCode>"£"#,##0.00</c:formatCode>
                <c:ptCount val="8"/>
                <c:pt idx="0">
                  <c:v>102231.26637931018</c:v>
                </c:pt>
                <c:pt idx="1">
                  <c:v>109037.07575862057</c:v>
                </c:pt>
                <c:pt idx="2">
                  <c:v>179621.85131034494</c:v>
                </c:pt>
                <c:pt idx="3">
                  <c:v>75629.637586206896</c:v>
                </c:pt>
                <c:pt idx="4">
                  <c:v>98783.82575862066</c:v>
                </c:pt>
                <c:pt idx="5">
                  <c:v>91073.645551724039</c:v>
                </c:pt>
                <c:pt idx="6">
                  <c:v>97148.948620689553</c:v>
                </c:pt>
                <c:pt idx="7">
                  <c:v>112260.1137241378</c:v>
                </c:pt>
              </c:numCache>
            </c:numRef>
          </c:val>
          <c:extLst>
            <c:ext xmlns:c16="http://schemas.microsoft.com/office/drawing/2014/chart" uri="{C3380CC4-5D6E-409C-BE32-E72D297353CC}">
              <c16:uniqueId val="{00000010-7150-4C88-A7C1-513C3737BC9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[Excel_Project_1.xlsx]Pivot_Table!PivotTable11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Admission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Pivot_Table!$D$14:$D$27</c:f>
              <c:strCache>
                <c:ptCount val="13"/>
                <c:pt idx="0">
                  <c:v>April 2024</c:v>
                </c:pt>
                <c:pt idx="1">
                  <c:v>August 2024</c:v>
                </c:pt>
                <c:pt idx="2">
                  <c:v>December 2024</c:v>
                </c:pt>
                <c:pt idx="3">
                  <c:v>February 2024</c:v>
                </c:pt>
                <c:pt idx="4">
                  <c:v>January 2024</c:v>
                </c:pt>
                <c:pt idx="5">
                  <c:v>July 2024</c:v>
                </c:pt>
                <c:pt idx="6">
                  <c:v>June 2024</c:v>
                </c:pt>
                <c:pt idx="7">
                  <c:v>March 2024</c:v>
                </c:pt>
                <c:pt idx="8">
                  <c:v>May 2024</c:v>
                </c:pt>
                <c:pt idx="9">
                  <c:v>November 2024</c:v>
                </c:pt>
                <c:pt idx="10">
                  <c:v>October 2024</c:v>
                </c:pt>
                <c:pt idx="11">
                  <c:v>September 2024</c:v>
                </c:pt>
                <c:pt idx="12">
                  <c:v>Unknown</c:v>
                </c:pt>
              </c:strCache>
            </c:strRef>
          </c:cat>
          <c:val>
            <c:numRef>
              <c:f>Pivot_Table!$E$14:$E$27</c:f>
              <c:numCache>
                <c:formatCode>General</c:formatCode>
                <c:ptCount val="13"/>
                <c:pt idx="0">
                  <c:v>53</c:v>
                </c:pt>
                <c:pt idx="1">
                  <c:v>61</c:v>
                </c:pt>
                <c:pt idx="2">
                  <c:v>56</c:v>
                </c:pt>
                <c:pt idx="3">
                  <c:v>62</c:v>
                </c:pt>
                <c:pt idx="4">
                  <c:v>58</c:v>
                </c:pt>
                <c:pt idx="5">
                  <c:v>58</c:v>
                </c:pt>
                <c:pt idx="6">
                  <c:v>62</c:v>
                </c:pt>
                <c:pt idx="7">
                  <c:v>63</c:v>
                </c:pt>
                <c:pt idx="8">
                  <c:v>58</c:v>
                </c:pt>
                <c:pt idx="9">
                  <c:v>60</c:v>
                </c:pt>
                <c:pt idx="10">
                  <c:v>58</c:v>
                </c:pt>
                <c:pt idx="11">
                  <c:v>56</c:v>
                </c:pt>
                <c:pt idx="12">
                  <c:v>159</c:v>
                </c:pt>
              </c:numCache>
            </c:numRef>
          </c:val>
          <c:smooth val="0"/>
          <c:extLst>
            <c:ext xmlns:c16="http://schemas.microsoft.com/office/drawing/2014/chart" uri="{C3380CC4-5D6E-409C-BE32-E72D297353CC}">
              <c16:uniqueId val="{00000000-21C9-49F7-99CC-F6A4201CF068}"/>
            </c:ext>
          </c:extLst>
        </c:ser>
        <c:dLbls>
          <c:showLegendKey val="0"/>
          <c:showVal val="0"/>
          <c:showCatName val="0"/>
          <c:showSerName val="0"/>
          <c:showPercent val="0"/>
          <c:showBubbleSize val="0"/>
        </c:dLbls>
        <c:marker val="1"/>
        <c:smooth val="0"/>
        <c:axId val="1821667615"/>
        <c:axId val="1821668095"/>
      </c:lineChart>
      <c:catAx>
        <c:axId val="182166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668095"/>
        <c:crosses val="autoZero"/>
        <c:auto val="1"/>
        <c:lblAlgn val="ctr"/>
        <c:lblOffset val="100"/>
        <c:noMultiLvlLbl val="0"/>
      </c:catAx>
      <c:valAx>
        <c:axId val="1821668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Admission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66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xdr:colOff>
      <xdr:row>8</xdr:row>
      <xdr:rowOff>7620</xdr:rowOff>
    </xdr:from>
    <xdr:to>
      <xdr:col>4</xdr:col>
      <xdr:colOff>60960</xdr:colOff>
      <xdr:row>21</xdr:row>
      <xdr:rowOff>175260</xdr:rowOff>
    </xdr:to>
    <xdr:graphicFrame macro="">
      <xdr:nvGraphicFramePr>
        <xdr:cNvPr id="2" name="Chart 1">
          <a:extLst>
            <a:ext uri="{FF2B5EF4-FFF2-40B4-BE49-F238E27FC236}">
              <a16:creationId xmlns:a16="http://schemas.microsoft.com/office/drawing/2014/main" id="{5557F372-A828-4932-9C8F-AC46AF9A8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259080</xdr:colOff>
      <xdr:row>7</xdr:row>
      <xdr:rowOff>176389</xdr:rowOff>
    </xdr:from>
    <xdr:to>
      <xdr:col>7</xdr:col>
      <xdr:colOff>268111</xdr:colOff>
      <xdr:row>22</xdr:row>
      <xdr:rowOff>0</xdr:rowOff>
    </xdr:to>
    <xdr:graphicFrame macro="">
      <xdr:nvGraphicFramePr>
        <xdr:cNvPr id="3" name="Chart 2">
          <a:extLst>
            <a:ext uri="{FF2B5EF4-FFF2-40B4-BE49-F238E27FC236}">
              <a16:creationId xmlns:a16="http://schemas.microsoft.com/office/drawing/2014/main" id="{1606D95E-96B1-45F7-9FB3-109C4793E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83820</xdr:rowOff>
    </xdr:from>
    <xdr:to>
      <xdr:col>7</xdr:col>
      <xdr:colOff>365760</xdr:colOff>
      <xdr:row>35</xdr:row>
      <xdr:rowOff>7620</xdr:rowOff>
    </xdr:to>
    <xdr:graphicFrame macro="">
      <xdr:nvGraphicFramePr>
        <xdr:cNvPr id="4" name="Chart 3">
          <a:extLst>
            <a:ext uri="{FF2B5EF4-FFF2-40B4-BE49-F238E27FC236}">
              <a16:creationId xmlns:a16="http://schemas.microsoft.com/office/drawing/2014/main" id="{FBF00D15-2603-41AD-B595-87A3C7EE3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154657</xdr:colOff>
      <xdr:row>35</xdr:row>
      <xdr:rowOff>157200</xdr:rowOff>
    </xdr:from>
    <xdr:to>
      <xdr:col>6</xdr:col>
      <xdr:colOff>174131</xdr:colOff>
      <xdr:row>41</xdr:row>
      <xdr:rowOff>7057</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F8FC1D2C-3310-44AD-99D8-27192E19571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47157" y="6838811"/>
              <a:ext cx="1825696" cy="9505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185138</xdr:colOff>
      <xdr:row>35</xdr:row>
      <xdr:rowOff>162278</xdr:rowOff>
    </xdr:from>
    <xdr:to>
      <xdr:col>4</xdr:col>
      <xdr:colOff>160866</xdr:colOff>
      <xdr:row>44</xdr:row>
      <xdr:rowOff>14111</xdr:rowOff>
    </xdr:to>
    <mc:AlternateContent xmlns:mc="http://schemas.openxmlformats.org/markup-compatibility/2006" xmlns:a14="http://schemas.microsoft.com/office/drawing/2010/main">
      <mc:Choice Requires="a14">
        <xdr:graphicFrame macro="">
          <xdr:nvGraphicFramePr>
            <xdr:cNvPr id="6" name="Condition">
              <a:extLst>
                <a:ext uri="{FF2B5EF4-FFF2-40B4-BE49-F238E27FC236}">
                  <a16:creationId xmlns:a16="http://schemas.microsoft.com/office/drawing/2014/main" id="{DC88F9B3-DD08-4610-BD9B-EE800E00E97C}"/>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829082" y="6843889"/>
              <a:ext cx="1824284" cy="15028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7902</xdr:colOff>
      <xdr:row>35</xdr:row>
      <xdr:rowOff>162562</xdr:rowOff>
    </xdr:from>
    <xdr:to>
      <xdr:col>2</xdr:col>
      <xdr:colOff>189654</xdr:colOff>
      <xdr:row>46</xdr:row>
      <xdr:rowOff>127000</xdr:rowOff>
    </xdr:to>
    <mc:AlternateContent xmlns:mc="http://schemas.openxmlformats.org/markup-compatibility/2006" xmlns:a14="http://schemas.microsoft.com/office/drawing/2010/main">
      <mc:Choice Requires="a14">
        <xdr:graphicFrame macro="">
          <xdr:nvGraphicFramePr>
            <xdr:cNvPr id="7" name="Hospital Name">
              <a:extLst>
                <a:ext uri="{FF2B5EF4-FFF2-40B4-BE49-F238E27FC236}">
                  <a16:creationId xmlns:a16="http://schemas.microsoft.com/office/drawing/2014/main" id="{3E2D619B-BAB9-4F8E-922D-A1FE17688168}"/>
                </a:ext>
              </a:extLst>
            </xdr:cNvPr>
            <xdr:cNvGraphicFramePr/>
          </xdr:nvGraphicFramePr>
          <xdr:xfrm>
            <a:off x="0" y="0"/>
            <a:ext cx="0" cy="0"/>
          </xdr:xfrm>
          <a:graphic>
            <a:graphicData uri="http://schemas.microsoft.com/office/drawing/2010/slicer">
              <sle:slicer xmlns:sle="http://schemas.microsoft.com/office/drawing/2010/slicer" name="Hospital Name"/>
            </a:graphicData>
          </a:graphic>
        </xdr:graphicFrame>
      </mc:Choice>
      <mc:Fallback xmlns="">
        <xdr:sp macro="" textlink="">
          <xdr:nvSpPr>
            <xdr:cNvPr id="0" name=""/>
            <xdr:cNvSpPr>
              <a:spLocks noTextEdit="1"/>
            </xdr:cNvSpPr>
          </xdr:nvSpPr>
          <xdr:spPr>
            <a:xfrm>
              <a:off x="7902" y="6844173"/>
              <a:ext cx="1825696" cy="19823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3</xdr:row>
      <xdr:rowOff>7620</xdr:rowOff>
    </xdr:from>
    <xdr:to>
      <xdr:col>1</xdr:col>
      <xdr:colOff>0</xdr:colOff>
      <xdr:row>6</xdr:row>
      <xdr:rowOff>7620</xdr:rowOff>
    </xdr:to>
    <xdr:sp macro="" textlink="">
      <xdr:nvSpPr>
        <xdr:cNvPr id="13" name="Rectangle 12">
          <a:extLst>
            <a:ext uri="{FF2B5EF4-FFF2-40B4-BE49-F238E27FC236}">
              <a16:creationId xmlns:a16="http://schemas.microsoft.com/office/drawing/2014/main" id="{49037BED-5DFB-A439-4974-1D440E364019}"/>
            </a:ext>
          </a:extLst>
        </xdr:cNvPr>
        <xdr:cNvSpPr/>
      </xdr:nvSpPr>
      <xdr:spPr>
        <a:xfrm>
          <a:off x="30480" y="792480"/>
          <a:ext cx="1447800" cy="6858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15240</xdr:colOff>
      <xdr:row>2</xdr:row>
      <xdr:rowOff>175260</xdr:rowOff>
    </xdr:from>
    <xdr:to>
      <xdr:col>2</xdr:col>
      <xdr:colOff>1638300</xdr:colOff>
      <xdr:row>5</xdr:row>
      <xdr:rowOff>175260</xdr:rowOff>
    </xdr:to>
    <xdr:sp macro="" textlink="">
      <xdr:nvSpPr>
        <xdr:cNvPr id="14" name="Rectangle 13">
          <a:extLst>
            <a:ext uri="{FF2B5EF4-FFF2-40B4-BE49-F238E27FC236}">
              <a16:creationId xmlns:a16="http://schemas.microsoft.com/office/drawing/2014/main" id="{D26F8FB6-1E13-8251-3B03-C400051D582D}"/>
            </a:ext>
          </a:extLst>
        </xdr:cNvPr>
        <xdr:cNvSpPr/>
      </xdr:nvSpPr>
      <xdr:spPr>
        <a:xfrm>
          <a:off x="1859280" y="777240"/>
          <a:ext cx="1623060" cy="6858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15240</xdr:colOff>
      <xdr:row>3</xdr:row>
      <xdr:rowOff>15240</xdr:rowOff>
    </xdr:from>
    <xdr:to>
      <xdr:col>4</xdr:col>
      <xdr:colOff>1600200</xdr:colOff>
      <xdr:row>6</xdr:row>
      <xdr:rowOff>15240</xdr:rowOff>
    </xdr:to>
    <xdr:sp macro="" textlink="">
      <xdr:nvSpPr>
        <xdr:cNvPr id="15" name="Rectangle 14">
          <a:extLst>
            <a:ext uri="{FF2B5EF4-FFF2-40B4-BE49-F238E27FC236}">
              <a16:creationId xmlns:a16="http://schemas.microsoft.com/office/drawing/2014/main" id="{E5622DC6-0031-C9EB-EDDD-21765E8B3F03}"/>
            </a:ext>
          </a:extLst>
        </xdr:cNvPr>
        <xdr:cNvSpPr/>
      </xdr:nvSpPr>
      <xdr:spPr>
        <a:xfrm>
          <a:off x="3916680" y="800100"/>
          <a:ext cx="1584960" cy="6858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15240</xdr:colOff>
      <xdr:row>2</xdr:row>
      <xdr:rowOff>175260</xdr:rowOff>
    </xdr:from>
    <xdr:to>
      <xdr:col>7</xdr:col>
      <xdr:colOff>7620</xdr:colOff>
      <xdr:row>5</xdr:row>
      <xdr:rowOff>144780</xdr:rowOff>
    </xdr:to>
    <xdr:sp macro="" textlink="">
      <xdr:nvSpPr>
        <xdr:cNvPr id="16" name="Rectangle 15">
          <a:extLst>
            <a:ext uri="{FF2B5EF4-FFF2-40B4-BE49-F238E27FC236}">
              <a16:creationId xmlns:a16="http://schemas.microsoft.com/office/drawing/2014/main" id="{E70D682C-73AA-3DD4-6FAE-7D863CE835E7}"/>
            </a:ext>
          </a:extLst>
        </xdr:cNvPr>
        <xdr:cNvSpPr/>
      </xdr:nvSpPr>
      <xdr:spPr>
        <a:xfrm>
          <a:off x="5943600" y="777240"/>
          <a:ext cx="1097280" cy="6553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8</xdr:col>
      <xdr:colOff>0</xdr:colOff>
      <xdr:row>0</xdr:row>
      <xdr:rowOff>409222</xdr:rowOff>
    </xdr:to>
    <xdr:sp macro="" textlink="">
      <xdr:nvSpPr>
        <xdr:cNvPr id="17" name="Rectangle 16">
          <a:extLst>
            <a:ext uri="{FF2B5EF4-FFF2-40B4-BE49-F238E27FC236}">
              <a16:creationId xmlns:a16="http://schemas.microsoft.com/office/drawing/2014/main" id="{9A2F45B2-90CC-DD99-7E65-7499317F23FF}"/>
            </a:ext>
          </a:extLst>
        </xdr:cNvPr>
        <xdr:cNvSpPr/>
      </xdr:nvSpPr>
      <xdr:spPr>
        <a:xfrm>
          <a:off x="0" y="0"/>
          <a:ext cx="8374944" cy="40922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sosa Erhunmwunsee" refreshedDate="46099.047097800925" createdVersion="8" refreshedVersion="8" minRefreshableVersion="3" recordCount="864" xr:uid="{AE393F46-4C8F-48CF-99C3-C801B21C7749}">
  <cacheSource type="worksheet">
    <worksheetSource name="Table3"/>
  </cacheSource>
  <cacheFields count="14">
    <cacheField name="Patient_ID" numFmtId="0">
      <sharedItems count="864">
        <s v="P1189"/>
        <s v="P1158"/>
        <s v="P0392"/>
        <s v="P0754"/>
        <s v="P0319"/>
        <s v="P0874"/>
        <s v="P1064"/>
        <s v="P1118"/>
        <s v="P0999"/>
        <s v="P0749"/>
        <s v="P0191"/>
        <s v="P0634"/>
        <s v="P0237"/>
        <s v="P0680"/>
        <s v="P0925"/>
        <s v="P0178"/>
        <s v="P0020"/>
        <s v="P0366"/>
        <s v="P0827"/>
        <s v="P0221"/>
        <s v="P0218"/>
        <s v="P1190"/>
        <s v="P0583"/>
        <s v="P0931"/>
        <s v="P0443"/>
        <s v="P0893"/>
        <s v="P0389"/>
        <s v="P0411"/>
        <s v="P0035"/>
        <s v="P0232"/>
        <s v="P1037"/>
        <s v="P1039"/>
        <s v="P0303"/>
        <s v="P0974"/>
        <s v="P1011"/>
        <s v="P0144"/>
        <s v="P0478"/>
        <s v="P0910"/>
        <s v="P0416"/>
        <s v="P0594"/>
        <s v="P0224"/>
        <s v="P0952"/>
        <s v="P0075"/>
        <s v="P0294"/>
        <s v="P0542"/>
        <s v="P0436"/>
        <s v="P0066"/>
        <s v="P0458"/>
        <s v="P0481"/>
        <s v="P0276"/>
        <s v="P0052"/>
        <s v="P0804"/>
        <s v="P0582"/>
        <s v="P1142"/>
        <s v="P0664"/>
        <s v="P0103"/>
        <s v="P1017"/>
        <s v="P0860"/>
        <s v="P1059"/>
        <s v="P0032"/>
        <s v="P0608"/>
        <s v="P0880"/>
        <s v="P0424"/>
        <s v="P0121"/>
        <s v="P0235"/>
        <s v="P0821"/>
        <s v="P0196"/>
        <s v="P0015"/>
        <s v="P0557"/>
        <s v="P0448"/>
        <s v="P0223"/>
        <s v="P0238"/>
        <s v="P1105"/>
        <s v="P0344"/>
        <s v="P0521"/>
        <s v="P0390"/>
        <s v="P0171"/>
        <s v="P0042"/>
        <s v="P0058"/>
        <s v="P0751"/>
        <s v="P0044"/>
        <s v="P0788"/>
        <s v="P0545"/>
        <s v="P0210"/>
        <s v="P0110"/>
        <s v="P1183"/>
        <s v="P0602"/>
        <s v="P0760"/>
        <s v="P0502"/>
        <s v="P0084"/>
        <s v="P0345"/>
        <s v="P0890"/>
        <s v="P0286"/>
        <s v="P1021"/>
        <s v="P0151"/>
        <s v="P0284"/>
        <s v="P0809"/>
        <s v="P0489"/>
        <s v="P0878"/>
        <s v="P0885"/>
        <s v="P0884"/>
        <s v="P1042"/>
        <s v="P0617"/>
        <s v="P0251"/>
        <s v="P0009"/>
        <s v="P0628"/>
        <s v="P0803"/>
        <s v="P1074"/>
        <s v="P0553"/>
        <s v="P0737"/>
        <s v="P0287"/>
        <s v="P0522"/>
        <s v="P0423"/>
        <s v="P0367"/>
        <s v="P0503"/>
        <s v="P0226"/>
        <s v="P1018"/>
        <s v="P0548"/>
        <s v="P0535"/>
        <s v="P1081"/>
        <s v="P0123"/>
        <s v="P0550"/>
        <s v="P0764"/>
        <s v="P0092"/>
        <s v="P1193"/>
        <s v="P0798"/>
        <s v="P0462"/>
        <s v="P0142"/>
        <s v="P1048"/>
        <s v="P0050"/>
        <s v="P0077"/>
        <s v="P0782"/>
        <s v="P0408"/>
        <s v="P0088"/>
        <s v="P0787"/>
        <s v="P0258"/>
        <s v="P1071"/>
        <s v="P0155"/>
        <s v="P0541"/>
        <s v="P0646"/>
        <s v="P0441"/>
        <s v="P1107"/>
        <s v="P0729"/>
        <s v="P1055"/>
        <s v="P0156"/>
        <s v="P0470"/>
        <s v="P1070"/>
        <s v="P0109"/>
        <s v="P0616"/>
        <s v="P0435"/>
        <s v="P0055"/>
        <s v="P0379"/>
        <s v="P0323"/>
        <s v="P0471"/>
        <s v="P0002"/>
        <s v="P0638"/>
        <s v="P0364"/>
        <s v="P0929"/>
        <s v="P0325"/>
        <s v="P0468"/>
        <s v="P0361"/>
        <s v="P0072"/>
        <s v="P0654"/>
        <s v="P0855"/>
        <s v="P0062"/>
        <s v="P0415"/>
        <s v="P0883"/>
        <s v="P0927"/>
        <s v="P0040"/>
        <s v="P0558"/>
        <s v="P0014"/>
        <s v="P0059"/>
        <s v="P1062"/>
        <s v="P1147"/>
        <s v="P1153"/>
        <s v="P0261"/>
        <s v="P0073"/>
        <s v="P0419"/>
        <s v="P1113"/>
        <s v="P0704"/>
        <s v="P0378"/>
        <s v="P0159"/>
        <s v="P0663"/>
        <s v="P0102"/>
        <s v="P0437"/>
        <s v="P0770"/>
        <s v="P0911"/>
        <s v="P0581"/>
        <s v="P0815"/>
        <s v="P0960"/>
        <s v="P0281"/>
        <s v="P1157"/>
        <s v="P0330"/>
        <s v="P0246"/>
        <s v="P0667"/>
        <s v="P1156"/>
        <s v="P0672"/>
        <s v="P0572"/>
        <s v="P0295"/>
        <s v="P0280"/>
        <s v="P0128"/>
        <s v="P0993"/>
        <s v="P0322"/>
        <s v="P0003"/>
        <s v="P1013"/>
        <s v="P0217"/>
        <s v="P0410"/>
        <s v="P0209"/>
        <s v="P0206"/>
        <s v="P0304"/>
        <s v="P1086"/>
        <s v="P0406"/>
        <s v="P0340"/>
        <s v="P0540"/>
        <s v="P0843"/>
        <s v="P0677"/>
        <s v="P0660"/>
        <s v="P0490"/>
        <s v="P0864"/>
        <s v="P0613"/>
        <s v="P0248"/>
        <s v="P1057"/>
        <s v="P1088"/>
        <s v="P0124"/>
        <s v="P1089"/>
        <s v="P0532"/>
        <s v="P0149"/>
        <s v="P0957"/>
        <s v="P0007"/>
        <s v="P0958"/>
        <s v="P0567"/>
        <s v="P0315"/>
        <s v="P0773"/>
        <s v="P0759"/>
        <s v="P0138"/>
        <s v="P0492"/>
        <s v="P0802"/>
        <s v="P0519"/>
        <s v="P0700"/>
        <s v="P0951"/>
        <s v="P0307"/>
        <s v="P0394"/>
        <s v="P1094"/>
        <s v="P1140"/>
        <s v="P0562"/>
        <s v="P0161"/>
        <s v="P0747"/>
        <s v="P0837"/>
        <s v="P0922"/>
        <s v="P0097"/>
        <s v="P1109"/>
        <s v="P0312"/>
        <s v="P1006"/>
        <s v="P0702"/>
        <s v="P0311"/>
        <s v="P0775"/>
        <s v="P0421"/>
        <s v="P1197"/>
        <s v="P0648"/>
        <s v="P0137"/>
        <s v="P0172"/>
        <s v="P0488"/>
        <s v="P0926"/>
        <s v="P0674"/>
        <s v="P0451"/>
        <s v="P0127"/>
        <s v="P0472"/>
        <s v="P0176"/>
        <s v="P0099"/>
        <s v="P0857"/>
        <s v="P0912"/>
        <s v="P0734"/>
        <s v="P0842"/>
        <s v="P1146"/>
        <s v="P0409"/>
        <s v="P0596"/>
        <s v="P0538"/>
        <s v="P0183"/>
        <s v="P1159"/>
        <s v="P0688"/>
        <s v="P0382"/>
        <s v="P0360"/>
        <s v="P0071"/>
        <s v="P0778"/>
        <s v="P0300"/>
        <s v="P0953"/>
        <s v="P0355"/>
        <s v="P0624"/>
        <s v="P0334"/>
        <s v="P0822"/>
        <s v="P0914"/>
        <s v="P0590"/>
        <s v="P0006"/>
        <s v="P1024"/>
        <s v="P0547"/>
        <s v="P0683"/>
        <s v="P0606"/>
        <s v="P1043"/>
        <s v="P1128"/>
        <s v="P0853"/>
        <s v="P0516"/>
        <s v="P0703"/>
        <s v="P0829"/>
        <s v="P1002"/>
        <s v="P0971"/>
        <s v="P0655"/>
        <s v="P0714"/>
        <s v="P0856"/>
        <s v="P0584"/>
        <s v="P0948"/>
        <s v="P1023"/>
        <s v="P0288"/>
        <s v="P0090"/>
        <s v="P0785"/>
        <s v="P0539"/>
        <s v="P0056"/>
        <s v="P0763"/>
        <s v="P1106"/>
        <s v="P1036"/>
        <s v="P1093"/>
        <s v="P0154"/>
        <s v="P0854"/>
        <s v="P0348"/>
        <s v="P0508"/>
        <s v="P0620"/>
        <s v="P0723"/>
        <s v="P0185"/>
        <s v="P0573"/>
        <s v="P0143"/>
        <s v="P0187"/>
        <s v="P0537"/>
        <s v="P0630"/>
        <s v="P1192"/>
        <s v="P0041"/>
        <s v="P1076"/>
        <s v="P0039"/>
        <s v="P0186"/>
        <s v="P0528"/>
        <s v="P0892"/>
        <s v="P0356"/>
        <s v="P0994"/>
        <s v="P0010"/>
        <s v="P0720"/>
        <s v="P1045"/>
        <s v="P0950"/>
        <s v="P0195"/>
        <s v="P0849"/>
        <s v="P0453"/>
        <s v="P1091"/>
        <s v="P0008"/>
        <s v="P0131"/>
        <s v="P0175"/>
        <s v="P1198"/>
        <s v="P0096"/>
        <s v="P0593"/>
        <s v="P0279"/>
        <s v="P1038"/>
        <s v="P0591"/>
        <s v="P1124"/>
        <s v="P0717"/>
        <s v="P0296"/>
        <s v="P0061"/>
        <s v="P0989"/>
        <s v="P0384"/>
        <s v="P0933"/>
        <s v="P1084"/>
        <s v="P1195"/>
        <s v="P1129"/>
        <s v="P0243"/>
        <s v="P0094"/>
        <s v="P0380"/>
        <s v="P0879"/>
        <s v="P0141"/>
        <s v="P1130"/>
        <s v="P0192"/>
        <s v="P0847"/>
        <s v="P0153"/>
        <s v="P0164"/>
        <s v="P0908"/>
        <s v="P0595"/>
        <s v="P0497"/>
        <s v="P0053"/>
        <s v="P1005"/>
        <s v="P0799"/>
        <s v="P0632"/>
        <s v="P0937"/>
        <s v="P0844"/>
        <s v="P1144"/>
        <s v="P0629"/>
        <s v="P0100"/>
        <s v="P0903"/>
        <s v="P1199"/>
        <s v="P0076"/>
        <s v="P0635"/>
        <s v="P0064"/>
        <s v="P0800"/>
        <s v="P0533"/>
        <s v="P1069"/>
        <s v="P0180"/>
        <s v="P0259"/>
        <s v="P0753"/>
        <s v="P0839"/>
        <s v="P1181"/>
        <s v="P0466"/>
        <s v="P0005"/>
        <s v="P0271"/>
        <s v="P0692"/>
        <s v="P0267"/>
        <s v="P0140"/>
        <s v="P0247"/>
        <s v="P0168"/>
        <s v="P0427"/>
        <s v="P0473"/>
        <s v="P0375"/>
        <s v="P0036"/>
        <s v="P0166"/>
        <s v="P0460"/>
        <s v="P0026"/>
        <s v="P0861"/>
        <s v="P0504"/>
        <s v="P1014"/>
        <s v="P0656"/>
        <s v="P1012"/>
        <s v="P0941"/>
        <s v="P0365"/>
        <s v="P0057"/>
        <s v="P1097"/>
        <s v="P1119"/>
        <s v="P0807"/>
        <s v="P0644"/>
        <s v="P1034"/>
        <s v="P1095"/>
        <s v="P0459"/>
        <s v="P0776"/>
        <s v="P0552"/>
        <s v="P0310"/>
        <s v="P0870"/>
        <s v="P0078"/>
        <s v="P1007"/>
        <s v="P0377"/>
        <s v="P1117"/>
        <s v="P0158"/>
        <s v="P0147"/>
        <s v="P1155"/>
        <s v="P0273"/>
        <s v="P0440"/>
        <s v="P0693"/>
        <s v="P0662"/>
        <s v="P0651"/>
        <s v="P1170"/>
        <s v="P0108"/>
        <s v="P1161"/>
        <s v="P0341"/>
        <s v="P0913"/>
        <s v="P0610"/>
        <s v="P0063"/>
        <s v="P0336"/>
        <s v="P0819"/>
        <s v="P0034"/>
        <s v="P1133"/>
        <s v="P0417"/>
        <s v="P0900"/>
        <s v="P0265"/>
        <s v="P0297"/>
        <s v="P0935"/>
        <s v="P0129"/>
        <s v="P0363"/>
        <s v="P0956"/>
        <s v="P0996"/>
        <s v="P0858"/>
        <s v="P1016"/>
        <s v="P0982"/>
        <s v="P0794"/>
        <s v="P0909"/>
        <s v="P0790"/>
        <s v="P0627"/>
        <s v="P0114"/>
        <s v="P0230"/>
        <s v="P0404"/>
        <s v="P0881"/>
        <s v="P0637"/>
        <s v="P0254"/>
        <s v="P0030"/>
        <s v="P0618"/>
        <s v="P0353"/>
        <s v="P0500"/>
        <s v="P0081"/>
        <s v="P0482"/>
        <s v="P0343"/>
        <s v="P0145"/>
        <s v="P0569"/>
        <s v="P0383"/>
        <s v="P0125"/>
        <s v="P1060"/>
        <s v="P0713"/>
        <s v="P1108"/>
        <s v="P0586"/>
        <s v="P0707"/>
        <s v="P1163"/>
        <s v="P0523"/>
        <s v="P0695"/>
        <s v="P0270"/>
        <s v="P0871"/>
        <s v="P0491"/>
        <s v="P0083"/>
        <s v="P0299"/>
        <s v="P1154"/>
        <s v="P0184"/>
        <s v="P1101"/>
        <s v="P0242"/>
        <s v="P0496"/>
        <s v="P0133"/>
        <s v="P1141"/>
        <s v="P0442"/>
        <s v="P0570"/>
        <s v="P0607"/>
        <s v="P1168"/>
        <s v="P1125"/>
        <s v="P0493"/>
        <s v="P0904"/>
        <s v="P0972"/>
        <s v="P0555"/>
        <s v="P0101"/>
        <s v="P0511"/>
        <s v="P0420"/>
        <s v="P0266"/>
        <s v="P0924"/>
        <s v="P0622"/>
        <s v="P0992"/>
        <s v="P0499"/>
        <s v="P1187"/>
        <s v="P0626"/>
        <s v="P1041"/>
        <s v="P0740"/>
        <s v="P0543"/>
        <s v="P1063"/>
        <s v="P0743"/>
        <s v="P0592"/>
        <s v="P0920"/>
        <s v="P0619"/>
        <s v="P0919"/>
        <s v="P0447"/>
        <s v="P0812"/>
        <s v="P0801"/>
        <s v="P0227"/>
        <s v="P0428"/>
        <s v="P0811"/>
        <s v="P0004"/>
        <s v="P0818"/>
        <s v="P0735"/>
        <s v="P1065"/>
        <s v="P0955"/>
        <s v="P0277"/>
        <s v="P1072"/>
        <s v="P0921"/>
        <s v="P0673"/>
        <s v="P0385"/>
        <s v="P1049"/>
        <s v="P0093"/>
        <s v="P0830"/>
        <s v="P0204"/>
        <s v="P0021"/>
        <s v="P1020"/>
        <s v="P0564"/>
        <s v="P0873"/>
        <s v="P0107"/>
        <s v="P0917"/>
        <s v="P0599"/>
        <s v="P0962"/>
        <s v="P1138"/>
        <s v="P0643"/>
        <s v="P0346"/>
        <s v="P0687"/>
        <s v="P1030"/>
        <s v="P0074"/>
        <s v="P0728"/>
        <s v="P0645"/>
        <s v="P1152"/>
        <s v="P0565"/>
        <s v="P0876"/>
        <s v="P0916"/>
        <s v="P0260"/>
        <s v="P0832"/>
        <s v="P0640"/>
        <s v="P0865"/>
        <s v="P0679"/>
        <s v="P0536"/>
        <s v="P0476"/>
        <s v="P1019"/>
        <s v="P0755"/>
        <s v="P0970"/>
        <s v="P0746"/>
        <s v="P0065"/>
        <s v="P0868"/>
        <s v="P0393"/>
        <s v="P0510"/>
        <s v="P0407"/>
        <s v="P0898"/>
        <s v="P0207"/>
        <s v="P0357"/>
        <s v="P0475"/>
        <s v="P0054"/>
        <s v="P1136"/>
        <s v="P0501"/>
        <s v="P0721"/>
        <s v="P0668"/>
        <s v="P0783"/>
        <s v="P0043"/>
        <s v="P0716"/>
        <s v="P0834"/>
        <s v="P0577"/>
        <s v="P0337"/>
        <s v="P0509"/>
        <s v="P0530"/>
        <s v="P0657"/>
        <s v="P0882"/>
        <s v="P0255"/>
        <s v="P0685"/>
        <s v="P0826"/>
        <s v="P0450"/>
        <s v="P0789"/>
        <s v="P0098"/>
        <s v="P0942"/>
        <s v="P0316"/>
        <s v="P0768"/>
        <s v="P1079"/>
        <s v="P0965"/>
        <s v="P0964"/>
        <s v="P0342"/>
        <s v="P0603"/>
        <s v="P0162"/>
        <s v="P1172"/>
        <s v="P1121"/>
        <s v="P0647"/>
        <s v="P0901"/>
        <s v="P0575"/>
        <s v="P0940"/>
        <s v="P0867"/>
        <s v="P0068"/>
        <s v="P1083"/>
        <s v="P0733"/>
        <s v="P0710"/>
        <s v="P0283"/>
        <s v="P0742"/>
        <s v="P0023"/>
        <s v="P0719"/>
        <s v="P0028"/>
        <s v="P0777"/>
        <s v="P0245"/>
        <s v="P0831"/>
        <s v="P0840"/>
        <s v="P0082"/>
        <s v="P0701"/>
        <s v="P0580"/>
        <s v="P0285"/>
        <s v="P0038"/>
        <s v="P0621"/>
        <s v="P0671"/>
        <s v="P0115"/>
        <s v="P0359"/>
        <s v="P0949"/>
        <s v="P0418"/>
        <s v="P0631"/>
        <s v="P0112"/>
        <s v="P1033"/>
        <s v="P0546"/>
        <s v="P1052"/>
        <s v="P0650"/>
        <s v="P0814"/>
        <s v="P0765"/>
        <s v="P0930"/>
        <s v="P0252"/>
        <s v="P0134"/>
        <s v="P0517"/>
        <s v="P1047"/>
        <s v="P1010"/>
        <s v="P0205"/>
        <s v="P1184"/>
        <s v="P0401"/>
        <s v="P0598"/>
        <s v="P1080"/>
        <s v="P0113"/>
        <s v="P0170"/>
        <s v="P0529"/>
        <s v="P1132"/>
        <s v="P0422"/>
        <s v="P0282"/>
        <s v="P1139"/>
        <s v="P0290"/>
        <s v="P0190"/>
        <s v="P0597"/>
        <s v="P0899"/>
        <s v="P0017"/>
        <s v="P0786"/>
        <s v="P0376"/>
        <s v="P0463"/>
        <s v="P0013"/>
        <s v="P0479"/>
        <s v="P1075"/>
        <s v="P1025"/>
        <s v="P0526"/>
        <s v="P1077"/>
        <s v="P0033"/>
        <s v="P0289"/>
        <s v="P0136"/>
        <s v="P0203"/>
        <s v="P0250"/>
        <s v="P0169"/>
        <s v="P0681"/>
        <s v="P0189"/>
        <s v="P0727"/>
        <s v="P0335"/>
        <s v="P0292"/>
        <s v="P0152"/>
        <s v="P0636"/>
        <s v="P0387"/>
        <s v="P1116"/>
        <s v="P0122"/>
        <s v="P1182"/>
        <s v="P0678"/>
        <s v="P0173"/>
        <s v="P0412"/>
        <s v="P0666"/>
        <s v="P0321"/>
        <s v="P0212"/>
        <s v="P1053"/>
        <s v="P0274"/>
        <s v="P0932"/>
        <s v="P0457"/>
        <s v="P1099"/>
        <s v="P0461"/>
        <s v="P0954"/>
        <s v="P1000"/>
        <s v="P1102"/>
        <s v="P0877"/>
        <s v="P0805"/>
        <s v="P1104"/>
        <s v="P1082"/>
        <s v="P0139"/>
        <s v="P1061"/>
        <s v="P1173"/>
        <s v="P1004"/>
        <s v="P0354"/>
        <s v="P0835"/>
        <s v="P0845"/>
        <s v="P0120"/>
        <s v="P0578"/>
        <s v="P0652"/>
        <s v="P0347"/>
        <s v="P0795"/>
        <s v="P0150"/>
        <s v="P0225"/>
        <s v="P0665"/>
        <s v="P0750"/>
        <s v="P1035"/>
        <s v="P1185"/>
        <s v="P0653"/>
        <s v="P0339"/>
        <s v="P0609"/>
        <s v="P0089"/>
        <s v="P1032"/>
        <s v="P0464"/>
        <s v="P1044"/>
        <s v="P0784"/>
        <s v="P0091"/>
        <s v="P1166"/>
        <s v="P0222"/>
        <s v="P0752"/>
        <s v="P1145"/>
        <s v="P0429"/>
        <s v="P0589"/>
        <s v="P0833"/>
        <s v="P0938"/>
        <s v="P0433"/>
        <s v="P0559"/>
        <s v="P0945"/>
        <s v="P1022"/>
        <s v="P0182"/>
        <s v="P0642"/>
        <s v="P1122"/>
        <s v="P0973"/>
        <s v="P0253"/>
        <s v="P0047"/>
        <s v="P0739"/>
        <s v="P0111"/>
        <s v="P1160"/>
        <s v="P0208"/>
        <s v="P1066"/>
        <s v="P0241"/>
        <s v="P0051"/>
        <s v="P0792"/>
        <s v="P0019"/>
        <s v="P0244"/>
        <s v="P1191"/>
        <s v="P0568"/>
        <s v="P0756"/>
        <s v="P0658"/>
        <s v="P0067"/>
        <s v="P1188"/>
        <s v="P0132"/>
        <s v="P0399"/>
        <s v="P0675"/>
        <s v="P1148"/>
        <s v="P0397"/>
        <s v="P0318"/>
        <s v="P0561"/>
        <s v="P1096"/>
        <s v="P0231"/>
        <s v="P0201"/>
        <s v="P0505"/>
        <s v="P0889"/>
        <s v="P0079"/>
        <s v="P0200"/>
        <s v="P1050"/>
        <s v="P1100"/>
        <s v="P0745"/>
        <s v="P0774"/>
        <s v="P1167"/>
        <s v="P0349"/>
        <s v="P1112"/>
        <s v="P0915"/>
        <s v="P0370"/>
        <s v="P0967"/>
        <s v="P0046"/>
        <s v="P0048"/>
        <s v="P0215"/>
        <s v="P0661"/>
        <s v="P1123"/>
        <s v="P0686"/>
        <s v="P0485"/>
        <s v="P0011"/>
        <s v="P0396"/>
        <s v="P1137"/>
        <s v="P0308"/>
        <s v="P0388"/>
        <s v="P0579"/>
        <s v="P0117"/>
        <s v="P1164"/>
        <s v="P0744"/>
        <s v="P0939"/>
        <s v="P0706"/>
        <s v="P1068"/>
        <s v="P0495"/>
        <s v="P0560"/>
        <s v="P0894"/>
        <s v="P0869"/>
        <s v="P0659"/>
        <s v="P1051"/>
        <s v="P0563"/>
        <s v="P1115"/>
        <s v="P0229"/>
        <s v="P0886"/>
        <s v="P1078"/>
        <s v="P0895"/>
        <s v="P0817"/>
        <s v="P0431"/>
        <s v="P0402"/>
        <s v="P0425"/>
        <s v="P0732"/>
        <s v="P0571"/>
        <s v="P0684"/>
        <s v="P0414"/>
        <s v="P1015"/>
        <s v="P0327"/>
      </sharedItems>
    </cacheField>
    <cacheField name="Age (Years)" numFmtId="1">
      <sharedItems containsSemiMixedTypes="0" containsString="0" containsNumber="1" containsInteger="1" minValue="18" maxValue="95"/>
    </cacheField>
    <cacheField name="Gender" numFmtId="0">
      <sharedItems count="3">
        <s v="FEMALE"/>
        <s v="Unknown"/>
        <s v="MALE"/>
      </sharedItems>
    </cacheField>
    <cacheField name="Condition" numFmtId="0">
      <sharedItems count="8">
        <s v="Diabetes"/>
        <s v="Kidney Disease"/>
        <s v="Stroke"/>
        <s v="Copd"/>
        <s v="Asthma"/>
        <s v="Heart Disease"/>
        <s v="Hypertension"/>
        <s v="Unknown"/>
      </sharedItems>
    </cacheField>
    <cacheField name="Hospital Name" numFmtId="0">
      <sharedItems count="6">
        <s v="Stafford Hospital"/>
        <s v="Keele Hospital"/>
        <s v="Russells Hall Hospital"/>
        <s v="Stoke Hospital"/>
        <s v="New Cross Hospital"/>
        <s v="Walsall Manor"/>
      </sharedItems>
    </cacheField>
    <cacheField name="Admission_Date" numFmtId="14">
      <sharedItems containsDate="1" containsMixedTypes="1" minDate="2024-01-01T00:00:00" maxDate="2025-01-01T00:00:00"/>
    </cacheField>
    <cacheField name="Length_of_Stay (Days)" numFmtId="0">
      <sharedItems containsSemiMixedTypes="0" containsString="0" containsNumber="1" containsInteger="1" minValue="1" maxValue="20"/>
    </cacheField>
    <cacheField name="Drug_Cost_GBP" numFmtId="164">
      <sharedItems containsSemiMixedTypes="0" containsString="0" containsNumber="1" minValue="45.45" maxValue="1994.79"/>
    </cacheField>
    <cacheField name="Outcome" numFmtId="0">
      <sharedItems count="5">
        <s v="Referred"/>
        <s v="Recovered"/>
        <s v="Unknown"/>
        <s v="Ongoing"/>
        <s v="Deceased"/>
      </sharedItems>
    </cacheField>
    <cacheField name="Age Group" numFmtId="0">
      <sharedItems/>
    </cacheField>
    <cacheField name="High Cost Case" numFmtId="0">
      <sharedItems/>
    </cacheField>
    <cacheField name="Age &gt; 75" numFmtId="0">
      <sharedItems/>
    </cacheField>
    <cacheField name="&gt; AverageCost" numFmtId="0">
      <sharedItems/>
    </cacheField>
    <cacheField name="Admission Month" numFmtId="0">
      <sharedItems count="13">
        <s v="December 2024"/>
        <s v="November 2024"/>
        <s v="June 2024"/>
        <s v="Unknown"/>
        <s v="March 2024"/>
        <s v="August 2024"/>
        <s v="July 2024"/>
        <s v="January 2024"/>
        <s v="May 2024"/>
        <s v="February 2024"/>
        <s v="October 2024"/>
        <s v="April 2024"/>
        <s v="September 2024"/>
      </sharedItems>
    </cacheField>
  </cacheFields>
  <extLst>
    <ext xmlns:x14="http://schemas.microsoft.com/office/spreadsheetml/2009/9/main" uri="{725AE2AE-9491-48be-B2B4-4EB974FC3084}">
      <x14:pivotCacheDefinition pivotCacheId="1276981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4">
  <r>
    <x v="0"/>
    <n v="95"/>
    <x v="0"/>
    <x v="0"/>
    <x v="0"/>
    <d v="2024-12-03T00:00:00"/>
    <n v="7"/>
    <n v="1542.11"/>
    <x v="0"/>
    <s v="Middle"/>
    <s v="High Cost"/>
    <s v="YES"/>
    <s v="Above Average"/>
    <x v="0"/>
  </r>
  <r>
    <x v="1"/>
    <n v="95"/>
    <x v="0"/>
    <x v="1"/>
    <x v="1"/>
    <d v="2024-11-25T00:00:00"/>
    <n v="12"/>
    <n v="1002.0675517241378"/>
    <x v="1"/>
    <s v="Middle"/>
    <s v="Normal"/>
    <s v="YES"/>
    <s v="Within Average"/>
    <x v="1"/>
  </r>
  <r>
    <x v="2"/>
    <n v="95"/>
    <x v="0"/>
    <x v="0"/>
    <x v="2"/>
    <d v="2024-06-24T00:00:00"/>
    <n v="19"/>
    <n v="490.75"/>
    <x v="2"/>
    <s v="Middle"/>
    <s v="Normal"/>
    <s v="YES"/>
    <s v="Within Average"/>
    <x v="2"/>
  </r>
  <r>
    <x v="3"/>
    <n v="95"/>
    <x v="0"/>
    <x v="2"/>
    <x v="3"/>
    <s v="Unknown"/>
    <n v="12"/>
    <n v="1002.0675517241378"/>
    <x v="3"/>
    <s v="Middle"/>
    <s v="Normal"/>
    <s v="YES"/>
    <s v="Within Average"/>
    <x v="3"/>
  </r>
  <r>
    <x v="4"/>
    <n v="95"/>
    <x v="0"/>
    <x v="2"/>
    <x v="4"/>
    <d v="2024-11-20T00:00:00"/>
    <n v="12"/>
    <n v="1410.32"/>
    <x v="2"/>
    <s v="Middle"/>
    <s v="High Cost"/>
    <s v="YES"/>
    <s v="Above Average"/>
    <x v="1"/>
  </r>
  <r>
    <x v="5"/>
    <n v="95"/>
    <x v="1"/>
    <x v="3"/>
    <x v="4"/>
    <s v="Unknown"/>
    <n v="12"/>
    <n v="1181.22"/>
    <x v="2"/>
    <s v="Middle"/>
    <s v="Normal"/>
    <s v="YES"/>
    <s v="Above Average"/>
    <x v="3"/>
  </r>
  <r>
    <x v="6"/>
    <n v="94"/>
    <x v="0"/>
    <x v="4"/>
    <x v="4"/>
    <s v="Unknown"/>
    <n v="12"/>
    <n v="903.44"/>
    <x v="1"/>
    <s v="Middle"/>
    <s v="Normal"/>
    <s v="YES"/>
    <s v="Within Average"/>
    <x v="3"/>
  </r>
  <r>
    <x v="7"/>
    <n v="94"/>
    <x v="0"/>
    <x v="3"/>
    <x v="3"/>
    <d v="2024-03-05T00:00:00"/>
    <n v="12"/>
    <n v="851.41"/>
    <x v="1"/>
    <s v="Middle"/>
    <s v="Normal"/>
    <s v="YES"/>
    <s v="Within Average"/>
    <x v="4"/>
  </r>
  <r>
    <x v="8"/>
    <n v="94"/>
    <x v="2"/>
    <x v="5"/>
    <x v="4"/>
    <d v="2024-08-20T00:00:00"/>
    <n v="12"/>
    <n v="1809.21"/>
    <x v="2"/>
    <s v="Middle"/>
    <s v="High Cost"/>
    <s v="YES"/>
    <s v="Above Average"/>
    <x v="5"/>
  </r>
  <r>
    <x v="9"/>
    <n v="93"/>
    <x v="1"/>
    <x v="3"/>
    <x v="5"/>
    <d v="2024-07-27T00:00:00"/>
    <n v="12"/>
    <n v="1202.99"/>
    <x v="2"/>
    <s v="Middle"/>
    <s v="High Cost"/>
    <s v="YES"/>
    <s v="Above Average"/>
    <x v="6"/>
  </r>
  <r>
    <x v="10"/>
    <n v="93"/>
    <x v="1"/>
    <x v="3"/>
    <x v="3"/>
    <d v="2024-01-16T00:00:00"/>
    <n v="3"/>
    <n v="1081.83"/>
    <x v="0"/>
    <s v="Middle"/>
    <s v="Normal"/>
    <s v="YES"/>
    <s v="Above Average"/>
    <x v="7"/>
  </r>
  <r>
    <x v="11"/>
    <n v="93"/>
    <x v="2"/>
    <x v="2"/>
    <x v="4"/>
    <s v="Unknown"/>
    <n v="12"/>
    <n v="877.29"/>
    <x v="4"/>
    <s v="Middle"/>
    <s v="Normal"/>
    <s v="YES"/>
    <s v="Within Average"/>
    <x v="3"/>
  </r>
  <r>
    <x v="12"/>
    <n v="92"/>
    <x v="2"/>
    <x v="5"/>
    <x v="4"/>
    <d v="2024-07-13T00:00:00"/>
    <n v="20"/>
    <n v="1002.0675517241378"/>
    <x v="2"/>
    <s v="Middle"/>
    <s v="Normal"/>
    <s v="YES"/>
    <s v="Within Average"/>
    <x v="6"/>
  </r>
  <r>
    <x v="13"/>
    <n v="92"/>
    <x v="2"/>
    <x v="5"/>
    <x v="5"/>
    <d v="2024-05-14T00:00:00"/>
    <n v="12"/>
    <n v="1002.0675517241378"/>
    <x v="1"/>
    <s v="Middle"/>
    <s v="Normal"/>
    <s v="YES"/>
    <s v="Within Average"/>
    <x v="8"/>
  </r>
  <r>
    <x v="14"/>
    <n v="92"/>
    <x v="2"/>
    <x v="3"/>
    <x v="0"/>
    <d v="2024-02-29T00:00:00"/>
    <n v="12"/>
    <n v="450.32"/>
    <x v="0"/>
    <s v="Middle"/>
    <s v="Normal"/>
    <s v="YES"/>
    <s v="Within Average"/>
    <x v="9"/>
  </r>
  <r>
    <x v="15"/>
    <n v="92"/>
    <x v="1"/>
    <x v="3"/>
    <x v="3"/>
    <d v="2024-10-22T00:00:00"/>
    <n v="12"/>
    <n v="1002.0675517241378"/>
    <x v="2"/>
    <s v="Middle"/>
    <s v="Normal"/>
    <s v="YES"/>
    <s v="Within Average"/>
    <x v="10"/>
  </r>
  <r>
    <x v="16"/>
    <n v="91"/>
    <x v="1"/>
    <x v="3"/>
    <x v="5"/>
    <d v="2024-11-04T00:00:00"/>
    <n v="2"/>
    <n v="1002.0675517241378"/>
    <x v="1"/>
    <s v="Middle"/>
    <s v="Normal"/>
    <s v="YES"/>
    <s v="Within Average"/>
    <x v="1"/>
  </r>
  <r>
    <x v="17"/>
    <n v="91"/>
    <x v="0"/>
    <x v="4"/>
    <x v="0"/>
    <s v="Unknown"/>
    <n v="12"/>
    <n v="1744.92"/>
    <x v="1"/>
    <s v="Middle"/>
    <s v="High Cost"/>
    <s v="YES"/>
    <s v="Above Average"/>
    <x v="3"/>
  </r>
  <r>
    <x v="18"/>
    <n v="91"/>
    <x v="0"/>
    <x v="2"/>
    <x v="0"/>
    <s v="Unknown"/>
    <n v="16"/>
    <n v="1002.0675517241378"/>
    <x v="2"/>
    <s v="Middle"/>
    <s v="Normal"/>
    <s v="YES"/>
    <s v="Within Average"/>
    <x v="3"/>
  </r>
  <r>
    <x v="19"/>
    <n v="91"/>
    <x v="0"/>
    <x v="6"/>
    <x v="4"/>
    <d v="2024-08-17T00:00:00"/>
    <n v="12"/>
    <n v="787.12"/>
    <x v="4"/>
    <s v="Middle"/>
    <s v="Normal"/>
    <s v="YES"/>
    <s v="Within Average"/>
    <x v="5"/>
  </r>
  <r>
    <x v="20"/>
    <n v="89"/>
    <x v="2"/>
    <x v="3"/>
    <x v="5"/>
    <d v="2024-03-29T00:00:00"/>
    <n v="12"/>
    <n v="502.99"/>
    <x v="3"/>
    <s v="Middle"/>
    <s v="Normal"/>
    <s v="YES"/>
    <s v="Within Average"/>
    <x v="4"/>
  </r>
  <r>
    <x v="21"/>
    <n v="88"/>
    <x v="0"/>
    <x v="5"/>
    <x v="3"/>
    <d v="2024-03-30T00:00:00"/>
    <n v="6"/>
    <n v="1002.0675517241378"/>
    <x v="2"/>
    <s v="Middle"/>
    <s v="Normal"/>
    <s v="YES"/>
    <s v="Within Average"/>
    <x v="4"/>
  </r>
  <r>
    <x v="22"/>
    <n v="88"/>
    <x v="2"/>
    <x v="1"/>
    <x v="4"/>
    <s v="Unknown"/>
    <n v="12"/>
    <n v="879.82"/>
    <x v="4"/>
    <s v="Middle"/>
    <s v="Normal"/>
    <s v="YES"/>
    <s v="Within Average"/>
    <x v="3"/>
  </r>
  <r>
    <x v="23"/>
    <n v="87"/>
    <x v="2"/>
    <x v="0"/>
    <x v="1"/>
    <d v="2024-07-18T00:00:00"/>
    <n v="12"/>
    <n v="387.49"/>
    <x v="2"/>
    <s v="Middle"/>
    <s v="Normal"/>
    <s v="YES"/>
    <s v="Within Average"/>
    <x v="6"/>
  </r>
  <r>
    <x v="24"/>
    <n v="87"/>
    <x v="1"/>
    <x v="4"/>
    <x v="4"/>
    <d v="2024-07-04T00:00:00"/>
    <n v="12"/>
    <n v="1002.0675517241378"/>
    <x v="1"/>
    <s v="Middle"/>
    <s v="Normal"/>
    <s v="YES"/>
    <s v="Within Average"/>
    <x v="6"/>
  </r>
  <r>
    <x v="25"/>
    <n v="87"/>
    <x v="1"/>
    <x v="5"/>
    <x v="0"/>
    <d v="2024-02-09T00:00:00"/>
    <n v="5"/>
    <n v="791.73"/>
    <x v="1"/>
    <s v="Middle"/>
    <s v="Normal"/>
    <s v="YES"/>
    <s v="Within Average"/>
    <x v="9"/>
  </r>
  <r>
    <x v="26"/>
    <n v="87"/>
    <x v="2"/>
    <x v="4"/>
    <x v="4"/>
    <d v="2024-08-11T00:00:00"/>
    <n v="10"/>
    <n v="1002.0675517241378"/>
    <x v="2"/>
    <s v="Middle"/>
    <s v="Normal"/>
    <s v="YES"/>
    <s v="Within Average"/>
    <x v="5"/>
  </r>
  <r>
    <x v="27"/>
    <n v="87"/>
    <x v="2"/>
    <x v="1"/>
    <x v="2"/>
    <s v="Unknown"/>
    <n v="12"/>
    <n v="1002.0675517241378"/>
    <x v="1"/>
    <s v="Middle"/>
    <s v="Normal"/>
    <s v="YES"/>
    <s v="Within Average"/>
    <x v="3"/>
  </r>
  <r>
    <x v="28"/>
    <n v="87"/>
    <x v="1"/>
    <x v="6"/>
    <x v="4"/>
    <d v="2024-10-28T00:00:00"/>
    <n v="12"/>
    <n v="1002.0675517241378"/>
    <x v="4"/>
    <s v="Middle"/>
    <s v="Normal"/>
    <s v="YES"/>
    <s v="Within Average"/>
    <x v="10"/>
  </r>
  <r>
    <x v="29"/>
    <n v="87"/>
    <x v="2"/>
    <x v="6"/>
    <x v="5"/>
    <s v="Unknown"/>
    <n v="12"/>
    <n v="1002.0675517241378"/>
    <x v="1"/>
    <s v="Middle"/>
    <s v="Normal"/>
    <s v="YES"/>
    <s v="Within Average"/>
    <x v="3"/>
  </r>
  <r>
    <x v="30"/>
    <n v="86"/>
    <x v="1"/>
    <x v="4"/>
    <x v="4"/>
    <d v="2024-02-10T00:00:00"/>
    <n v="16"/>
    <n v="1002.0675517241378"/>
    <x v="1"/>
    <s v="Middle"/>
    <s v="Normal"/>
    <s v="YES"/>
    <s v="Within Average"/>
    <x v="9"/>
  </r>
  <r>
    <x v="31"/>
    <n v="86"/>
    <x v="0"/>
    <x v="1"/>
    <x v="1"/>
    <d v="2024-11-04T00:00:00"/>
    <n v="12"/>
    <n v="147.22999999999999"/>
    <x v="2"/>
    <s v="Middle"/>
    <s v="Normal"/>
    <s v="YES"/>
    <s v="Within Average"/>
    <x v="1"/>
  </r>
  <r>
    <x v="32"/>
    <n v="86"/>
    <x v="2"/>
    <x v="3"/>
    <x v="1"/>
    <d v="2024-06-14T00:00:00"/>
    <n v="12"/>
    <n v="1002.0675517241378"/>
    <x v="4"/>
    <s v="Middle"/>
    <s v="Normal"/>
    <s v="YES"/>
    <s v="Within Average"/>
    <x v="2"/>
  </r>
  <r>
    <x v="33"/>
    <n v="85"/>
    <x v="1"/>
    <x v="7"/>
    <x v="4"/>
    <d v="2024-11-02T00:00:00"/>
    <n v="12"/>
    <n v="963.47"/>
    <x v="2"/>
    <s v="Middle"/>
    <s v="Normal"/>
    <s v="YES"/>
    <s v="Within Average"/>
    <x v="1"/>
  </r>
  <r>
    <x v="34"/>
    <n v="84"/>
    <x v="1"/>
    <x v="0"/>
    <x v="4"/>
    <d v="2024-04-30T00:00:00"/>
    <n v="12"/>
    <n v="1002.0675517241378"/>
    <x v="1"/>
    <s v="Middle"/>
    <s v="Normal"/>
    <s v="YES"/>
    <s v="Within Average"/>
    <x v="11"/>
  </r>
  <r>
    <x v="35"/>
    <n v="84"/>
    <x v="2"/>
    <x v="1"/>
    <x v="3"/>
    <s v="Unknown"/>
    <n v="12"/>
    <n v="587.36"/>
    <x v="3"/>
    <s v="Middle"/>
    <s v="Normal"/>
    <s v="YES"/>
    <s v="Within Average"/>
    <x v="3"/>
  </r>
  <r>
    <x v="36"/>
    <n v="84"/>
    <x v="0"/>
    <x v="5"/>
    <x v="4"/>
    <d v="2024-04-03T00:00:00"/>
    <n v="12"/>
    <n v="1071.3499999999999"/>
    <x v="3"/>
    <s v="Middle"/>
    <s v="Normal"/>
    <s v="YES"/>
    <s v="Above Average"/>
    <x v="11"/>
  </r>
  <r>
    <x v="37"/>
    <n v="83"/>
    <x v="1"/>
    <x v="2"/>
    <x v="2"/>
    <d v="2024-08-28T00:00:00"/>
    <n v="12"/>
    <n v="1002.0675517241378"/>
    <x v="0"/>
    <s v="Middle"/>
    <s v="Normal"/>
    <s v="YES"/>
    <s v="Within Average"/>
    <x v="5"/>
  </r>
  <r>
    <x v="38"/>
    <n v="83"/>
    <x v="0"/>
    <x v="4"/>
    <x v="0"/>
    <d v="2024-11-13T00:00:00"/>
    <n v="12"/>
    <n v="1002.0675517241378"/>
    <x v="4"/>
    <s v="Middle"/>
    <s v="Normal"/>
    <s v="YES"/>
    <s v="Within Average"/>
    <x v="1"/>
  </r>
  <r>
    <x v="39"/>
    <n v="83"/>
    <x v="2"/>
    <x v="4"/>
    <x v="2"/>
    <d v="2024-03-16T00:00:00"/>
    <n v="15"/>
    <n v="1002.0675517241378"/>
    <x v="4"/>
    <s v="Middle"/>
    <s v="Normal"/>
    <s v="YES"/>
    <s v="Within Average"/>
    <x v="4"/>
  </r>
  <r>
    <x v="40"/>
    <n v="83"/>
    <x v="1"/>
    <x v="6"/>
    <x v="3"/>
    <d v="2024-03-25T00:00:00"/>
    <n v="12"/>
    <n v="1295.1500000000001"/>
    <x v="2"/>
    <s v="Middle"/>
    <s v="High Cost"/>
    <s v="YES"/>
    <s v="Above Average"/>
    <x v="4"/>
  </r>
  <r>
    <x v="41"/>
    <n v="83"/>
    <x v="2"/>
    <x v="6"/>
    <x v="0"/>
    <d v="2024-02-01T00:00:00"/>
    <n v="12"/>
    <n v="1592.78"/>
    <x v="3"/>
    <s v="Middle"/>
    <s v="High Cost"/>
    <s v="YES"/>
    <s v="Above Average"/>
    <x v="9"/>
  </r>
  <r>
    <x v="42"/>
    <n v="82"/>
    <x v="0"/>
    <x v="4"/>
    <x v="3"/>
    <d v="2024-02-01T00:00:00"/>
    <n v="12"/>
    <n v="1002.0675517241378"/>
    <x v="1"/>
    <s v="Middle"/>
    <s v="Normal"/>
    <s v="YES"/>
    <s v="Within Average"/>
    <x v="9"/>
  </r>
  <r>
    <x v="43"/>
    <n v="81"/>
    <x v="2"/>
    <x v="2"/>
    <x v="0"/>
    <d v="2024-01-27T00:00:00"/>
    <n v="13"/>
    <n v="872.71"/>
    <x v="3"/>
    <s v="Middle"/>
    <s v="Normal"/>
    <s v="YES"/>
    <s v="Within Average"/>
    <x v="7"/>
  </r>
  <r>
    <x v="44"/>
    <n v="81"/>
    <x v="2"/>
    <x v="1"/>
    <x v="4"/>
    <s v="Unknown"/>
    <n v="12"/>
    <n v="1002.0675517241378"/>
    <x v="2"/>
    <s v="Middle"/>
    <s v="Normal"/>
    <s v="YES"/>
    <s v="Within Average"/>
    <x v="3"/>
  </r>
  <r>
    <x v="45"/>
    <n v="81"/>
    <x v="0"/>
    <x v="3"/>
    <x v="4"/>
    <d v="2024-06-08T00:00:00"/>
    <n v="12"/>
    <n v="1002.0675517241378"/>
    <x v="3"/>
    <s v="Middle"/>
    <s v="Normal"/>
    <s v="YES"/>
    <s v="Within Average"/>
    <x v="2"/>
  </r>
  <r>
    <x v="46"/>
    <n v="80"/>
    <x v="0"/>
    <x v="4"/>
    <x v="2"/>
    <d v="2024-05-02T00:00:00"/>
    <n v="7"/>
    <n v="1047.24"/>
    <x v="2"/>
    <s v="Middle"/>
    <s v="Normal"/>
    <s v="YES"/>
    <s v="Above Average"/>
    <x v="8"/>
  </r>
  <r>
    <x v="47"/>
    <n v="80"/>
    <x v="1"/>
    <x v="0"/>
    <x v="4"/>
    <d v="2024-03-13T00:00:00"/>
    <n v="7"/>
    <n v="1002.0675517241378"/>
    <x v="1"/>
    <s v="Middle"/>
    <s v="Normal"/>
    <s v="YES"/>
    <s v="Within Average"/>
    <x v="4"/>
  </r>
  <r>
    <x v="48"/>
    <n v="80"/>
    <x v="1"/>
    <x v="4"/>
    <x v="4"/>
    <d v="2024-02-27T00:00:00"/>
    <n v="12"/>
    <n v="140.71"/>
    <x v="2"/>
    <s v="Middle"/>
    <s v="Normal"/>
    <s v="YES"/>
    <s v="Within Average"/>
    <x v="9"/>
  </r>
  <r>
    <x v="49"/>
    <n v="80"/>
    <x v="0"/>
    <x v="7"/>
    <x v="4"/>
    <d v="2024-12-26T00:00:00"/>
    <n v="9"/>
    <n v="1920.54"/>
    <x v="3"/>
    <s v="Middle"/>
    <s v="High Cost"/>
    <s v="YES"/>
    <s v="Above Average"/>
    <x v="0"/>
  </r>
  <r>
    <x v="50"/>
    <n v="80"/>
    <x v="0"/>
    <x v="7"/>
    <x v="3"/>
    <d v="2024-02-11T00:00:00"/>
    <n v="12"/>
    <n v="1002.0675517241378"/>
    <x v="4"/>
    <s v="Middle"/>
    <s v="Normal"/>
    <s v="YES"/>
    <s v="Within Average"/>
    <x v="9"/>
  </r>
  <r>
    <x v="51"/>
    <n v="79"/>
    <x v="2"/>
    <x v="4"/>
    <x v="4"/>
    <d v="2024-07-30T00:00:00"/>
    <n v="12"/>
    <n v="1002.0675517241378"/>
    <x v="0"/>
    <s v="Middle"/>
    <s v="Normal"/>
    <s v="YES"/>
    <s v="Within Average"/>
    <x v="6"/>
  </r>
  <r>
    <x v="52"/>
    <n v="79"/>
    <x v="0"/>
    <x v="5"/>
    <x v="2"/>
    <d v="2024-10-04T00:00:00"/>
    <n v="12"/>
    <n v="1002.0675517241378"/>
    <x v="2"/>
    <s v="Middle"/>
    <s v="Normal"/>
    <s v="YES"/>
    <s v="Within Average"/>
    <x v="10"/>
  </r>
  <r>
    <x v="53"/>
    <n v="79"/>
    <x v="2"/>
    <x v="2"/>
    <x v="5"/>
    <d v="2024-07-28T00:00:00"/>
    <n v="12"/>
    <n v="1002.0675517241378"/>
    <x v="0"/>
    <s v="Middle"/>
    <s v="Normal"/>
    <s v="YES"/>
    <s v="Within Average"/>
    <x v="6"/>
  </r>
  <r>
    <x v="54"/>
    <n v="79"/>
    <x v="0"/>
    <x v="0"/>
    <x v="4"/>
    <d v="2024-09-18T00:00:00"/>
    <n v="12"/>
    <n v="1002.0675517241378"/>
    <x v="0"/>
    <s v="Middle"/>
    <s v="Normal"/>
    <s v="YES"/>
    <s v="Within Average"/>
    <x v="12"/>
  </r>
  <r>
    <x v="55"/>
    <n v="79"/>
    <x v="2"/>
    <x v="4"/>
    <x v="3"/>
    <d v="2024-09-11T00:00:00"/>
    <n v="5"/>
    <n v="1002.0675517241378"/>
    <x v="4"/>
    <s v="Middle"/>
    <s v="Normal"/>
    <s v="YES"/>
    <s v="Within Average"/>
    <x v="12"/>
  </r>
  <r>
    <x v="56"/>
    <n v="79"/>
    <x v="0"/>
    <x v="0"/>
    <x v="3"/>
    <d v="2024-06-05T00:00:00"/>
    <n v="12"/>
    <n v="1002.0675517241378"/>
    <x v="1"/>
    <s v="Middle"/>
    <s v="Normal"/>
    <s v="YES"/>
    <s v="Within Average"/>
    <x v="2"/>
  </r>
  <r>
    <x v="57"/>
    <n v="79"/>
    <x v="2"/>
    <x v="4"/>
    <x v="0"/>
    <d v="2024-01-02T00:00:00"/>
    <n v="8"/>
    <n v="1002.0675517241378"/>
    <x v="3"/>
    <s v="Middle"/>
    <s v="Normal"/>
    <s v="YES"/>
    <s v="Within Average"/>
    <x v="7"/>
  </r>
  <r>
    <x v="58"/>
    <n v="79"/>
    <x v="1"/>
    <x v="4"/>
    <x v="3"/>
    <d v="2024-10-04T00:00:00"/>
    <n v="6"/>
    <n v="1724.93"/>
    <x v="1"/>
    <s v="Middle"/>
    <s v="High Cost"/>
    <s v="YES"/>
    <s v="Above Average"/>
    <x v="10"/>
  </r>
  <r>
    <x v="59"/>
    <n v="79"/>
    <x v="1"/>
    <x v="0"/>
    <x v="1"/>
    <s v="Unknown"/>
    <n v="7"/>
    <n v="1002.0675517241378"/>
    <x v="0"/>
    <s v="Middle"/>
    <s v="Normal"/>
    <s v="YES"/>
    <s v="Within Average"/>
    <x v="3"/>
  </r>
  <r>
    <x v="60"/>
    <n v="79"/>
    <x v="2"/>
    <x v="7"/>
    <x v="3"/>
    <d v="2024-06-23T00:00:00"/>
    <n v="12"/>
    <n v="475.96"/>
    <x v="3"/>
    <s v="Middle"/>
    <s v="Normal"/>
    <s v="YES"/>
    <s v="Within Average"/>
    <x v="2"/>
  </r>
  <r>
    <x v="61"/>
    <n v="78"/>
    <x v="0"/>
    <x v="5"/>
    <x v="5"/>
    <d v="2024-07-16T00:00:00"/>
    <n v="12"/>
    <n v="1237.9000000000001"/>
    <x v="2"/>
    <s v="Middle"/>
    <s v="High Cost"/>
    <s v="YES"/>
    <s v="Above Average"/>
    <x v="6"/>
  </r>
  <r>
    <x v="62"/>
    <n v="78"/>
    <x v="1"/>
    <x v="6"/>
    <x v="5"/>
    <d v="2024-07-12T00:00:00"/>
    <n v="12"/>
    <n v="262.12"/>
    <x v="2"/>
    <s v="Middle"/>
    <s v="Normal"/>
    <s v="YES"/>
    <s v="Within Average"/>
    <x v="6"/>
  </r>
  <r>
    <x v="63"/>
    <n v="78"/>
    <x v="0"/>
    <x v="3"/>
    <x v="4"/>
    <d v="2024-03-14T00:00:00"/>
    <n v="12"/>
    <n v="1002.0675517241378"/>
    <x v="1"/>
    <s v="Middle"/>
    <s v="Normal"/>
    <s v="YES"/>
    <s v="Within Average"/>
    <x v="4"/>
  </r>
  <r>
    <x v="64"/>
    <n v="78"/>
    <x v="2"/>
    <x v="6"/>
    <x v="5"/>
    <s v="Unknown"/>
    <n v="12"/>
    <n v="1002.0675517241378"/>
    <x v="2"/>
    <s v="Middle"/>
    <s v="Normal"/>
    <s v="YES"/>
    <s v="Within Average"/>
    <x v="3"/>
  </r>
  <r>
    <x v="65"/>
    <n v="78"/>
    <x v="0"/>
    <x v="0"/>
    <x v="4"/>
    <d v="2024-04-15T00:00:00"/>
    <n v="7"/>
    <n v="847.64"/>
    <x v="3"/>
    <s v="Middle"/>
    <s v="Normal"/>
    <s v="YES"/>
    <s v="Within Average"/>
    <x v="11"/>
  </r>
  <r>
    <x v="66"/>
    <n v="78"/>
    <x v="1"/>
    <x v="0"/>
    <x v="3"/>
    <d v="2024-06-01T00:00:00"/>
    <n v="10"/>
    <n v="1002.0675517241378"/>
    <x v="4"/>
    <s v="Middle"/>
    <s v="Normal"/>
    <s v="YES"/>
    <s v="Within Average"/>
    <x v="2"/>
  </r>
  <r>
    <x v="67"/>
    <n v="78"/>
    <x v="0"/>
    <x v="6"/>
    <x v="1"/>
    <s v="Unknown"/>
    <n v="12"/>
    <n v="191.86"/>
    <x v="3"/>
    <s v="Middle"/>
    <s v="Normal"/>
    <s v="YES"/>
    <s v="Within Average"/>
    <x v="3"/>
  </r>
  <r>
    <x v="68"/>
    <n v="78"/>
    <x v="0"/>
    <x v="5"/>
    <x v="4"/>
    <d v="2024-09-23T00:00:00"/>
    <n v="13"/>
    <n v="899.2"/>
    <x v="0"/>
    <s v="Middle"/>
    <s v="Normal"/>
    <s v="YES"/>
    <s v="Within Average"/>
    <x v="12"/>
  </r>
  <r>
    <x v="69"/>
    <n v="77"/>
    <x v="2"/>
    <x v="6"/>
    <x v="2"/>
    <d v="2024-08-02T00:00:00"/>
    <n v="12"/>
    <n v="1002.0675517241378"/>
    <x v="1"/>
    <s v="Middle"/>
    <s v="Normal"/>
    <s v="YES"/>
    <s v="Within Average"/>
    <x v="5"/>
  </r>
  <r>
    <x v="70"/>
    <n v="77"/>
    <x v="0"/>
    <x v="0"/>
    <x v="2"/>
    <d v="2024-07-26T00:00:00"/>
    <n v="12"/>
    <n v="1002.0675517241378"/>
    <x v="3"/>
    <s v="Middle"/>
    <s v="Normal"/>
    <s v="YES"/>
    <s v="Within Average"/>
    <x v="6"/>
  </r>
  <r>
    <x v="71"/>
    <n v="77"/>
    <x v="0"/>
    <x v="3"/>
    <x v="2"/>
    <d v="2024-02-19T00:00:00"/>
    <n v="12"/>
    <n v="1002.0675517241378"/>
    <x v="3"/>
    <s v="Middle"/>
    <s v="Normal"/>
    <s v="YES"/>
    <s v="Within Average"/>
    <x v="9"/>
  </r>
  <r>
    <x v="72"/>
    <n v="76"/>
    <x v="0"/>
    <x v="7"/>
    <x v="3"/>
    <d v="2024-02-09T00:00:00"/>
    <n v="12"/>
    <n v="904.59"/>
    <x v="2"/>
    <s v="Middle"/>
    <s v="Normal"/>
    <s v="YES"/>
    <s v="Within Average"/>
    <x v="9"/>
  </r>
  <r>
    <x v="73"/>
    <n v="76"/>
    <x v="2"/>
    <x v="0"/>
    <x v="3"/>
    <d v="2024-03-29T00:00:00"/>
    <n v="12"/>
    <n v="563.05999999999995"/>
    <x v="0"/>
    <s v="Middle"/>
    <s v="Normal"/>
    <s v="YES"/>
    <s v="Within Average"/>
    <x v="4"/>
  </r>
  <r>
    <x v="74"/>
    <n v="76"/>
    <x v="0"/>
    <x v="2"/>
    <x v="3"/>
    <d v="2024-11-22T00:00:00"/>
    <n v="20"/>
    <n v="1002.0675517241378"/>
    <x v="3"/>
    <s v="Middle"/>
    <s v="Normal"/>
    <s v="YES"/>
    <s v="Within Average"/>
    <x v="1"/>
  </r>
  <r>
    <x v="75"/>
    <n v="76"/>
    <x v="2"/>
    <x v="3"/>
    <x v="5"/>
    <d v="2024-05-18T00:00:00"/>
    <n v="12"/>
    <n v="1002.0675517241378"/>
    <x v="2"/>
    <s v="Middle"/>
    <s v="Normal"/>
    <s v="YES"/>
    <s v="Within Average"/>
    <x v="8"/>
  </r>
  <r>
    <x v="76"/>
    <n v="76"/>
    <x v="1"/>
    <x v="2"/>
    <x v="2"/>
    <d v="2024-09-24T00:00:00"/>
    <n v="7"/>
    <n v="1002.0675517241378"/>
    <x v="0"/>
    <s v="Middle"/>
    <s v="Normal"/>
    <s v="YES"/>
    <s v="Within Average"/>
    <x v="12"/>
  </r>
  <r>
    <x v="77"/>
    <n v="76"/>
    <x v="2"/>
    <x v="5"/>
    <x v="2"/>
    <d v="2024-04-24T00:00:00"/>
    <n v="15"/>
    <n v="1002.0675517241378"/>
    <x v="3"/>
    <s v="Middle"/>
    <s v="Normal"/>
    <s v="YES"/>
    <s v="Within Average"/>
    <x v="11"/>
  </r>
  <r>
    <x v="78"/>
    <n v="76"/>
    <x v="0"/>
    <x v="7"/>
    <x v="1"/>
    <d v="2024-04-05T00:00:00"/>
    <n v="2"/>
    <n v="1002.0675517241378"/>
    <x v="4"/>
    <s v="Middle"/>
    <s v="Normal"/>
    <s v="YES"/>
    <s v="Within Average"/>
    <x v="11"/>
  </r>
  <r>
    <x v="79"/>
    <n v="76"/>
    <x v="2"/>
    <x v="0"/>
    <x v="5"/>
    <d v="2024-06-14T00:00:00"/>
    <n v="4"/>
    <n v="1002.0675517241378"/>
    <x v="0"/>
    <s v="Middle"/>
    <s v="Normal"/>
    <s v="YES"/>
    <s v="Within Average"/>
    <x v="2"/>
  </r>
  <r>
    <x v="80"/>
    <n v="76"/>
    <x v="2"/>
    <x v="6"/>
    <x v="3"/>
    <d v="2024-09-30T00:00:00"/>
    <n v="12"/>
    <n v="1002.0675517241378"/>
    <x v="4"/>
    <s v="Middle"/>
    <s v="Normal"/>
    <s v="YES"/>
    <s v="Within Average"/>
    <x v="12"/>
  </r>
  <r>
    <x v="81"/>
    <n v="76"/>
    <x v="0"/>
    <x v="3"/>
    <x v="4"/>
    <d v="2024-09-18T00:00:00"/>
    <n v="12"/>
    <n v="1002.0675517241378"/>
    <x v="0"/>
    <s v="Middle"/>
    <s v="Normal"/>
    <s v="YES"/>
    <s v="Within Average"/>
    <x v="12"/>
  </r>
  <r>
    <x v="82"/>
    <n v="75"/>
    <x v="0"/>
    <x v="7"/>
    <x v="3"/>
    <d v="2024-08-08T00:00:00"/>
    <n v="12"/>
    <n v="589.96"/>
    <x v="2"/>
    <s v="Middle"/>
    <s v="Normal"/>
    <s v="UNKNOWN"/>
    <s v="Within Average"/>
    <x v="5"/>
  </r>
  <r>
    <x v="83"/>
    <n v="75"/>
    <x v="0"/>
    <x v="0"/>
    <x v="0"/>
    <s v="Unknown"/>
    <n v="11"/>
    <n v="1002.0675517241378"/>
    <x v="3"/>
    <s v="Middle"/>
    <s v="Normal"/>
    <s v="UNKNOWN"/>
    <s v="Within Average"/>
    <x v="3"/>
  </r>
  <r>
    <x v="84"/>
    <n v="75"/>
    <x v="1"/>
    <x v="0"/>
    <x v="1"/>
    <d v="2024-06-30T00:00:00"/>
    <n v="12"/>
    <n v="1002.0675517241378"/>
    <x v="2"/>
    <s v="Middle"/>
    <s v="Normal"/>
    <s v="UNKNOWN"/>
    <s v="Within Average"/>
    <x v="2"/>
  </r>
  <r>
    <x v="85"/>
    <n v="75"/>
    <x v="0"/>
    <x v="7"/>
    <x v="4"/>
    <d v="2024-10-20T00:00:00"/>
    <n v="12"/>
    <n v="1002.0675517241378"/>
    <x v="3"/>
    <s v="Middle"/>
    <s v="Normal"/>
    <s v="UNKNOWN"/>
    <s v="Within Average"/>
    <x v="10"/>
  </r>
  <r>
    <x v="86"/>
    <n v="74"/>
    <x v="2"/>
    <x v="6"/>
    <x v="5"/>
    <d v="2024-11-29T00:00:00"/>
    <n v="12"/>
    <n v="1002.0675517241378"/>
    <x v="0"/>
    <s v="Middle"/>
    <s v="Normal"/>
    <s v="NO"/>
    <s v="Within Average"/>
    <x v="1"/>
  </r>
  <r>
    <x v="87"/>
    <n v="74"/>
    <x v="2"/>
    <x v="0"/>
    <x v="3"/>
    <d v="2024-05-05T00:00:00"/>
    <n v="12"/>
    <n v="1131.96"/>
    <x v="4"/>
    <s v="Middle"/>
    <s v="Normal"/>
    <s v="NO"/>
    <s v="Above Average"/>
    <x v="8"/>
  </r>
  <r>
    <x v="88"/>
    <n v="74"/>
    <x v="0"/>
    <x v="2"/>
    <x v="2"/>
    <s v="Unknown"/>
    <n v="12"/>
    <n v="1002.0675517241378"/>
    <x v="2"/>
    <s v="Middle"/>
    <s v="Normal"/>
    <s v="NO"/>
    <s v="Within Average"/>
    <x v="3"/>
  </r>
  <r>
    <x v="89"/>
    <n v="73"/>
    <x v="0"/>
    <x v="6"/>
    <x v="2"/>
    <d v="2024-06-30T00:00:00"/>
    <n v="12"/>
    <n v="1002.0675517241378"/>
    <x v="0"/>
    <s v="Middle"/>
    <s v="Normal"/>
    <s v="NO"/>
    <s v="Within Average"/>
    <x v="2"/>
  </r>
  <r>
    <x v="90"/>
    <n v="73"/>
    <x v="2"/>
    <x v="2"/>
    <x v="2"/>
    <d v="2024-06-29T00:00:00"/>
    <n v="3"/>
    <n v="1002.0675517241378"/>
    <x v="3"/>
    <s v="Middle"/>
    <s v="Normal"/>
    <s v="NO"/>
    <s v="Within Average"/>
    <x v="2"/>
  </r>
  <r>
    <x v="91"/>
    <n v="73"/>
    <x v="2"/>
    <x v="7"/>
    <x v="2"/>
    <d v="2024-12-31T00:00:00"/>
    <n v="12"/>
    <n v="1002.0675517241378"/>
    <x v="2"/>
    <s v="Middle"/>
    <s v="Normal"/>
    <s v="NO"/>
    <s v="Within Average"/>
    <x v="0"/>
  </r>
  <r>
    <x v="92"/>
    <n v="73"/>
    <x v="2"/>
    <x v="1"/>
    <x v="0"/>
    <d v="2024-09-21T00:00:00"/>
    <n v="12"/>
    <n v="1002.0675517241378"/>
    <x v="0"/>
    <s v="Middle"/>
    <s v="Normal"/>
    <s v="NO"/>
    <s v="Within Average"/>
    <x v="12"/>
  </r>
  <r>
    <x v="93"/>
    <n v="72"/>
    <x v="2"/>
    <x v="7"/>
    <x v="0"/>
    <d v="2024-06-08T00:00:00"/>
    <n v="12"/>
    <n v="1002.0675517241378"/>
    <x v="3"/>
    <s v="Middle"/>
    <s v="Normal"/>
    <s v="NO"/>
    <s v="Within Average"/>
    <x v="2"/>
  </r>
  <r>
    <x v="94"/>
    <n v="72"/>
    <x v="2"/>
    <x v="7"/>
    <x v="4"/>
    <d v="2024-01-08T00:00:00"/>
    <n v="12"/>
    <n v="1925"/>
    <x v="4"/>
    <s v="Middle"/>
    <s v="High Cost"/>
    <s v="NO"/>
    <s v="Above Average"/>
    <x v="7"/>
  </r>
  <r>
    <x v="95"/>
    <n v="72"/>
    <x v="2"/>
    <x v="1"/>
    <x v="4"/>
    <d v="2024-06-29T00:00:00"/>
    <n v="12"/>
    <n v="1808.12"/>
    <x v="1"/>
    <s v="Middle"/>
    <s v="High Cost"/>
    <s v="NO"/>
    <s v="Above Average"/>
    <x v="2"/>
  </r>
  <r>
    <x v="96"/>
    <n v="72"/>
    <x v="1"/>
    <x v="2"/>
    <x v="0"/>
    <d v="2024-03-22T00:00:00"/>
    <n v="12"/>
    <n v="1002.0675517241378"/>
    <x v="4"/>
    <s v="Middle"/>
    <s v="Normal"/>
    <s v="NO"/>
    <s v="Within Average"/>
    <x v="4"/>
  </r>
  <r>
    <x v="97"/>
    <n v="71"/>
    <x v="0"/>
    <x v="4"/>
    <x v="2"/>
    <d v="2024-02-10T00:00:00"/>
    <n v="4"/>
    <n v="1002.0675517241378"/>
    <x v="2"/>
    <s v="Middle"/>
    <s v="Normal"/>
    <s v="NO"/>
    <s v="Within Average"/>
    <x v="9"/>
  </r>
  <r>
    <x v="98"/>
    <n v="71"/>
    <x v="2"/>
    <x v="2"/>
    <x v="4"/>
    <d v="2024-03-25T00:00:00"/>
    <n v="18"/>
    <n v="1031.9000000000001"/>
    <x v="1"/>
    <s v="Middle"/>
    <s v="Normal"/>
    <s v="NO"/>
    <s v="Above Average"/>
    <x v="4"/>
  </r>
  <r>
    <x v="99"/>
    <n v="71"/>
    <x v="0"/>
    <x v="0"/>
    <x v="3"/>
    <d v="2024-01-18T00:00:00"/>
    <n v="12"/>
    <n v="1002.0675517241378"/>
    <x v="4"/>
    <s v="Middle"/>
    <s v="Normal"/>
    <s v="NO"/>
    <s v="Within Average"/>
    <x v="7"/>
  </r>
  <r>
    <x v="100"/>
    <n v="71"/>
    <x v="2"/>
    <x v="3"/>
    <x v="2"/>
    <d v="2024-06-17T00:00:00"/>
    <n v="15"/>
    <n v="1002.0675517241378"/>
    <x v="1"/>
    <s v="Middle"/>
    <s v="Normal"/>
    <s v="NO"/>
    <s v="Within Average"/>
    <x v="2"/>
  </r>
  <r>
    <x v="101"/>
    <n v="70"/>
    <x v="2"/>
    <x v="5"/>
    <x v="3"/>
    <s v="Unknown"/>
    <n v="12"/>
    <n v="163.27000000000001"/>
    <x v="1"/>
    <s v="Middle"/>
    <s v="Normal"/>
    <s v="NO"/>
    <s v="Within Average"/>
    <x v="3"/>
  </r>
  <r>
    <x v="102"/>
    <n v="69"/>
    <x v="2"/>
    <x v="5"/>
    <x v="1"/>
    <d v="2024-08-28T00:00:00"/>
    <n v="12"/>
    <n v="1002.0675517241378"/>
    <x v="1"/>
    <s v="Middle"/>
    <s v="Normal"/>
    <s v="NO"/>
    <s v="Within Average"/>
    <x v="5"/>
  </r>
  <r>
    <x v="103"/>
    <n v="69"/>
    <x v="0"/>
    <x v="1"/>
    <x v="0"/>
    <s v="Unknown"/>
    <n v="12"/>
    <n v="1002.0675517241378"/>
    <x v="4"/>
    <s v="Middle"/>
    <s v="Normal"/>
    <s v="NO"/>
    <s v="Within Average"/>
    <x v="3"/>
  </r>
  <r>
    <x v="104"/>
    <n v="69"/>
    <x v="2"/>
    <x v="3"/>
    <x v="4"/>
    <d v="2024-03-27T00:00:00"/>
    <n v="20"/>
    <n v="819"/>
    <x v="4"/>
    <s v="Middle"/>
    <s v="Normal"/>
    <s v="NO"/>
    <s v="Within Average"/>
    <x v="4"/>
  </r>
  <r>
    <x v="105"/>
    <n v="68"/>
    <x v="2"/>
    <x v="1"/>
    <x v="4"/>
    <d v="2024-09-28T00:00:00"/>
    <n v="12"/>
    <n v="1187.5999999999999"/>
    <x v="4"/>
    <s v="Middle"/>
    <s v="Normal"/>
    <s v="NO"/>
    <s v="Above Average"/>
    <x v="12"/>
  </r>
  <r>
    <x v="106"/>
    <n v="68"/>
    <x v="2"/>
    <x v="2"/>
    <x v="5"/>
    <s v="Unknown"/>
    <n v="12"/>
    <n v="1002.0675517241378"/>
    <x v="0"/>
    <s v="Middle"/>
    <s v="Normal"/>
    <s v="NO"/>
    <s v="Within Average"/>
    <x v="3"/>
  </r>
  <r>
    <x v="107"/>
    <n v="68"/>
    <x v="0"/>
    <x v="3"/>
    <x v="1"/>
    <d v="2024-03-15T00:00:00"/>
    <n v="12"/>
    <n v="1678.28"/>
    <x v="0"/>
    <s v="Middle"/>
    <s v="High Cost"/>
    <s v="NO"/>
    <s v="Above Average"/>
    <x v="4"/>
  </r>
  <r>
    <x v="108"/>
    <n v="67"/>
    <x v="1"/>
    <x v="4"/>
    <x v="3"/>
    <d v="2024-08-02T00:00:00"/>
    <n v="12"/>
    <n v="1980.5"/>
    <x v="4"/>
    <s v="Middle"/>
    <s v="High Cost"/>
    <s v="NO"/>
    <s v="Above Average"/>
    <x v="5"/>
  </r>
  <r>
    <x v="109"/>
    <n v="67"/>
    <x v="1"/>
    <x v="3"/>
    <x v="4"/>
    <d v="2024-10-28T00:00:00"/>
    <n v="12"/>
    <n v="135.55000000000001"/>
    <x v="2"/>
    <s v="Middle"/>
    <s v="Normal"/>
    <s v="NO"/>
    <s v="Within Average"/>
    <x v="10"/>
  </r>
  <r>
    <x v="110"/>
    <n v="67"/>
    <x v="1"/>
    <x v="3"/>
    <x v="4"/>
    <d v="2024-03-01T00:00:00"/>
    <n v="12"/>
    <n v="1002.0675517241378"/>
    <x v="0"/>
    <s v="Middle"/>
    <s v="Normal"/>
    <s v="NO"/>
    <s v="Within Average"/>
    <x v="4"/>
  </r>
  <r>
    <x v="111"/>
    <n v="67"/>
    <x v="2"/>
    <x v="4"/>
    <x v="0"/>
    <d v="2024-02-29T00:00:00"/>
    <n v="12"/>
    <n v="1002.0675517241378"/>
    <x v="4"/>
    <s v="Middle"/>
    <s v="Normal"/>
    <s v="NO"/>
    <s v="Within Average"/>
    <x v="9"/>
  </r>
  <r>
    <x v="112"/>
    <n v="67"/>
    <x v="0"/>
    <x v="5"/>
    <x v="3"/>
    <s v="Unknown"/>
    <n v="12"/>
    <n v="1002.0675517241378"/>
    <x v="4"/>
    <s v="Middle"/>
    <s v="Normal"/>
    <s v="NO"/>
    <s v="Within Average"/>
    <x v="3"/>
  </r>
  <r>
    <x v="113"/>
    <n v="67"/>
    <x v="2"/>
    <x v="7"/>
    <x v="1"/>
    <d v="2024-08-29T00:00:00"/>
    <n v="12"/>
    <n v="1002.0675517241378"/>
    <x v="3"/>
    <s v="Middle"/>
    <s v="Normal"/>
    <s v="NO"/>
    <s v="Within Average"/>
    <x v="5"/>
  </r>
  <r>
    <x v="114"/>
    <n v="67"/>
    <x v="2"/>
    <x v="5"/>
    <x v="4"/>
    <d v="2024-08-25T00:00:00"/>
    <n v="14"/>
    <n v="1002.0675517241378"/>
    <x v="0"/>
    <s v="Middle"/>
    <s v="Normal"/>
    <s v="NO"/>
    <s v="Within Average"/>
    <x v="5"/>
  </r>
  <r>
    <x v="115"/>
    <n v="66"/>
    <x v="0"/>
    <x v="4"/>
    <x v="3"/>
    <d v="2024-12-30T00:00:00"/>
    <n v="12"/>
    <n v="1002.0675517241378"/>
    <x v="0"/>
    <s v="Middle"/>
    <s v="Normal"/>
    <s v="NO"/>
    <s v="Within Average"/>
    <x v="0"/>
  </r>
  <r>
    <x v="116"/>
    <n v="66"/>
    <x v="1"/>
    <x v="3"/>
    <x v="3"/>
    <d v="2024-11-13T00:00:00"/>
    <n v="8"/>
    <n v="477.3"/>
    <x v="0"/>
    <s v="Middle"/>
    <s v="Normal"/>
    <s v="NO"/>
    <s v="Within Average"/>
    <x v="1"/>
  </r>
  <r>
    <x v="117"/>
    <n v="66"/>
    <x v="0"/>
    <x v="3"/>
    <x v="5"/>
    <d v="2024-06-02T00:00:00"/>
    <n v="12"/>
    <n v="1002.0675517241378"/>
    <x v="3"/>
    <s v="Middle"/>
    <s v="Normal"/>
    <s v="NO"/>
    <s v="Within Average"/>
    <x v="2"/>
  </r>
  <r>
    <x v="118"/>
    <n v="65"/>
    <x v="0"/>
    <x v="4"/>
    <x v="1"/>
    <d v="2024-04-15T00:00:00"/>
    <n v="12"/>
    <n v="1002.0675517241378"/>
    <x v="2"/>
    <s v="Middle"/>
    <s v="Normal"/>
    <s v="NO"/>
    <s v="Within Average"/>
    <x v="11"/>
  </r>
  <r>
    <x v="119"/>
    <n v="65"/>
    <x v="0"/>
    <x v="2"/>
    <x v="5"/>
    <s v="Unknown"/>
    <n v="12"/>
    <n v="1002.0675517241378"/>
    <x v="4"/>
    <s v="Middle"/>
    <s v="Normal"/>
    <s v="NO"/>
    <s v="Within Average"/>
    <x v="3"/>
  </r>
  <r>
    <x v="120"/>
    <n v="65"/>
    <x v="0"/>
    <x v="4"/>
    <x v="1"/>
    <d v="2024-06-05T00:00:00"/>
    <n v="12"/>
    <n v="1002.0675517241378"/>
    <x v="2"/>
    <s v="Middle"/>
    <s v="Normal"/>
    <s v="NO"/>
    <s v="Within Average"/>
    <x v="2"/>
  </r>
  <r>
    <x v="121"/>
    <n v="64"/>
    <x v="0"/>
    <x v="4"/>
    <x v="2"/>
    <d v="2024-07-29T00:00:00"/>
    <n v="12"/>
    <n v="1002.0675517241378"/>
    <x v="1"/>
    <s v="Middle"/>
    <s v="Normal"/>
    <s v="NO"/>
    <s v="Within Average"/>
    <x v="6"/>
  </r>
  <r>
    <x v="122"/>
    <n v="64"/>
    <x v="0"/>
    <x v="4"/>
    <x v="2"/>
    <d v="2024-07-21T00:00:00"/>
    <n v="8"/>
    <n v="1002.0675517241378"/>
    <x v="1"/>
    <s v="Middle"/>
    <s v="Normal"/>
    <s v="NO"/>
    <s v="Within Average"/>
    <x v="6"/>
  </r>
  <r>
    <x v="123"/>
    <n v="64"/>
    <x v="0"/>
    <x v="0"/>
    <x v="0"/>
    <d v="2024-01-20T00:00:00"/>
    <n v="20"/>
    <n v="1002.0675517241378"/>
    <x v="2"/>
    <s v="Middle"/>
    <s v="Normal"/>
    <s v="NO"/>
    <s v="Within Average"/>
    <x v="7"/>
  </r>
  <r>
    <x v="124"/>
    <n v="63"/>
    <x v="2"/>
    <x v="7"/>
    <x v="5"/>
    <d v="2024-06-13T00:00:00"/>
    <n v="12"/>
    <n v="1002.0675517241378"/>
    <x v="2"/>
    <s v="Middle"/>
    <s v="Normal"/>
    <s v="NO"/>
    <s v="Within Average"/>
    <x v="2"/>
  </r>
  <r>
    <x v="125"/>
    <n v="63"/>
    <x v="2"/>
    <x v="1"/>
    <x v="2"/>
    <d v="2024-09-21T00:00:00"/>
    <n v="18"/>
    <n v="66.239999999999995"/>
    <x v="2"/>
    <s v="Middle"/>
    <s v="Normal"/>
    <s v="NO"/>
    <s v="Within Average"/>
    <x v="12"/>
  </r>
  <r>
    <x v="126"/>
    <n v="63"/>
    <x v="2"/>
    <x v="3"/>
    <x v="5"/>
    <s v="Unknown"/>
    <n v="12"/>
    <n v="1002.0675517241378"/>
    <x v="4"/>
    <s v="Middle"/>
    <s v="Normal"/>
    <s v="NO"/>
    <s v="Within Average"/>
    <x v="3"/>
  </r>
  <r>
    <x v="127"/>
    <n v="63"/>
    <x v="2"/>
    <x v="3"/>
    <x v="0"/>
    <s v="Unknown"/>
    <n v="20"/>
    <n v="1002.0675517241378"/>
    <x v="2"/>
    <s v="Middle"/>
    <s v="Normal"/>
    <s v="NO"/>
    <s v="Within Average"/>
    <x v="3"/>
  </r>
  <r>
    <x v="128"/>
    <n v="63"/>
    <x v="0"/>
    <x v="7"/>
    <x v="4"/>
    <s v="Unknown"/>
    <n v="12"/>
    <n v="1002.0675517241378"/>
    <x v="0"/>
    <s v="Middle"/>
    <s v="Normal"/>
    <s v="NO"/>
    <s v="Within Average"/>
    <x v="3"/>
  </r>
  <r>
    <x v="129"/>
    <n v="62"/>
    <x v="1"/>
    <x v="3"/>
    <x v="3"/>
    <d v="2024-07-29T00:00:00"/>
    <n v="13"/>
    <n v="1002.0675517241378"/>
    <x v="4"/>
    <s v="Middle"/>
    <s v="Normal"/>
    <s v="NO"/>
    <s v="Within Average"/>
    <x v="6"/>
  </r>
  <r>
    <x v="130"/>
    <n v="62"/>
    <x v="2"/>
    <x v="0"/>
    <x v="3"/>
    <d v="2024-10-08T00:00:00"/>
    <n v="12"/>
    <n v="1002.0675517241378"/>
    <x v="3"/>
    <s v="Middle"/>
    <s v="Normal"/>
    <s v="NO"/>
    <s v="Within Average"/>
    <x v="10"/>
  </r>
  <r>
    <x v="131"/>
    <n v="62"/>
    <x v="2"/>
    <x v="4"/>
    <x v="1"/>
    <d v="2024-10-14T00:00:00"/>
    <n v="12"/>
    <n v="1241.78"/>
    <x v="0"/>
    <s v="Middle"/>
    <s v="High Cost"/>
    <s v="NO"/>
    <s v="Above Average"/>
    <x v="10"/>
  </r>
  <r>
    <x v="132"/>
    <n v="62"/>
    <x v="1"/>
    <x v="7"/>
    <x v="1"/>
    <s v="Unknown"/>
    <n v="12"/>
    <n v="1002.0675517241378"/>
    <x v="1"/>
    <s v="Middle"/>
    <s v="Normal"/>
    <s v="NO"/>
    <s v="Within Average"/>
    <x v="3"/>
  </r>
  <r>
    <x v="133"/>
    <n v="61"/>
    <x v="0"/>
    <x v="2"/>
    <x v="0"/>
    <d v="2024-06-12T00:00:00"/>
    <n v="5"/>
    <n v="1002.0675517241378"/>
    <x v="3"/>
    <s v="Middle"/>
    <s v="Normal"/>
    <s v="NO"/>
    <s v="Within Average"/>
    <x v="2"/>
  </r>
  <r>
    <x v="134"/>
    <n v="61"/>
    <x v="1"/>
    <x v="2"/>
    <x v="3"/>
    <s v="Unknown"/>
    <n v="12"/>
    <n v="383.36"/>
    <x v="0"/>
    <s v="Middle"/>
    <s v="Normal"/>
    <s v="NO"/>
    <s v="Within Average"/>
    <x v="3"/>
  </r>
  <r>
    <x v="135"/>
    <n v="60"/>
    <x v="1"/>
    <x v="4"/>
    <x v="0"/>
    <s v="Unknown"/>
    <n v="19"/>
    <n v="1002.0675517241378"/>
    <x v="4"/>
    <s v="Middle"/>
    <s v="Normal"/>
    <s v="NO"/>
    <s v="Within Average"/>
    <x v="3"/>
  </r>
  <r>
    <x v="136"/>
    <n v="60"/>
    <x v="1"/>
    <x v="4"/>
    <x v="3"/>
    <s v="Unknown"/>
    <n v="12"/>
    <n v="1002.0675517241378"/>
    <x v="3"/>
    <s v="Middle"/>
    <s v="Normal"/>
    <s v="NO"/>
    <s v="Within Average"/>
    <x v="3"/>
  </r>
  <r>
    <x v="137"/>
    <n v="60"/>
    <x v="1"/>
    <x v="3"/>
    <x v="1"/>
    <s v="Unknown"/>
    <n v="8"/>
    <n v="1002.0675517241378"/>
    <x v="4"/>
    <s v="Middle"/>
    <s v="Normal"/>
    <s v="NO"/>
    <s v="Within Average"/>
    <x v="3"/>
  </r>
  <r>
    <x v="138"/>
    <n v="60"/>
    <x v="0"/>
    <x v="3"/>
    <x v="4"/>
    <d v="2024-07-10T00:00:00"/>
    <n v="12"/>
    <n v="1002.0675517241378"/>
    <x v="4"/>
    <s v="Middle"/>
    <s v="Normal"/>
    <s v="NO"/>
    <s v="Within Average"/>
    <x v="6"/>
  </r>
  <r>
    <x v="139"/>
    <n v="60"/>
    <x v="2"/>
    <x v="6"/>
    <x v="3"/>
    <d v="2024-04-06T00:00:00"/>
    <n v="12"/>
    <n v="1002.0675517241378"/>
    <x v="3"/>
    <s v="Middle"/>
    <s v="Normal"/>
    <s v="NO"/>
    <s v="Within Average"/>
    <x v="11"/>
  </r>
  <r>
    <x v="140"/>
    <n v="60"/>
    <x v="2"/>
    <x v="6"/>
    <x v="5"/>
    <d v="2024-02-20T00:00:00"/>
    <n v="12"/>
    <n v="958.84"/>
    <x v="3"/>
    <s v="Middle"/>
    <s v="Normal"/>
    <s v="NO"/>
    <s v="Within Average"/>
    <x v="9"/>
  </r>
  <r>
    <x v="141"/>
    <n v="59"/>
    <x v="1"/>
    <x v="1"/>
    <x v="5"/>
    <d v="2024-06-06T00:00:00"/>
    <n v="19"/>
    <n v="1002.0675517241378"/>
    <x v="1"/>
    <s v="Middle"/>
    <s v="Normal"/>
    <s v="NO"/>
    <s v="Within Average"/>
    <x v="2"/>
  </r>
  <r>
    <x v="142"/>
    <n v="59"/>
    <x v="0"/>
    <x v="3"/>
    <x v="3"/>
    <d v="2024-12-22T00:00:00"/>
    <n v="12"/>
    <n v="473.25"/>
    <x v="0"/>
    <s v="Middle"/>
    <s v="Normal"/>
    <s v="NO"/>
    <s v="Within Average"/>
    <x v="0"/>
  </r>
  <r>
    <x v="143"/>
    <n v="59"/>
    <x v="1"/>
    <x v="0"/>
    <x v="1"/>
    <d v="2024-08-05T00:00:00"/>
    <n v="12"/>
    <n v="1002.0675517241378"/>
    <x v="0"/>
    <s v="Middle"/>
    <s v="Normal"/>
    <s v="NO"/>
    <s v="Within Average"/>
    <x v="5"/>
  </r>
  <r>
    <x v="144"/>
    <n v="59"/>
    <x v="1"/>
    <x v="6"/>
    <x v="2"/>
    <d v="2024-03-07T00:00:00"/>
    <n v="1"/>
    <n v="1002.0675517241378"/>
    <x v="2"/>
    <s v="Middle"/>
    <s v="Normal"/>
    <s v="NO"/>
    <s v="Within Average"/>
    <x v="4"/>
  </r>
  <r>
    <x v="145"/>
    <n v="59"/>
    <x v="2"/>
    <x v="0"/>
    <x v="2"/>
    <s v="Unknown"/>
    <n v="12"/>
    <n v="851.73"/>
    <x v="1"/>
    <s v="Middle"/>
    <s v="Normal"/>
    <s v="NO"/>
    <s v="Within Average"/>
    <x v="3"/>
  </r>
  <r>
    <x v="146"/>
    <n v="59"/>
    <x v="2"/>
    <x v="0"/>
    <x v="1"/>
    <s v="Unknown"/>
    <n v="12"/>
    <n v="1002.0675517241378"/>
    <x v="3"/>
    <s v="Middle"/>
    <s v="Normal"/>
    <s v="NO"/>
    <s v="Within Average"/>
    <x v="3"/>
  </r>
  <r>
    <x v="147"/>
    <n v="58"/>
    <x v="2"/>
    <x v="2"/>
    <x v="5"/>
    <d v="2024-01-29T00:00:00"/>
    <n v="16"/>
    <n v="1002.0675517241378"/>
    <x v="4"/>
    <s v="Middle"/>
    <s v="Normal"/>
    <s v="NO"/>
    <s v="Within Average"/>
    <x v="7"/>
  </r>
  <r>
    <x v="148"/>
    <n v="58"/>
    <x v="0"/>
    <x v="3"/>
    <x v="1"/>
    <d v="2024-07-29T00:00:00"/>
    <n v="12"/>
    <n v="1702.58"/>
    <x v="1"/>
    <s v="Middle"/>
    <s v="High Cost"/>
    <s v="NO"/>
    <s v="Above Average"/>
    <x v="6"/>
  </r>
  <r>
    <x v="149"/>
    <n v="58"/>
    <x v="0"/>
    <x v="5"/>
    <x v="5"/>
    <d v="2024-02-15T00:00:00"/>
    <n v="10"/>
    <n v="605.35"/>
    <x v="3"/>
    <s v="Middle"/>
    <s v="Normal"/>
    <s v="NO"/>
    <s v="Within Average"/>
    <x v="9"/>
  </r>
  <r>
    <x v="150"/>
    <n v="58"/>
    <x v="0"/>
    <x v="0"/>
    <x v="3"/>
    <d v="2024-10-02T00:00:00"/>
    <n v="12"/>
    <n v="1002.0675517241378"/>
    <x v="3"/>
    <s v="Middle"/>
    <s v="Normal"/>
    <s v="NO"/>
    <s v="Within Average"/>
    <x v="10"/>
  </r>
  <r>
    <x v="151"/>
    <n v="57"/>
    <x v="1"/>
    <x v="1"/>
    <x v="0"/>
    <s v="Unknown"/>
    <n v="12"/>
    <n v="1715.89"/>
    <x v="0"/>
    <s v="Middle"/>
    <s v="High Cost"/>
    <s v="NO"/>
    <s v="Above Average"/>
    <x v="3"/>
  </r>
  <r>
    <x v="152"/>
    <n v="57"/>
    <x v="1"/>
    <x v="0"/>
    <x v="3"/>
    <s v="Unknown"/>
    <n v="12"/>
    <n v="1002.0675517241378"/>
    <x v="3"/>
    <s v="Middle"/>
    <s v="Normal"/>
    <s v="NO"/>
    <s v="Within Average"/>
    <x v="3"/>
  </r>
  <r>
    <x v="153"/>
    <n v="57"/>
    <x v="1"/>
    <x v="4"/>
    <x v="3"/>
    <s v="Unknown"/>
    <n v="18"/>
    <n v="1002.0675517241378"/>
    <x v="1"/>
    <s v="Middle"/>
    <s v="Normal"/>
    <s v="NO"/>
    <s v="Within Average"/>
    <x v="3"/>
  </r>
  <r>
    <x v="154"/>
    <n v="57"/>
    <x v="0"/>
    <x v="2"/>
    <x v="3"/>
    <d v="2024-07-24T00:00:00"/>
    <n v="13"/>
    <n v="1002.0675517241378"/>
    <x v="4"/>
    <s v="Middle"/>
    <s v="Normal"/>
    <s v="NO"/>
    <s v="Within Average"/>
    <x v="6"/>
  </r>
  <r>
    <x v="155"/>
    <n v="57"/>
    <x v="2"/>
    <x v="0"/>
    <x v="2"/>
    <d v="2024-08-02T00:00:00"/>
    <n v="12"/>
    <n v="568.76"/>
    <x v="1"/>
    <s v="Middle"/>
    <s v="Normal"/>
    <s v="NO"/>
    <s v="Within Average"/>
    <x v="5"/>
  </r>
  <r>
    <x v="156"/>
    <n v="57"/>
    <x v="1"/>
    <x v="2"/>
    <x v="4"/>
    <d v="2024-03-09T00:00:00"/>
    <n v="4"/>
    <n v="1002.0675517241378"/>
    <x v="3"/>
    <s v="Middle"/>
    <s v="Normal"/>
    <s v="NO"/>
    <s v="Within Average"/>
    <x v="4"/>
  </r>
  <r>
    <x v="157"/>
    <n v="57"/>
    <x v="0"/>
    <x v="1"/>
    <x v="0"/>
    <d v="2024-02-16T00:00:00"/>
    <n v="8"/>
    <n v="1002.0675517241378"/>
    <x v="3"/>
    <s v="Middle"/>
    <s v="Normal"/>
    <s v="NO"/>
    <s v="Within Average"/>
    <x v="9"/>
  </r>
  <r>
    <x v="158"/>
    <n v="57"/>
    <x v="1"/>
    <x v="2"/>
    <x v="2"/>
    <d v="2024-11-17T00:00:00"/>
    <n v="12"/>
    <n v="529.02"/>
    <x v="2"/>
    <s v="Middle"/>
    <s v="Normal"/>
    <s v="NO"/>
    <s v="Within Average"/>
    <x v="1"/>
  </r>
  <r>
    <x v="159"/>
    <n v="57"/>
    <x v="0"/>
    <x v="7"/>
    <x v="3"/>
    <d v="2024-09-08T00:00:00"/>
    <n v="12"/>
    <n v="1955.27"/>
    <x v="3"/>
    <s v="Middle"/>
    <s v="High Cost"/>
    <s v="NO"/>
    <s v="Above Average"/>
    <x v="12"/>
  </r>
  <r>
    <x v="160"/>
    <n v="57"/>
    <x v="2"/>
    <x v="3"/>
    <x v="0"/>
    <s v="Unknown"/>
    <n v="12"/>
    <n v="528.16999999999996"/>
    <x v="3"/>
    <s v="Middle"/>
    <s v="Normal"/>
    <s v="NO"/>
    <s v="Within Average"/>
    <x v="3"/>
  </r>
  <r>
    <x v="161"/>
    <n v="57"/>
    <x v="2"/>
    <x v="1"/>
    <x v="4"/>
    <d v="2024-08-18T00:00:00"/>
    <n v="12"/>
    <n v="1002.0675517241378"/>
    <x v="1"/>
    <s v="Middle"/>
    <s v="Normal"/>
    <s v="NO"/>
    <s v="Within Average"/>
    <x v="5"/>
  </r>
  <r>
    <x v="162"/>
    <n v="57"/>
    <x v="0"/>
    <x v="0"/>
    <x v="3"/>
    <d v="2024-01-11T00:00:00"/>
    <n v="12"/>
    <n v="1002.0675517241378"/>
    <x v="0"/>
    <s v="Middle"/>
    <s v="Normal"/>
    <s v="NO"/>
    <s v="Within Average"/>
    <x v="7"/>
  </r>
  <r>
    <x v="163"/>
    <n v="57"/>
    <x v="2"/>
    <x v="1"/>
    <x v="3"/>
    <d v="2024-01-23T00:00:00"/>
    <n v="12"/>
    <n v="1382.89"/>
    <x v="4"/>
    <s v="Middle"/>
    <s v="High Cost"/>
    <s v="NO"/>
    <s v="Above Average"/>
    <x v="7"/>
  </r>
  <r>
    <x v="164"/>
    <n v="57"/>
    <x v="2"/>
    <x v="0"/>
    <x v="4"/>
    <s v="Unknown"/>
    <n v="18"/>
    <n v="1002.0675517241378"/>
    <x v="1"/>
    <s v="Middle"/>
    <s v="Normal"/>
    <s v="NO"/>
    <s v="Within Average"/>
    <x v="3"/>
  </r>
  <r>
    <x v="165"/>
    <n v="57"/>
    <x v="1"/>
    <x v="6"/>
    <x v="4"/>
    <d v="2024-09-11T00:00:00"/>
    <n v="12"/>
    <n v="1002.0675517241378"/>
    <x v="4"/>
    <s v="Middle"/>
    <s v="Normal"/>
    <s v="NO"/>
    <s v="Within Average"/>
    <x v="12"/>
  </r>
  <r>
    <x v="166"/>
    <n v="57"/>
    <x v="0"/>
    <x v="2"/>
    <x v="2"/>
    <d v="2024-09-12T00:00:00"/>
    <n v="12"/>
    <n v="1002.0675517241378"/>
    <x v="0"/>
    <s v="Middle"/>
    <s v="Normal"/>
    <s v="NO"/>
    <s v="Within Average"/>
    <x v="12"/>
  </r>
  <r>
    <x v="167"/>
    <n v="57"/>
    <x v="2"/>
    <x v="0"/>
    <x v="3"/>
    <d v="2024-04-19T00:00:00"/>
    <n v="12"/>
    <n v="1002.0675517241378"/>
    <x v="2"/>
    <s v="Middle"/>
    <s v="Normal"/>
    <s v="NO"/>
    <s v="Within Average"/>
    <x v="11"/>
  </r>
  <r>
    <x v="168"/>
    <n v="57"/>
    <x v="0"/>
    <x v="5"/>
    <x v="4"/>
    <s v="Unknown"/>
    <n v="12"/>
    <n v="1002.0675517241378"/>
    <x v="0"/>
    <s v="Middle"/>
    <s v="Normal"/>
    <s v="NO"/>
    <s v="Within Average"/>
    <x v="3"/>
  </r>
  <r>
    <x v="169"/>
    <n v="57"/>
    <x v="2"/>
    <x v="7"/>
    <x v="0"/>
    <d v="2024-04-01T00:00:00"/>
    <n v="12"/>
    <n v="110.9"/>
    <x v="3"/>
    <s v="Middle"/>
    <s v="Normal"/>
    <s v="NO"/>
    <s v="Within Average"/>
    <x v="11"/>
  </r>
  <r>
    <x v="170"/>
    <n v="57"/>
    <x v="0"/>
    <x v="7"/>
    <x v="4"/>
    <d v="2024-02-14T00:00:00"/>
    <n v="13"/>
    <n v="922.99"/>
    <x v="3"/>
    <s v="Middle"/>
    <s v="Normal"/>
    <s v="NO"/>
    <s v="Within Average"/>
    <x v="9"/>
  </r>
  <r>
    <x v="171"/>
    <n v="57"/>
    <x v="0"/>
    <x v="0"/>
    <x v="2"/>
    <d v="2024-01-20T00:00:00"/>
    <n v="12"/>
    <n v="1002.0675517241378"/>
    <x v="3"/>
    <s v="Middle"/>
    <s v="Normal"/>
    <s v="NO"/>
    <s v="Within Average"/>
    <x v="7"/>
  </r>
  <r>
    <x v="172"/>
    <n v="57"/>
    <x v="0"/>
    <x v="1"/>
    <x v="3"/>
    <d v="2024-09-29T00:00:00"/>
    <n v="12"/>
    <n v="1002.0675517241378"/>
    <x v="4"/>
    <s v="Middle"/>
    <s v="Normal"/>
    <s v="NO"/>
    <s v="Within Average"/>
    <x v="12"/>
  </r>
  <r>
    <x v="173"/>
    <n v="57"/>
    <x v="2"/>
    <x v="4"/>
    <x v="2"/>
    <d v="2024-09-26T00:00:00"/>
    <n v="12"/>
    <n v="1002.0675517241378"/>
    <x v="2"/>
    <s v="Middle"/>
    <s v="Normal"/>
    <s v="NO"/>
    <s v="Within Average"/>
    <x v="12"/>
  </r>
  <r>
    <x v="174"/>
    <n v="57"/>
    <x v="2"/>
    <x v="1"/>
    <x v="3"/>
    <d v="2024-07-12T00:00:00"/>
    <n v="12"/>
    <n v="1002.0675517241378"/>
    <x v="1"/>
    <s v="Middle"/>
    <s v="Normal"/>
    <s v="NO"/>
    <s v="Within Average"/>
    <x v="6"/>
  </r>
  <r>
    <x v="175"/>
    <n v="57"/>
    <x v="2"/>
    <x v="5"/>
    <x v="4"/>
    <d v="2024-10-02T00:00:00"/>
    <n v="12"/>
    <n v="1002.0675517241378"/>
    <x v="1"/>
    <s v="Middle"/>
    <s v="Normal"/>
    <s v="NO"/>
    <s v="Within Average"/>
    <x v="10"/>
  </r>
  <r>
    <x v="176"/>
    <n v="57"/>
    <x v="0"/>
    <x v="6"/>
    <x v="1"/>
    <s v="Unknown"/>
    <n v="12"/>
    <n v="293.74"/>
    <x v="0"/>
    <s v="Middle"/>
    <s v="Normal"/>
    <s v="NO"/>
    <s v="Within Average"/>
    <x v="3"/>
  </r>
  <r>
    <x v="177"/>
    <n v="57"/>
    <x v="1"/>
    <x v="2"/>
    <x v="1"/>
    <d v="2024-08-11T00:00:00"/>
    <n v="12"/>
    <n v="1002.0675517241378"/>
    <x v="2"/>
    <s v="Middle"/>
    <s v="Normal"/>
    <s v="NO"/>
    <s v="Within Average"/>
    <x v="5"/>
  </r>
  <r>
    <x v="178"/>
    <n v="57"/>
    <x v="0"/>
    <x v="2"/>
    <x v="2"/>
    <d v="2024-03-08T00:00:00"/>
    <n v="13"/>
    <n v="1002.0675517241378"/>
    <x v="1"/>
    <s v="Middle"/>
    <s v="Normal"/>
    <s v="NO"/>
    <s v="Within Average"/>
    <x v="4"/>
  </r>
  <r>
    <x v="179"/>
    <n v="57"/>
    <x v="1"/>
    <x v="2"/>
    <x v="3"/>
    <d v="2024-02-19T00:00:00"/>
    <n v="12"/>
    <n v="1002.0675517241378"/>
    <x v="1"/>
    <s v="Middle"/>
    <s v="Normal"/>
    <s v="NO"/>
    <s v="Within Average"/>
    <x v="9"/>
  </r>
  <r>
    <x v="180"/>
    <n v="57"/>
    <x v="2"/>
    <x v="2"/>
    <x v="0"/>
    <d v="2024-01-20T00:00:00"/>
    <n v="12"/>
    <n v="983.3"/>
    <x v="0"/>
    <s v="Middle"/>
    <s v="Normal"/>
    <s v="NO"/>
    <s v="Within Average"/>
    <x v="7"/>
  </r>
  <r>
    <x v="181"/>
    <n v="57"/>
    <x v="2"/>
    <x v="3"/>
    <x v="2"/>
    <d v="2024-12-10T00:00:00"/>
    <n v="2"/>
    <n v="1002.0675517241378"/>
    <x v="2"/>
    <s v="Middle"/>
    <s v="Normal"/>
    <s v="NO"/>
    <s v="Within Average"/>
    <x v="0"/>
  </r>
  <r>
    <x v="182"/>
    <n v="57"/>
    <x v="2"/>
    <x v="5"/>
    <x v="1"/>
    <d v="2024-07-26T00:00:00"/>
    <n v="6"/>
    <n v="1044.6199999999999"/>
    <x v="0"/>
    <s v="Middle"/>
    <s v="Normal"/>
    <s v="NO"/>
    <s v="Above Average"/>
    <x v="6"/>
  </r>
  <r>
    <x v="183"/>
    <n v="57"/>
    <x v="0"/>
    <x v="4"/>
    <x v="5"/>
    <d v="2024-02-06T00:00:00"/>
    <n v="16"/>
    <n v="1002.0675517241378"/>
    <x v="4"/>
    <s v="Middle"/>
    <s v="Normal"/>
    <s v="NO"/>
    <s v="Within Average"/>
    <x v="9"/>
  </r>
  <r>
    <x v="184"/>
    <n v="57"/>
    <x v="2"/>
    <x v="5"/>
    <x v="3"/>
    <s v="Unknown"/>
    <n v="12"/>
    <n v="1002.0675517241378"/>
    <x v="1"/>
    <s v="Middle"/>
    <s v="Normal"/>
    <s v="NO"/>
    <s v="Within Average"/>
    <x v="3"/>
  </r>
  <r>
    <x v="185"/>
    <n v="57"/>
    <x v="2"/>
    <x v="0"/>
    <x v="5"/>
    <d v="2024-05-01T00:00:00"/>
    <n v="12"/>
    <n v="138.9"/>
    <x v="0"/>
    <s v="Middle"/>
    <s v="Normal"/>
    <s v="NO"/>
    <s v="Within Average"/>
    <x v="8"/>
  </r>
  <r>
    <x v="186"/>
    <n v="57"/>
    <x v="2"/>
    <x v="7"/>
    <x v="3"/>
    <d v="2024-10-08T00:00:00"/>
    <n v="12"/>
    <n v="1153.24"/>
    <x v="3"/>
    <s v="Middle"/>
    <s v="Normal"/>
    <s v="NO"/>
    <s v="Above Average"/>
    <x v="10"/>
  </r>
  <r>
    <x v="187"/>
    <n v="57"/>
    <x v="2"/>
    <x v="0"/>
    <x v="3"/>
    <d v="2024-06-08T00:00:00"/>
    <n v="12"/>
    <n v="1002.0675517241378"/>
    <x v="2"/>
    <s v="Middle"/>
    <s v="Normal"/>
    <s v="NO"/>
    <s v="Within Average"/>
    <x v="2"/>
  </r>
  <r>
    <x v="188"/>
    <n v="57"/>
    <x v="2"/>
    <x v="3"/>
    <x v="3"/>
    <d v="2024-01-22T00:00:00"/>
    <n v="13"/>
    <n v="1002.0675517241378"/>
    <x v="3"/>
    <s v="Middle"/>
    <s v="Normal"/>
    <s v="NO"/>
    <s v="Within Average"/>
    <x v="7"/>
  </r>
  <r>
    <x v="189"/>
    <n v="57"/>
    <x v="0"/>
    <x v="2"/>
    <x v="3"/>
    <s v="Unknown"/>
    <n v="8"/>
    <n v="1002.0675517241378"/>
    <x v="4"/>
    <s v="Middle"/>
    <s v="Normal"/>
    <s v="NO"/>
    <s v="Within Average"/>
    <x v="3"/>
  </r>
  <r>
    <x v="190"/>
    <n v="57"/>
    <x v="2"/>
    <x v="6"/>
    <x v="1"/>
    <d v="2024-11-23T00:00:00"/>
    <n v="12"/>
    <n v="1002.0675517241378"/>
    <x v="2"/>
    <s v="Middle"/>
    <s v="Normal"/>
    <s v="NO"/>
    <s v="Within Average"/>
    <x v="1"/>
  </r>
  <r>
    <x v="191"/>
    <n v="57"/>
    <x v="1"/>
    <x v="2"/>
    <x v="5"/>
    <d v="2024-06-07T00:00:00"/>
    <n v="12"/>
    <n v="1002.0675517241378"/>
    <x v="3"/>
    <s v="Middle"/>
    <s v="Normal"/>
    <s v="NO"/>
    <s v="Within Average"/>
    <x v="2"/>
  </r>
  <r>
    <x v="192"/>
    <n v="57"/>
    <x v="1"/>
    <x v="2"/>
    <x v="4"/>
    <d v="2024-02-22T00:00:00"/>
    <n v="9"/>
    <n v="1002.0675517241378"/>
    <x v="0"/>
    <s v="Middle"/>
    <s v="Normal"/>
    <s v="NO"/>
    <s v="Within Average"/>
    <x v="9"/>
  </r>
  <r>
    <x v="193"/>
    <n v="57"/>
    <x v="0"/>
    <x v="2"/>
    <x v="4"/>
    <d v="2024-04-17T00:00:00"/>
    <n v="12"/>
    <n v="301.39"/>
    <x v="0"/>
    <s v="Middle"/>
    <s v="Normal"/>
    <s v="NO"/>
    <s v="Within Average"/>
    <x v="11"/>
  </r>
  <r>
    <x v="194"/>
    <n v="57"/>
    <x v="2"/>
    <x v="7"/>
    <x v="0"/>
    <d v="2024-07-18T00:00:00"/>
    <n v="12"/>
    <n v="1002.0675517241378"/>
    <x v="0"/>
    <s v="Middle"/>
    <s v="Normal"/>
    <s v="NO"/>
    <s v="Within Average"/>
    <x v="6"/>
  </r>
  <r>
    <x v="195"/>
    <n v="57"/>
    <x v="1"/>
    <x v="1"/>
    <x v="4"/>
    <d v="2024-10-24T00:00:00"/>
    <n v="11"/>
    <n v="1002.0675517241378"/>
    <x v="1"/>
    <s v="Middle"/>
    <s v="Normal"/>
    <s v="NO"/>
    <s v="Within Average"/>
    <x v="10"/>
  </r>
  <r>
    <x v="196"/>
    <n v="57"/>
    <x v="2"/>
    <x v="6"/>
    <x v="1"/>
    <d v="2024-02-08T00:00:00"/>
    <n v="20"/>
    <n v="1002.0675517241378"/>
    <x v="0"/>
    <s v="Middle"/>
    <s v="Normal"/>
    <s v="NO"/>
    <s v="Within Average"/>
    <x v="9"/>
  </r>
  <r>
    <x v="197"/>
    <n v="57"/>
    <x v="0"/>
    <x v="7"/>
    <x v="5"/>
    <d v="2024-07-06T00:00:00"/>
    <n v="12"/>
    <n v="1002.0675517241378"/>
    <x v="3"/>
    <s v="Middle"/>
    <s v="Normal"/>
    <s v="NO"/>
    <s v="Within Average"/>
    <x v="6"/>
  </r>
  <r>
    <x v="198"/>
    <n v="57"/>
    <x v="2"/>
    <x v="5"/>
    <x v="1"/>
    <d v="2024-06-20T00:00:00"/>
    <n v="12"/>
    <n v="1002.0675517241378"/>
    <x v="4"/>
    <s v="Middle"/>
    <s v="Normal"/>
    <s v="NO"/>
    <s v="Within Average"/>
    <x v="2"/>
  </r>
  <r>
    <x v="199"/>
    <n v="57"/>
    <x v="0"/>
    <x v="1"/>
    <x v="3"/>
    <d v="2024-09-24T00:00:00"/>
    <n v="12"/>
    <n v="1002.0675517241378"/>
    <x v="1"/>
    <s v="Middle"/>
    <s v="Normal"/>
    <s v="NO"/>
    <s v="Within Average"/>
    <x v="12"/>
  </r>
  <r>
    <x v="200"/>
    <n v="57"/>
    <x v="0"/>
    <x v="0"/>
    <x v="4"/>
    <d v="2024-01-31T00:00:00"/>
    <n v="12"/>
    <n v="1310.04"/>
    <x v="1"/>
    <s v="Middle"/>
    <s v="High Cost"/>
    <s v="NO"/>
    <s v="Above Average"/>
    <x v="7"/>
  </r>
  <r>
    <x v="201"/>
    <n v="57"/>
    <x v="0"/>
    <x v="3"/>
    <x v="3"/>
    <d v="2024-07-25T00:00:00"/>
    <n v="12"/>
    <n v="1002.0675517241378"/>
    <x v="3"/>
    <s v="Middle"/>
    <s v="Normal"/>
    <s v="NO"/>
    <s v="Within Average"/>
    <x v="6"/>
  </r>
  <r>
    <x v="202"/>
    <n v="57"/>
    <x v="2"/>
    <x v="6"/>
    <x v="5"/>
    <d v="2024-08-18T00:00:00"/>
    <n v="12"/>
    <n v="1002.0675517241378"/>
    <x v="2"/>
    <s v="Middle"/>
    <s v="Normal"/>
    <s v="NO"/>
    <s v="Within Average"/>
    <x v="5"/>
  </r>
  <r>
    <x v="203"/>
    <n v="57"/>
    <x v="0"/>
    <x v="6"/>
    <x v="0"/>
    <s v="Unknown"/>
    <n v="18"/>
    <n v="335.28"/>
    <x v="0"/>
    <s v="Middle"/>
    <s v="Normal"/>
    <s v="NO"/>
    <s v="Within Average"/>
    <x v="3"/>
  </r>
  <r>
    <x v="204"/>
    <n v="57"/>
    <x v="0"/>
    <x v="4"/>
    <x v="4"/>
    <d v="2024-04-08T00:00:00"/>
    <n v="7"/>
    <n v="1002.0675517241378"/>
    <x v="1"/>
    <s v="Middle"/>
    <s v="Normal"/>
    <s v="NO"/>
    <s v="Within Average"/>
    <x v="11"/>
  </r>
  <r>
    <x v="205"/>
    <n v="57"/>
    <x v="0"/>
    <x v="1"/>
    <x v="3"/>
    <d v="2024-10-11T00:00:00"/>
    <n v="12"/>
    <n v="185.72"/>
    <x v="1"/>
    <s v="Middle"/>
    <s v="Normal"/>
    <s v="NO"/>
    <s v="Within Average"/>
    <x v="10"/>
  </r>
  <r>
    <x v="206"/>
    <n v="57"/>
    <x v="0"/>
    <x v="0"/>
    <x v="4"/>
    <d v="2024-06-01T00:00:00"/>
    <n v="12"/>
    <n v="210.37"/>
    <x v="0"/>
    <s v="Middle"/>
    <s v="Normal"/>
    <s v="NO"/>
    <s v="Within Average"/>
    <x v="2"/>
  </r>
  <r>
    <x v="207"/>
    <n v="57"/>
    <x v="0"/>
    <x v="0"/>
    <x v="0"/>
    <d v="2024-10-15T00:00:00"/>
    <n v="12"/>
    <n v="1660.69"/>
    <x v="3"/>
    <s v="Middle"/>
    <s v="High Cost"/>
    <s v="NO"/>
    <s v="Above Average"/>
    <x v="10"/>
  </r>
  <r>
    <x v="208"/>
    <n v="57"/>
    <x v="0"/>
    <x v="0"/>
    <x v="0"/>
    <d v="2024-04-02T00:00:00"/>
    <n v="12"/>
    <n v="1201.77"/>
    <x v="4"/>
    <s v="Middle"/>
    <s v="High Cost"/>
    <s v="NO"/>
    <s v="Above Average"/>
    <x v="11"/>
  </r>
  <r>
    <x v="209"/>
    <n v="57"/>
    <x v="0"/>
    <x v="1"/>
    <x v="4"/>
    <d v="2024-07-27T00:00:00"/>
    <n v="12"/>
    <n v="312.55"/>
    <x v="2"/>
    <s v="Middle"/>
    <s v="Normal"/>
    <s v="NO"/>
    <s v="Within Average"/>
    <x v="6"/>
  </r>
  <r>
    <x v="210"/>
    <n v="57"/>
    <x v="2"/>
    <x v="4"/>
    <x v="4"/>
    <s v="Unknown"/>
    <n v="11"/>
    <n v="1002.0675517241378"/>
    <x v="0"/>
    <s v="Middle"/>
    <s v="Normal"/>
    <s v="NO"/>
    <s v="Within Average"/>
    <x v="3"/>
  </r>
  <r>
    <x v="211"/>
    <n v="57"/>
    <x v="1"/>
    <x v="2"/>
    <x v="3"/>
    <d v="2024-10-07T00:00:00"/>
    <n v="12"/>
    <n v="1002.0675517241378"/>
    <x v="3"/>
    <s v="Middle"/>
    <s v="Normal"/>
    <s v="NO"/>
    <s v="Within Average"/>
    <x v="10"/>
  </r>
  <r>
    <x v="212"/>
    <n v="57"/>
    <x v="0"/>
    <x v="7"/>
    <x v="3"/>
    <d v="2024-01-02T00:00:00"/>
    <n v="12"/>
    <n v="1002.0675517241378"/>
    <x v="4"/>
    <s v="Middle"/>
    <s v="Normal"/>
    <s v="NO"/>
    <s v="Within Average"/>
    <x v="7"/>
  </r>
  <r>
    <x v="213"/>
    <n v="57"/>
    <x v="0"/>
    <x v="3"/>
    <x v="3"/>
    <d v="2024-07-16T00:00:00"/>
    <n v="13"/>
    <n v="699.03"/>
    <x v="1"/>
    <s v="Middle"/>
    <s v="Normal"/>
    <s v="NO"/>
    <s v="Within Average"/>
    <x v="6"/>
  </r>
  <r>
    <x v="214"/>
    <n v="57"/>
    <x v="1"/>
    <x v="5"/>
    <x v="5"/>
    <d v="2024-12-09T00:00:00"/>
    <n v="12"/>
    <n v="1002.0675517241378"/>
    <x v="4"/>
    <s v="Middle"/>
    <s v="Normal"/>
    <s v="NO"/>
    <s v="Within Average"/>
    <x v="0"/>
  </r>
  <r>
    <x v="215"/>
    <n v="57"/>
    <x v="1"/>
    <x v="7"/>
    <x v="2"/>
    <d v="2024-12-19T00:00:00"/>
    <n v="12"/>
    <n v="1002.0675517241378"/>
    <x v="1"/>
    <s v="Middle"/>
    <s v="Normal"/>
    <s v="NO"/>
    <s v="Within Average"/>
    <x v="0"/>
  </r>
  <r>
    <x v="216"/>
    <n v="57"/>
    <x v="2"/>
    <x v="0"/>
    <x v="1"/>
    <s v="Unknown"/>
    <n v="12"/>
    <n v="1002.0675517241378"/>
    <x v="4"/>
    <s v="Middle"/>
    <s v="Normal"/>
    <s v="NO"/>
    <s v="Within Average"/>
    <x v="3"/>
  </r>
  <r>
    <x v="217"/>
    <n v="57"/>
    <x v="1"/>
    <x v="4"/>
    <x v="2"/>
    <d v="2024-05-04T00:00:00"/>
    <n v="12"/>
    <n v="1002.0675517241378"/>
    <x v="1"/>
    <s v="Middle"/>
    <s v="Normal"/>
    <s v="NO"/>
    <s v="Within Average"/>
    <x v="8"/>
  </r>
  <r>
    <x v="218"/>
    <n v="57"/>
    <x v="1"/>
    <x v="0"/>
    <x v="3"/>
    <s v="Unknown"/>
    <n v="12"/>
    <n v="1618.3"/>
    <x v="3"/>
    <s v="Middle"/>
    <s v="High Cost"/>
    <s v="NO"/>
    <s v="Above Average"/>
    <x v="3"/>
  </r>
  <r>
    <x v="219"/>
    <n v="57"/>
    <x v="2"/>
    <x v="3"/>
    <x v="0"/>
    <s v="Unknown"/>
    <n v="15"/>
    <n v="1002.0675517241378"/>
    <x v="4"/>
    <s v="Middle"/>
    <s v="Normal"/>
    <s v="NO"/>
    <s v="Within Average"/>
    <x v="3"/>
  </r>
  <r>
    <x v="220"/>
    <n v="57"/>
    <x v="0"/>
    <x v="4"/>
    <x v="0"/>
    <d v="2024-06-20T00:00:00"/>
    <n v="3"/>
    <n v="1002.0675517241378"/>
    <x v="2"/>
    <s v="Middle"/>
    <s v="Normal"/>
    <s v="NO"/>
    <s v="Within Average"/>
    <x v="2"/>
  </r>
  <r>
    <x v="221"/>
    <n v="57"/>
    <x v="0"/>
    <x v="4"/>
    <x v="0"/>
    <d v="2024-12-06T00:00:00"/>
    <n v="12"/>
    <n v="1067.8399999999999"/>
    <x v="0"/>
    <s v="Middle"/>
    <s v="Normal"/>
    <s v="NO"/>
    <s v="Above Average"/>
    <x v="0"/>
  </r>
  <r>
    <x v="222"/>
    <n v="57"/>
    <x v="2"/>
    <x v="0"/>
    <x v="5"/>
    <d v="2024-03-08T00:00:00"/>
    <n v="12"/>
    <n v="1837.64"/>
    <x v="4"/>
    <s v="Middle"/>
    <s v="High Cost"/>
    <s v="NO"/>
    <s v="Above Average"/>
    <x v="4"/>
  </r>
  <r>
    <x v="223"/>
    <n v="57"/>
    <x v="0"/>
    <x v="0"/>
    <x v="4"/>
    <d v="2024-11-14T00:00:00"/>
    <n v="13"/>
    <n v="1002.0675517241378"/>
    <x v="4"/>
    <s v="Middle"/>
    <s v="Normal"/>
    <s v="NO"/>
    <s v="Within Average"/>
    <x v="1"/>
  </r>
  <r>
    <x v="224"/>
    <n v="57"/>
    <x v="0"/>
    <x v="6"/>
    <x v="3"/>
    <d v="2024-01-17T00:00:00"/>
    <n v="12"/>
    <n v="1002.0675517241378"/>
    <x v="3"/>
    <s v="Middle"/>
    <s v="Normal"/>
    <s v="NO"/>
    <s v="Within Average"/>
    <x v="7"/>
  </r>
  <r>
    <x v="225"/>
    <n v="57"/>
    <x v="0"/>
    <x v="7"/>
    <x v="1"/>
    <d v="2024-12-08T00:00:00"/>
    <n v="12"/>
    <n v="1590.62"/>
    <x v="2"/>
    <s v="Middle"/>
    <s v="High Cost"/>
    <s v="NO"/>
    <s v="Above Average"/>
    <x v="0"/>
  </r>
  <r>
    <x v="226"/>
    <n v="57"/>
    <x v="2"/>
    <x v="6"/>
    <x v="1"/>
    <d v="2024-11-07T00:00:00"/>
    <n v="12"/>
    <n v="1457.35"/>
    <x v="1"/>
    <s v="Middle"/>
    <s v="High Cost"/>
    <s v="NO"/>
    <s v="Above Average"/>
    <x v="1"/>
  </r>
  <r>
    <x v="227"/>
    <n v="57"/>
    <x v="2"/>
    <x v="2"/>
    <x v="3"/>
    <s v="Unknown"/>
    <n v="12"/>
    <n v="1002.0675517241378"/>
    <x v="2"/>
    <s v="Middle"/>
    <s v="Normal"/>
    <s v="NO"/>
    <s v="Within Average"/>
    <x v="3"/>
  </r>
  <r>
    <x v="228"/>
    <n v="57"/>
    <x v="0"/>
    <x v="5"/>
    <x v="0"/>
    <s v="Unknown"/>
    <n v="12"/>
    <n v="1500.08"/>
    <x v="2"/>
    <s v="Middle"/>
    <s v="High Cost"/>
    <s v="NO"/>
    <s v="Above Average"/>
    <x v="3"/>
  </r>
  <r>
    <x v="229"/>
    <n v="57"/>
    <x v="2"/>
    <x v="1"/>
    <x v="4"/>
    <d v="2024-05-06T00:00:00"/>
    <n v="12"/>
    <n v="439.14"/>
    <x v="3"/>
    <s v="Middle"/>
    <s v="Normal"/>
    <s v="NO"/>
    <s v="Within Average"/>
    <x v="8"/>
  </r>
  <r>
    <x v="230"/>
    <n v="57"/>
    <x v="2"/>
    <x v="4"/>
    <x v="3"/>
    <d v="2024-09-06T00:00:00"/>
    <n v="12"/>
    <n v="1002.0675517241378"/>
    <x v="0"/>
    <s v="Middle"/>
    <s v="Normal"/>
    <s v="NO"/>
    <s v="Within Average"/>
    <x v="12"/>
  </r>
  <r>
    <x v="231"/>
    <n v="57"/>
    <x v="2"/>
    <x v="6"/>
    <x v="1"/>
    <d v="2024-09-19T00:00:00"/>
    <n v="12"/>
    <n v="242.68"/>
    <x v="1"/>
    <s v="Middle"/>
    <s v="Normal"/>
    <s v="NO"/>
    <s v="Within Average"/>
    <x v="12"/>
  </r>
  <r>
    <x v="232"/>
    <n v="57"/>
    <x v="0"/>
    <x v="2"/>
    <x v="5"/>
    <d v="2024-12-21T00:00:00"/>
    <n v="12"/>
    <n v="1002.0675517241378"/>
    <x v="4"/>
    <s v="Middle"/>
    <s v="Normal"/>
    <s v="NO"/>
    <s v="Within Average"/>
    <x v="0"/>
  </r>
  <r>
    <x v="233"/>
    <n v="57"/>
    <x v="2"/>
    <x v="2"/>
    <x v="0"/>
    <s v="Unknown"/>
    <n v="12"/>
    <n v="1002.0675517241378"/>
    <x v="1"/>
    <s v="Middle"/>
    <s v="Normal"/>
    <s v="NO"/>
    <s v="Within Average"/>
    <x v="3"/>
  </r>
  <r>
    <x v="234"/>
    <n v="57"/>
    <x v="0"/>
    <x v="7"/>
    <x v="4"/>
    <d v="2024-11-18T00:00:00"/>
    <n v="12"/>
    <n v="1002.0675517241378"/>
    <x v="0"/>
    <s v="Middle"/>
    <s v="Normal"/>
    <s v="NO"/>
    <s v="Within Average"/>
    <x v="1"/>
  </r>
  <r>
    <x v="235"/>
    <n v="57"/>
    <x v="1"/>
    <x v="0"/>
    <x v="4"/>
    <d v="2024-04-23T00:00:00"/>
    <n v="12"/>
    <n v="1002.0675517241378"/>
    <x v="3"/>
    <s v="Middle"/>
    <s v="Normal"/>
    <s v="NO"/>
    <s v="Within Average"/>
    <x v="11"/>
  </r>
  <r>
    <x v="236"/>
    <n v="57"/>
    <x v="2"/>
    <x v="3"/>
    <x v="3"/>
    <d v="2024-09-01T00:00:00"/>
    <n v="12"/>
    <n v="1412.36"/>
    <x v="0"/>
    <s v="Middle"/>
    <s v="High Cost"/>
    <s v="NO"/>
    <s v="Above Average"/>
    <x v="12"/>
  </r>
  <r>
    <x v="237"/>
    <n v="57"/>
    <x v="2"/>
    <x v="0"/>
    <x v="3"/>
    <d v="2024-01-28T00:00:00"/>
    <n v="12"/>
    <n v="1002.0675517241378"/>
    <x v="0"/>
    <s v="Middle"/>
    <s v="Normal"/>
    <s v="NO"/>
    <s v="Within Average"/>
    <x v="7"/>
  </r>
  <r>
    <x v="238"/>
    <n v="57"/>
    <x v="2"/>
    <x v="0"/>
    <x v="1"/>
    <d v="2024-10-16T00:00:00"/>
    <n v="12"/>
    <n v="1002.0675517241378"/>
    <x v="1"/>
    <s v="Middle"/>
    <s v="Normal"/>
    <s v="NO"/>
    <s v="Within Average"/>
    <x v="10"/>
  </r>
  <r>
    <x v="239"/>
    <n v="57"/>
    <x v="0"/>
    <x v="5"/>
    <x v="2"/>
    <s v="Unknown"/>
    <n v="12"/>
    <n v="164.71"/>
    <x v="3"/>
    <s v="Middle"/>
    <s v="Normal"/>
    <s v="NO"/>
    <s v="Within Average"/>
    <x v="3"/>
  </r>
  <r>
    <x v="240"/>
    <n v="57"/>
    <x v="1"/>
    <x v="2"/>
    <x v="5"/>
    <d v="2024-12-15T00:00:00"/>
    <n v="12"/>
    <n v="746.38"/>
    <x v="3"/>
    <s v="Middle"/>
    <s v="Normal"/>
    <s v="NO"/>
    <s v="Within Average"/>
    <x v="0"/>
  </r>
  <r>
    <x v="241"/>
    <n v="57"/>
    <x v="0"/>
    <x v="6"/>
    <x v="4"/>
    <d v="2024-01-10T00:00:00"/>
    <n v="12"/>
    <n v="816.61"/>
    <x v="4"/>
    <s v="Middle"/>
    <s v="Normal"/>
    <s v="NO"/>
    <s v="Within Average"/>
    <x v="7"/>
  </r>
  <r>
    <x v="242"/>
    <n v="57"/>
    <x v="0"/>
    <x v="2"/>
    <x v="1"/>
    <d v="2024-10-15T00:00:00"/>
    <n v="12"/>
    <n v="1002.0675517241378"/>
    <x v="3"/>
    <s v="Middle"/>
    <s v="Normal"/>
    <s v="NO"/>
    <s v="Within Average"/>
    <x v="10"/>
  </r>
  <r>
    <x v="243"/>
    <n v="57"/>
    <x v="2"/>
    <x v="1"/>
    <x v="2"/>
    <s v="Unknown"/>
    <n v="10"/>
    <n v="906.8"/>
    <x v="0"/>
    <s v="Middle"/>
    <s v="Normal"/>
    <s v="NO"/>
    <s v="Within Average"/>
    <x v="3"/>
  </r>
  <r>
    <x v="244"/>
    <n v="57"/>
    <x v="2"/>
    <x v="2"/>
    <x v="3"/>
    <d v="2024-01-10T00:00:00"/>
    <n v="19"/>
    <n v="1002.0675517241378"/>
    <x v="0"/>
    <s v="Middle"/>
    <s v="Normal"/>
    <s v="NO"/>
    <s v="Within Average"/>
    <x v="7"/>
  </r>
  <r>
    <x v="245"/>
    <n v="57"/>
    <x v="2"/>
    <x v="6"/>
    <x v="4"/>
    <d v="2024-10-09T00:00:00"/>
    <n v="2"/>
    <n v="1002.0675517241378"/>
    <x v="3"/>
    <s v="Middle"/>
    <s v="Normal"/>
    <s v="NO"/>
    <s v="Within Average"/>
    <x v="10"/>
  </r>
  <r>
    <x v="246"/>
    <n v="57"/>
    <x v="2"/>
    <x v="7"/>
    <x v="5"/>
    <d v="2024-06-07T00:00:00"/>
    <n v="15"/>
    <n v="1777.47"/>
    <x v="4"/>
    <s v="Middle"/>
    <s v="High Cost"/>
    <s v="NO"/>
    <s v="Above Average"/>
    <x v="2"/>
  </r>
  <r>
    <x v="247"/>
    <n v="57"/>
    <x v="2"/>
    <x v="0"/>
    <x v="3"/>
    <d v="2024-07-23T00:00:00"/>
    <n v="12"/>
    <n v="1002.0675517241378"/>
    <x v="3"/>
    <s v="Middle"/>
    <s v="Normal"/>
    <s v="NO"/>
    <s v="Within Average"/>
    <x v="6"/>
  </r>
  <r>
    <x v="248"/>
    <n v="57"/>
    <x v="2"/>
    <x v="4"/>
    <x v="5"/>
    <s v="Unknown"/>
    <n v="12"/>
    <n v="1002.0675517241378"/>
    <x v="0"/>
    <s v="Middle"/>
    <s v="Normal"/>
    <s v="NO"/>
    <s v="Within Average"/>
    <x v="3"/>
  </r>
  <r>
    <x v="249"/>
    <n v="57"/>
    <x v="0"/>
    <x v="7"/>
    <x v="5"/>
    <d v="2024-10-31T00:00:00"/>
    <n v="11"/>
    <n v="1493.6"/>
    <x v="3"/>
    <s v="Middle"/>
    <s v="High Cost"/>
    <s v="NO"/>
    <s v="Above Average"/>
    <x v="10"/>
  </r>
  <r>
    <x v="250"/>
    <n v="57"/>
    <x v="1"/>
    <x v="0"/>
    <x v="3"/>
    <d v="2024-08-11T00:00:00"/>
    <n v="12"/>
    <n v="1002.0675517241378"/>
    <x v="4"/>
    <s v="Middle"/>
    <s v="Normal"/>
    <s v="NO"/>
    <s v="Within Average"/>
    <x v="5"/>
  </r>
  <r>
    <x v="251"/>
    <n v="57"/>
    <x v="1"/>
    <x v="1"/>
    <x v="4"/>
    <d v="2024-08-16T00:00:00"/>
    <n v="12"/>
    <n v="1002.0675517241378"/>
    <x v="2"/>
    <s v="Middle"/>
    <s v="Normal"/>
    <s v="NO"/>
    <s v="Within Average"/>
    <x v="5"/>
  </r>
  <r>
    <x v="252"/>
    <n v="57"/>
    <x v="2"/>
    <x v="2"/>
    <x v="0"/>
    <d v="2024-06-09T00:00:00"/>
    <n v="12"/>
    <n v="828.11"/>
    <x v="3"/>
    <s v="Middle"/>
    <s v="Normal"/>
    <s v="NO"/>
    <s v="Within Average"/>
    <x v="2"/>
  </r>
  <r>
    <x v="253"/>
    <n v="57"/>
    <x v="2"/>
    <x v="7"/>
    <x v="4"/>
    <d v="2024-02-28T00:00:00"/>
    <n v="12"/>
    <n v="167.05"/>
    <x v="2"/>
    <s v="Middle"/>
    <s v="Normal"/>
    <s v="NO"/>
    <s v="Within Average"/>
    <x v="9"/>
  </r>
  <r>
    <x v="254"/>
    <n v="57"/>
    <x v="2"/>
    <x v="6"/>
    <x v="3"/>
    <d v="2024-05-03T00:00:00"/>
    <n v="12"/>
    <n v="1946.51"/>
    <x v="0"/>
    <s v="Middle"/>
    <s v="High Cost"/>
    <s v="NO"/>
    <s v="Above Average"/>
    <x v="8"/>
  </r>
  <r>
    <x v="255"/>
    <n v="57"/>
    <x v="2"/>
    <x v="3"/>
    <x v="4"/>
    <d v="2024-09-29T00:00:00"/>
    <n v="12"/>
    <n v="1002.0675517241378"/>
    <x v="0"/>
    <s v="Middle"/>
    <s v="Normal"/>
    <s v="NO"/>
    <s v="Within Average"/>
    <x v="12"/>
  </r>
  <r>
    <x v="256"/>
    <n v="57"/>
    <x v="2"/>
    <x v="4"/>
    <x v="2"/>
    <d v="2024-06-25T00:00:00"/>
    <n v="7"/>
    <n v="1002.0675517241378"/>
    <x v="1"/>
    <s v="Middle"/>
    <s v="Normal"/>
    <s v="NO"/>
    <s v="Within Average"/>
    <x v="2"/>
  </r>
  <r>
    <x v="257"/>
    <n v="57"/>
    <x v="0"/>
    <x v="4"/>
    <x v="5"/>
    <d v="2024-11-03T00:00:00"/>
    <n v="12"/>
    <n v="1002.0675517241378"/>
    <x v="1"/>
    <s v="Middle"/>
    <s v="Normal"/>
    <s v="NO"/>
    <s v="Within Average"/>
    <x v="1"/>
  </r>
  <r>
    <x v="258"/>
    <n v="57"/>
    <x v="0"/>
    <x v="0"/>
    <x v="1"/>
    <d v="2024-01-12T00:00:00"/>
    <n v="12"/>
    <n v="1002.0675517241378"/>
    <x v="4"/>
    <s v="Middle"/>
    <s v="Normal"/>
    <s v="NO"/>
    <s v="Within Average"/>
    <x v="7"/>
  </r>
  <r>
    <x v="259"/>
    <n v="57"/>
    <x v="0"/>
    <x v="5"/>
    <x v="1"/>
    <d v="2024-08-09T00:00:00"/>
    <n v="12"/>
    <n v="255.63"/>
    <x v="2"/>
    <s v="Middle"/>
    <s v="Normal"/>
    <s v="NO"/>
    <s v="Within Average"/>
    <x v="5"/>
  </r>
  <r>
    <x v="260"/>
    <n v="57"/>
    <x v="2"/>
    <x v="6"/>
    <x v="5"/>
    <d v="2024-04-17T00:00:00"/>
    <n v="12"/>
    <n v="1002.0675517241378"/>
    <x v="4"/>
    <s v="Middle"/>
    <s v="Normal"/>
    <s v="NO"/>
    <s v="Within Average"/>
    <x v="11"/>
  </r>
  <r>
    <x v="261"/>
    <n v="57"/>
    <x v="0"/>
    <x v="0"/>
    <x v="5"/>
    <d v="2024-02-26T00:00:00"/>
    <n v="12"/>
    <n v="1002.0675517241378"/>
    <x v="3"/>
    <s v="Middle"/>
    <s v="Normal"/>
    <s v="NO"/>
    <s v="Within Average"/>
    <x v="9"/>
  </r>
  <r>
    <x v="262"/>
    <n v="57"/>
    <x v="0"/>
    <x v="7"/>
    <x v="3"/>
    <d v="2024-05-06T00:00:00"/>
    <n v="15"/>
    <n v="1002.0675517241378"/>
    <x v="1"/>
    <s v="Middle"/>
    <s v="Normal"/>
    <s v="NO"/>
    <s v="Within Average"/>
    <x v="8"/>
  </r>
  <r>
    <x v="263"/>
    <n v="57"/>
    <x v="0"/>
    <x v="2"/>
    <x v="0"/>
    <d v="2024-02-10T00:00:00"/>
    <n v="18"/>
    <n v="1002.0675517241378"/>
    <x v="2"/>
    <s v="Middle"/>
    <s v="Normal"/>
    <s v="NO"/>
    <s v="Within Average"/>
    <x v="9"/>
  </r>
  <r>
    <x v="264"/>
    <n v="57"/>
    <x v="2"/>
    <x v="0"/>
    <x v="2"/>
    <d v="2024-02-19T00:00:00"/>
    <n v="12"/>
    <n v="1002.0675517241378"/>
    <x v="4"/>
    <s v="Middle"/>
    <s v="Normal"/>
    <s v="NO"/>
    <s v="Within Average"/>
    <x v="9"/>
  </r>
  <r>
    <x v="265"/>
    <n v="57"/>
    <x v="0"/>
    <x v="7"/>
    <x v="2"/>
    <d v="2024-07-02T00:00:00"/>
    <n v="15"/>
    <n v="1002.0675517241378"/>
    <x v="4"/>
    <s v="Middle"/>
    <s v="Normal"/>
    <s v="NO"/>
    <s v="Within Average"/>
    <x v="6"/>
  </r>
  <r>
    <x v="266"/>
    <n v="57"/>
    <x v="1"/>
    <x v="7"/>
    <x v="4"/>
    <d v="2024-04-24T00:00:00"/>
    <n v="12"/>
    <n v="1002.0675517241378"/>
    <x v="0"/>
    <s v="Middle"/>
    <s v="Normal"/>
    <s v="NO"/>
    <s v="Within Average"/>
    <x v="11"/>
  </r>
  <r>
    <x v="267"/>
    <n v="57"/>
    <x v="0"/>
    <x v="2"/>
    <x v="5"/>
    <d v="2024-11-27T00:00:00"/>
    <n v="12"/>
    <n v="1161.52"/>
    <x v="0"/>
    <s v="Middle"/>
    <s v="Normal"/>
    <s v="NO"/>
    <s v="Above Average"/>
    <x v="1"/>
  </r>
  <r>
    <x v="268"/>
    <n v="57"/>
    <x v="0"/>
    <x v="0"/>
    <x v="0"/>
    <d v="2024-03-17T00:00:00"/>
    <n v="10"/>
    <n v="1002.0675517241378"/>
    <x v="1"/>
    <s v="Middle"/>
    <s v="Normal"/>
    <s v="NO"/>
    <s v="Within Average"/>
    <x v="4"/>
  </r>
  <r>
    <x v="269"/>
    <n v="57"/>
    <x v="2"/>
    <x v="0"/>
    <x v="0"/>
    <d v="2024-11-11T00:00:00"/>
    <n v="18"/>
    <n v="1002.0675517241378"/>
    <x v="4"/>
    <s v="Middle"/>
    <s v="Normal"/>
    <s v="NO"/>
    <s v="Within Average"/>
    <x v="1"/>
  </r>
  <r>
    <x v="270"/>
    <n v="57"/>
    <x v="2"/>
    <x v="0"/>
    <x v="3"/>
    <d v="2024-12-16T00:00:00"/>
    <n v="12"/>
    <n v="896.28"/>
    <x v="0"/>
    <s v="Middle"/>
    <s v="Normal"/>
    <s v="NO"/>
    <s v="Within Average"/>
    <x v="0"/>
  </r>
  <r>
    <x v="271"/>
    <n v="57"/>
    <x v="1"/>
    <x v="6"/>
    <x v="4"/>
    <d v="2024-07-12T00:00:00"/>
    <n v="12"/>
    <n v="1002.0675517241378"/>
    <x v="4"/>
    <s v="Middle"/>
    <s v="Normal"/>
    <s v="NO"/>
    <s v="Within Average"/>
    <x v="6"/>
  </r>
  <r>
    <x v="272"/>
    <n v="57"/>
    <x v="1"/>
    <x v="0"/>
    <x v="5"/>
    <d v="2024-06-16T00:00:00"/>
    <n v="16"/>
    <n v="1002.0675517241378"/>
    <x v="0"/>
    <s v="Middle"/>
    <s v="Normal"/>
    <s v="NO"/>
    <s v="Within Average"/>
    <x v="2"/>
  </r>
  <r>
    <x v="273"/>
    <n v="57"/>
    <x v="0"/>
    <x v="5"/>
    <x v="4"/>
    <d v="2024-07-12T00:00:00"/>
    <n v="12"/>
    <n v="1819.82"/>
    <x v="1"/>
    <s v="Middle"/>
    <s v="High Cost"/>
    <s v="NO"/>
    <s v="Above Average"/>
    <x v="6"/>
  </r>
  <r>
    <x v="274"/>
    <n v="57"/>
    <x v="1"/>
    <x v="3"/>
    <x v="3"/>
    <s v="Unknown"/>
    <n v="4"/>
    <n v="1576.8"/>
    <x v="3"/>
    <s v="Middle"/>
    <s v="High Cost"/>
    <s v="NO"/>
    <s v="Above Average"/>
    <x v="3"/>
  </r>
  <r>
    <x v="275"/>
    <n v="57"/>
    <x v="1"/>
    <x v="4"/>
    <x v="3"/>
    <d v="2024-10-25T00:00:00"/>
    <n v="12"/>
    <n v="1002.0675517241378"/>
    <x v="1"/>
    <s v="Middle"/>
    <s v="Normal"/>
    <s v="NO"/>
    <s v="Within Average"/>
    <x v="10"/>
  </r>
  <r>
    <x v="276"/>
    <n v="57"/>
    <x v="0"/>
    <x v="0"/>
    <x v="5"/>
    <s v="Unknown"/>
    <n v="12"/>
    <n v="535.62"/>
    <x v="0"/>
    <s v="Middle"/>
    <s v="Normal"/>
    <s v="NO"/>
    <s v="Within Average"/>
    <x v="3"/>
  </r>
  <r>
    <x v="277"/>
    <n v="57"/>
    <x v="1"/>
    <x v="6"/>
    <x v="5"/>
    <d v="2024-09-17T00:00:00"/>
    <n v="12"/>
    <n v="1002.0675517241378"/>
    <x v="4"/>
    <s v="Middle"/>
    <s v="Normal"/>
    <s v="NO"/>
    <s v="Within Average"/>
    <x v="12"/>
  </r>
  <r>
    <x v="278"/>
    <n v="57"/>
    <x v="2"/>
    <x v="2"/>
    <x v="4"/>
    <d v="2024-10-08T00:00:00"/>
    <n v="12"/>
    <n v="1807.39"/>
    <x v="3"/>
    <s v="Middle"/>
    <s v="High Cost"/>
    <s v="NO"/>
    <s v="Above Average"/>
    <x v="10"/>
  </r>
  <r>
    <x v="279"/>
    <n v="57"/>
    <x v="0"/>
    <x v="4"/>
    <x v="0"/>
    <d v="2024-01-16T00:00:00"/>
    <n v="3"/>
    <n v="1002.0675517241378"/>
    <x v="3"/>
    <s v="Middle"/>
    <s v="Normal"/>
    <s v="NO"/>
    <s v="Within Average"/>
    <x v="7"/>
  </r>
  <r>
    <x v="280"/>
    <n v="57"/>
    <x v="1"/>
    <x v="7"/>
    <x v="3"/>
    <s v="Unknown"/>
    <n v="10"/>
    <n v="851.84"/>
    <x v="1"/>
    <s v="Middle"/>
    <s v="Normal"/>
    <s v="NO"/>
    <s v="Within Average"/>
    <x v="3"/>
  </r>
  <r>
    <x v="281"/>
    <n v="57"/>
    <x v="0"/>
    <x v="6"/>
    <x v="1"/>
    <d v="2024-09-26T00:00:00"/>
    <n v="12"/>
    <n v="1002.0675517241378"/>
    <x v="4"/>
    <s v="Middle"/>
    <s v="Normal"/>
    <s v="NO"/>
    <s v="Within Average"/>
    <x v="12"/>
  </r>
  <r>
    <x v="282"/>
    <n v="57"/>
    <x v="0"/>
    <x v="7"/>
    <x v="3"/>
    <s v="Unknown"/>
    <n v="12"/>
    <n v="1002.0675517241378"/>
    <x v="2"/>
    <s v="Middle"/>
    <s v="Normal"/>
    <s v="NO"/>
    <s v="Within Average"/>
    <x v="3"/>
  </r>
  <r>
    <x v="283"/>
    <n v="57"/>
    <x v="2"/>
    <x v="7"/>
    <x v="3"/>
    <d v="2024-03-10T00:00:00"/>
    <n v="12"/>
    <n v="1985.44"/>
    <x v="1"/>
    <s v="Middle"/>
    <s v="High Cost"/>
    <s v="NO"/>
    <s v="Above Average"/>
    <x v="4"/>
  </r>
  <r>
    <x v="284"/>
    <n v="57"/>
    <x v="2"/>
    <x v="6"/>
    <x v="4"/>
    <d v="2024-12-08T00:00:00"/>
    <n v="12"/>
    <n v="1002.0675517241378"/>
    <x v="1"/>
    <s v="Middle"/>
    <s v="Normal"/>
    <s v="NO"/>
    <s v="Within Average"/>
    <x v="0"/>
  </r>
  <r>
    <x v="285"/>
    <n v="57"/>
    <x v="2"/>
    <x v="2"/>
    <x v="0"/>
    <d v="2024-05-30T00:00:00"/>
    <n v="12"/>
    <n v="1002.0675517241378"/>
    <x v="1"/>
    <s v="Middle"/>
    <s v="Normal"/>
    <s v="NO"/>
    <s v="Within Average"/>
    <x v="8"/>
  </r>
  <r>
    <x v="286"/>
    <n v="57"/>
    <x v="0"/>
    <x v="2"/>
    <x v="3"/>
    <s v="Unknown"/>
    <n v="18"/>
    <n v="592.25"/>
    <x v="4"/>
    <s v="Middle"/>
    <s v="Normal"/>
    <s v="NO"/>
    <s v="Within Average"/>
    <x v="3"/>
  </r>
  <r>
    <x v="287"/>
    <n v="57"/>
    <x v="2"/>
    <x v="3"/>
    <x v="5"/>
    <d v="2024-09-12T00:00:00"/>
    <n v="1"/>
    <n v="710.36"/>
    <x v="2"/>
    <s v="Middle"/>
    <s v="Normal"/>
    <s v="NO"/>
    <s v="Within Average"/>
    <x v="12"/>
  </r>
  <r>
    <x v="288"/>
    <n v="57"/>
    <x v="0"/>
    <x v="7"/>
    <x v="5"/>
    <d v="2024-05-11T00:00:00"/>
    <n v="12"/>
    <n v="1002.0675517241378"/>
    <x v="0"/>
    <s v="Middle"/>
    <s v="Normal"/>
    <s v="NO"/>
    <s v="Within Average"/>
    <x v="8"/>
  </r>
  <r>
    <x v="289"/>
    <n v="57"/>
    <x v="2"/>
    <x v="1"/>
    <x v="4"/>
    <s v="Unknown"/>
    <n v="12"/>
    <n v="1002.0675517241378"/>
    <x v="0"/>
    <s v="Middle"/>
    <s v="Normal"/>
    <s v="NO"/>
    <s v="Within Average"/>
    <x v="3"/>
  </r>
  <r>
    <x v="290"/>
    <n v="57"/>
    <x v="2"/>
    <x v="6"/>
    <x v="1"/>
    <d v="2024-12-06T00:00:00"/>
    <n v="11"/>
    <n v="1002.0675517241378"/>
    <x v="0"/>
    <s v="Middle"/>
    <s v="Normal"/>
    <s v="NO"/>
    <s v="Within Average"/>
    <x v="0"/>
  </r>
  <r>
    <x v="291"/>
    <n v="57"/>
    <x v="0"/>
    <x v="4"/>
    <x v="5"/>
    <s v="Unknown"/>
    <n v="12"/>
    <n v="1002.0675517241378"/>
    <x v="0"/>
    <s v="Middle"/>
    <s v="Normal"/>
    <s v="NO"/>
    <s v="Within Average"/>
    <x v="3"/>
  </r>
  <r>
    <x v="292"/>
    <n v="57"/>
    <x v="1"/>
    <x v="4"/>
    <x v="4"/>
    <d v="2024-12-28T00:00:00"/>
    <n v="12"/>
    <n v="1002.0675517241378"/>
    <x v="4"/>
    <s v="Middle"/>
    <s v="Normal"/>
    <s v="NO"/>
    <s v="Within Average"/>
    <x v="0"/>
  </r>
  <r>
    <x v="293"/>
    <n v="57"/>
    <x v="0"/>
    <x v="2"/>
    <x v="3"/>
    <d v="2024-04-25T00:00:00"/>
    <n v="12"/>
    <n v="84.86"/>
    <x v="2"/>
    <s v="Middle"/>
    <s v="Normal"/>
    <s v="NO"/>
    <s v="Within Average"/>
    <x v="11"/>
  </r>
  <r>
    <x v="294"/>
    <n v="57"/>
    <x v="2"/>
    <x v="3"/>
    <x v="4"/>
    <d v="2024-08-08T00:00:00"/>
    <n v="12"/>
    <n v="1002.0675517241378"/>
    <x v="1"/>
    <s v="Middle"/>
    <s v="Normal"/>
    <s v="NO"/>
    <s v="Within Average"/>
    <x v="5"/>
  </r>
  <r>
    <x v="295"/>
    <n v="57"/>
    <x v="2"/>
    <x v="4"/>
    <x v="1"/>
    <d v="2024-05-28T00:00:00"/>
    <n v="12"/>
    <n v="1926.6"/>
    <x v="4"/>
    <s v="Middle"/>
    <s v="High Cost"/>
    <s v="NO"/>
    <s v="Above Average"/>
    <x v="8"/>
  </r>
  <r>
    <x v="296"/>
    <n v="57"/>
    <x v="1"/>
    <x v="7"/>
    <x v="2"/>
    <d v="2024-05-03T00:00:00"/>
    <n v="13"/>
    <n v="1002.0675517241378"/>
    <x v="3"/>
    <s v="Middle"/>
    <s v="Normal"/>
    <s v="NO"/>
    <s v="Within Average"/>
    <x v="8"/>
  </r>
  <r>
    <x v="297"/>
    <n v="57"/>
    <x v="1"/>
    <x v="5"/>
    <x v="2"/>
    <d v="2024-09-06T00:00:00"/>
    <n v="12"/>
    <n v="636.16999999999996"/>
    <x v="3"/>
    <s v="Middle"/>
    <s v="Normal"/>
    <s v="NO"/>
    <s v="Within Average"/>
    <x v="12"/>
  </r>
  <r>
    <x v="298"/>
    <n v="57"/>
    <x v="0"/>
    <x v="5"/>
    <x v="2"/>
    <d v="2024-01-12T00:00:00"/>
    <n v="20"/>
    <n v="1002.0675517241378"/>
    <x v="1"/>
    <s v="Middle"/>
    <s v="Normal"/>
    <s v="NO"/>
    <s v="Within Average"/>
    <x v="7"/>
  </r>
  <r>
    <x v="299"/>
    <n v="57"/>
    <x v="2"/>
    <x v="5"/>
    <x v="5"/>
    <s v="Unknown"/>
    <n v="12"/>
    <n v="1434.88"/>
    <x v="4"/>
    <s v="Middle"/>
    <s v="High Cost"/>
    <s v="NO"/>
    <s v="Above Average"/>
    <x v="3"/>
  </r>
  <r>
    <x v="300"/>
    <n v="57"/>
    <x v="2"/>
    <x v="7"/>
    <x v="2"/>
    <d v="2024-02-04T00:00:00"/>
    <n v="12"/>
    <n v="1002.0675517241378"/>
    <x v="1"/>
    <s v="Middle"/>
    <s v="Normal"/>
    <s v="NO"/>
    <s v="Within Average"/>
    <x v="9"/>
  </r>
  <r>
    <x v="301"/>
    <n v="57"/>
    <x v="1"/>
    <x v="1"/>
    <x v="4"/>
    <s v="Unknown"/>
    <n v="17"/>
    <n v="1002.0675517241378"/>
    <x v="4"/>
    <s v="Middle"/>
    <s v="Normal"/>
    <s v="NO"/>
    <s v="Within Average"/>
    <x v="3"/>
  </r>
  <r>
    <x v="302"/>
    <n v="57"/>
    <x v="0"/>
    <x v="4"/>
    <x v="1"/>
    <d v="2024-07-02T00:00:00"/>
    <n v="17"/>
    <n v="1002.0675517241378"/>
    <x v="1"/>
    <s v="Middle"/>
    <s v="Normal"/>
    <s v="NO"/>
    <s v="Within Average"/>
    <x v="6"/>
  </r>
  <r>
    <x v="303"/>
    <n v="57"/>
    <x v="2"/>
    <x v="0"/>
    <x v="5"/>
    <d v="2024-03-01T00:00:00"/>
    <n v="12"/>
    <n v="414.95"/>
    <x v="3"/>
    <s v="Middle"/>
    <s v="Normal"/>
    <s v="NO"/>
    <s v="Within Average"/>
    <x v="4"/>
  </r>
  <r>
    <x v="304"/>
    <n v="57"/>
    <x v="2"/>
    <x v="0"/>
    <x v="4"/>
    <d v="2024-11-15T00:00:00"/>
    <n v="12"/>
    <n v="1630.61"/>
    <x v="2"/>
    <s v="Middle"/>
    <s v="High Cost"/>
    <s v="NO"/>
    <s v="Above Average"/>
    <x v="1"/>
  </r>
  <r>
    <x v="305"/>
    <n v="57"/>
    <x v="0"/>
    <x v="3"/>
    <x v="4"/>
    <d v="2024-05-24T00:00:00"/>
    <n v="12"/>
    <n v="1002.0675517241378"/>
    <x v="3"/>
    <s v="Middle"/>
    <s v="Normal"/>
    <s v="NO"/>
    <s v="Within Average"/>
    <x v="8"/>
  </r>
  <r>
    <x v="306"/>
    <n v="57"/>
    <x v="0"/>
    <x v="3"/>
    <x v="1"/>
    <d v="2024-04-03T00:00:00"/>
    <n v="12"/>
    <n v="1002.0675517241378"/>
    <x v="1"/>
    <s v="Middle"/>
    <s v="Normal"/>
    <s v="NO"/>
    <s v="Within Average"/>
    <x v="11"/>
  </r>
  <r>
    <x v="307"/>
    <n v="57"/>
    <x v="2"/>
    <x v="6"/>
    <x v="5"/>
    <s v="Unknown"/>
    <n v="12"/>
    <n v="162.79"/>
    <x v="3"/>
    <s v="Middle"/>
    <s v="Normal"/>
    <s v="NO"/>
    <s v="Within Average"/>
    <x v="3"/>
  </r>
  <r>
    <x v="308"/>
    <n v="57"/>
    <x v="2"/>
    <x v="4"/>
    <x v="5"/>
    <d v="2024-09-15T00:00:00"/>
    <n v="12"/>
    <n v="1167.6199999999999"/>
    <x v="1"/>
    <s v="Middle"/>
    <s v="Normal"/>
    <s v="NO"/>
    <s v="Above Average"/>
    <x v="12"/>
  </r>
  <r>
    <x v="309"/>
    <n v="57"/>
    <x v="2"/>
    <x v="1"/>
    <x v="3"/>
    <d v="2024-11-13T00:00:00"/>
    <n v="17"/>
    <n v="1002.0675517241378"/>
    <x v="2"/>
    <s v="Middle"/>
    <s v="Normal"/>
    <s v="NO"/>
    <s v="Within Average"/>
    <x v="1"/>
  </r>
  <r>
    <x v="310"/>
    <n v="57"/>
    <x v="0"/>
    <x v="1"/>
    <x v="4"/>
    <d v="2024-10-30T00:00:00"/>
    <n v="6"/>
    <n v="949.41"/>
    <x v="2"/>
    <s v="Middle"/>
    <s v="Normal"/>
    <s v="NO"/>
    <s v="Within Average"/>
    <x v="10"/>
  </r>
  <r>
    <x v="311"/>
    <n v="57"/>
    <x v="0"/>
    <x v="0"/>
    <x v="0"/>
    <d v="2024-05-14T00:00:00"/>
    <n v="8"/>
    <n v="152.15"/>
    <x v="0"/>
    <s v="Middle"/>
    <s v="Normal"/>
    <s v="NO"/>
    <s v="Within Average"/>
    <x v="8"/>
  </r>
  <r>
    <x v="312"/>
    <n v="57"/>
    <x v="1"/>
    <x v="4"/>
    <x v="2"/>
    <d v="2024-05-12T00:00:00"/>
    <n v="12"/>
    <n v="1002.0675517241378"/>
    <x v="0"/>
    <s v="Middle"/>
    <s v="Normal"/>
    <s v="NO"/>
    <s v="Within Average"/>
    <x v="8"/>
  </r>
  <r>
    <x v="313"/>
    <n v="57"/>
    <x v="2"/>
    <x v="1"/>
    <x v="3"/>
    <s v="Unknown"/>
    <n v="12"/>
    <n v="1002.0675517241378"/>
    <x v="4"/>
    <s v="Middle"/>
    <s v="Normal"/>
    <s v="NO"/>
    <s v="Within Average"/>
    <x v="3"/>
  </r>
  <r>
    <x v="314"/>
    <n v="57"/>
    <x v="0"/>
    <x v="5"/>
    <x v="4"/>
    <d v="2024-05-14T00:00:00"/>
    <n v="12"/>
    <n v="1002.0675517241378"/>
    <x v="1"/>
    <s v="Middle"/>
    <s v="Normal"/>
    <s v="NO"/>
    <s v="Within Average"/>
    <x v="8"/>
  </r>
  <r>
    <x v="315"/>
    <n v="57"/>
    <x v="2"/>
    <x v="5"/>
    <x v="1"/>
    <d v="2024-01-01T00:00:00"/>
    <n v="12"/>
    <n v="1002.0675517241378"/>
    <x v="3"/>
    <s v="Middle"/>
    <s v="Normal"/>
    <s v="NO"/>
    <s v="Within Average"/>
    <x v="7"/>
  </r>
  <r>
    <x v="316"/>
    <n v="57"/>
    <x v="2"/>
    <x v="0"/>
    <x v="3"/>
    <d v="2024-03-12T00:00:00"/>
    <n v="12"/>
    <n v="1002.0675517241378"/>
    <x v="1"/>
    <s v="Middle"/>
    <s v="Normal"/>
    <s v="NO"/>
    <s v="Within Average"/>
    <x v="4"/>
  </r>
  <r>
    <x v="317"/>
    <n v="57"/>
    <x v="2"/>
    <x v="4"/>
    <x v="4"/>
    <d v="2024-08-06T00:00:00"/>
    <n v="19"/>
    <n v="1002.0675517241378"/>
    <x v="4"/>
    <s v="Middle"/>
    <s v="Normal"/>
    <s v="NO"/>
    <s v="Within Average"/>
    <x v="5"/>
  </r>
  <r>
    <x v="318"/>
    <n v="57"/>
    <x v="0"/>
    <x v="4"/>
    <x v="2"/>
    <d v="2024-07-03T00:00:00"/>
    <n v="12"/>
    <n v="1002.0675517241378"/>
    <x v="4"/>
    <s v="Middle"/>
    <s v="Normal"/>
    <s v="NO"/>
    <s v="Within Average"/>
    <x v="6"/>
  </r>
  <r>
    <x v="319"/>
    <n v="57"/>
    <x v="2"/>
    <x v="6"/>
    <x v="4"/>
    <s v="Unknown"/>
    <n v="3"/>
    <n v="1002.0675517241378"/>
    <x v="4"/>
    <s v="Middle"/>
    <s v="Normal"/>
    <s v="NO"/>
    <s v="Within Average"/>
    <x v="3"/>
  </r>
  <r>
    <x v="320"/>
    <n v="57"/>
    <x v="2"/>
    <x v="7"/>
    <x v="3"/>
    <d v="2024-11-05T00:00:00"/>
    <n v="12"/>
    <n v="1002.0675517241378"/>
    <x v="0"/>
    <s v="Middle"/>
    <s v="Normal"/>
    <s v="NO"/>
    <s v="Within Average"/>
    <x v="1"/>
  </r>
  <r>
    <x v="321"/>
    <n v="57"/>
    <x v="2"/>
    <x v="7"/>
    <x v="1"/>
    <s v="Unknown"/>
    <n v="20"/>
    <n v="1002.0675517241378"/>
    <x v="2"/>
    <s v="Middle"/>
    <s v="Normal"/>
    <s v="NO"/>
    <s v="Within Average"/>
    <x v="3"/>
  </r>
  <r>
    <x v="322"/>
    <n v="57"/>
    <x v="0"/>
    <x v="5"/>
    <x v="4"/>
    <d v="2024-12-22T00:00:00"/>
    <n v="3"/>
    <n v="1038.4100000000001"/>
    <x v="4"/>
    <s v="Middle"/>
    <s v="Normal"/>
    <s v="NO"/>
    <s v="Above Average"/>
    <x v="0"/>
  </r>
  <r>
    <x v="323"/>
    <n v="57"/>
    <x v="0"/>
    <x v="0"/>
    <x v="2"/>
    <d v="2024-07-05T00:00:00"/>
    <n v="3"/>
    <n v="1002.0675517241378"/>
    <x v="0"/>
    <s v="Middle"/>
    <s v="Normal"/>
    <s v="NO"/>
    <s v="Within Average"/>
    <x v="6"/>
  </r>
  <r>
    <x v="324"/>
    <n v="57"/>
    <x v="1"/>
    <x v="5"/>
    <x v="3"/>
    <d v="2024-05-08T00:00:00"/>
    <n v="19"/>
    <n v="1940.09"/>
    <x v="2"/>
    <s v="Middle"/>
    <s v="High Cost"/>
    <s v="NO"/>
    <s v="Above Average"/>
    <x v="8"/>
  </r>
  <r>
    <x v="325"/>
    <n v="57"/>
    <x v="0"/>
    <x v="2"/>
    <x v="5"/>
    <d v="2024-11-18T00:00:00"/>
    <n v="12"/>
    <n v="482.73"/>
    <x v="0"/>
    <s v="Middle"/>
    <s v="Normal"/>
    <s v="NO"/>
    <s v="Within Average"/>
    <x v="1"/>
  </r>
  <r>
    <x v="326"/>
    <n v="57"/>
    <x v="0"/>
    <x v="7"/>
    <x v="3"/>
    <d v="2024-03-09T00:00:00"/>
    <n v="19"/>
    <n v="1002.0675517241378"/>
    <x v="3"/>
    <s v="Middle"/>
    <s v="Normal"/>
    <s v="NO"/>
    <s v="Within Average"/>
    <x v="4"/>
  </r>
  <r>
    <x v="327"/>
    <n v="57"/>
    <x v="1"/>
    <x v="3"/>
    <x v="3"/>
    <d v="2024-06-07T00:00:00"/>
    <n v="12"/>
    <n v="1002.0675517241378"/>
    <x v="4"/>
    <s v="Middle"/>
    <s v="Normal"/>
    <s v="NO"/>
    <s v="Within Average"/>
    <x v="2"/>
  </r>
  <r>
    <x v="328"/>
    <n v="57"/>
    <x v="2"/>
    <x v="4"/>
    <x v="0"/>
    <d v="2024-01-01T00:00:00"/>
    <n v="13"/>
    <n v="1813.49"/>
    <x v="2"/>
    <s v="Middle"/>
    <s v="High Cost"/>
    <s v="NO"/>
    <s v="Above Average"/>
    <x v="7"/>
  </r>
  <r>
    <x v="329"/>
    <n v="57"/>
    <x v="2"/>
    <x v="1"/>
    <x v="0"/>
    <d v="2024-10-26T00:00:00"/>
    <n v="12"/>
    <n v="362.47"/>
    <x v="1"/>
    <s v="Middle"/>
    <s v="Normal"/>
    <s v="NO"/>
    <s v="Within Average"/>
    <x v="10"/>
  </r>
  <r>
    <x v="330"/>
    <n v="57"/>
    <x v="2"/>
    <x v="4"/>
    <x v="4"/>
    <d v="2024-06-04T00:00:00"/>
    <n v="12"/>
    <n v="214.65"/>
    <x v="1"/>
    <s v="Middle"/>
    <s v="Normal"/>
    <s v="NO"/>
    <s v="Within Average"/>
    <x v="2"/>
  </r>
  <r>
    <x v="331"/>
    <n v="57"/>
    <x v="0"/>
    <x v="4"/>
    <x v="5"/>
    <d v="2024-11-02T00:00:00"/>
    <n v="12"/>
    <n v="163.54"/>
    <x v="2"/>
    <s v="Middle"/>
    <s v="Normal"/>
    <s v="NO"/>
    <s v="Within Average"/>
    <x v="1"/>
  </r>
  <r>
    <x v="332"/>
    <n v="57"/>
    <x v="0"/>
    <x v="5"/>
    <x v="3"/>
    <d v="2024-10-02T00:00:00"/>
    <n v="12"/>
    <n v="1002.0675517241378"/>
    <x v="1"/>
    <s v="Middle"/>
    <s v="Normal"/>
    <s v="NO"/>
    <s v="Within Average"/>
    <x v="10"/>
  </r>
  <r>
    <x v="333"/>
    <n v="57"/>
    <x v="2"/>
    <x v="3"/>
    <x v="3"/>
    <d v="2024-01-04T00:00:00"/>
    <n v="6"/>
    <n v="1002.0675517241378"/>
    <x v="2"/>
    <s v="Middle"/>
    <s v="Normal"/>
    <s v="NO"/>
    <s v="Within Average"/>
    <x v="7"/>
  </r>
  <r>
    <x v="334"/>
    <n v="57"/>
    <x v="1"/>
    <x v="0"/>
    <x v="3"/>
    <d v="2024-07-18T00:00:00"/>
    <n v="12"/>
    <n v="1002.0675517241378"/>
    <x v="3"/>
    <s v="Middle"/>
    <s v="Normal"/>
    <s v="NO"/>
    <s v="Within Average"/>
    <x v="6"/>
  </r>
  <r>
    <x v="335"/>
    <n v="57"/>
    <x v="1"/>
    <x v="2"/>
    <x v="1"/>
    <s v="Unknown"/>
    <n v="12"/>
    <n v="1002.0675517241378"/>
    <x v="4"/>
    <s v="Middle"/>
    <s v="Normal"/>
    <s v="NO"/>
    <s v="Within Average"/>
    <x v="3"/>
  </r>
  <r>
    <x v="336"/>
    <n v="57"/>
    <x v="0"/>
    <x v="0"/>
    <x v="1"/>
    <s v="Unknown"/>
    <n v="12"/>
    <n v="1319.94"/>
    <x v="1"/>
    <s v="Middle"/>
    <s v="High Cost"/>
    <s v="NO"/>
    <s v="Above Average"/>
    <x v="3"/>
  </r>
  <r>
    <x v="337"/>
    <n v="57"/>
    <x v="0"/>
    <x v="6"/>
    <x v="1"/>
    <d v="2024-05-18T00:00:00"/>
    <n v="12"/>
    <n v="1293.02"/>
    <x v="1"/>
    <s v="Middle"/>
    <s v="High Cost"/>
    <s v="NO"/>
    <s v="Above Average"/>
    <x v="8"/>
  </r>
  <r>
    <x v="338"/>
    <n v="57"/>
    <x v="2"/>
    <x v="0"/>
    <x v="3"/>
    <d v="2024-01-25T00:00:00"/>
    <n v="12"/>
    <n v="1002.0675517241378"/>
    <x v="4"/>
    <s v="Middle"/>
    <s v="Normal"/>
    <s v="NO"/>
    <s v="Within Average"/>
    <x v="7"/>
  </r>
  <r>
    <x v="339"/>
    <n v="57"/>
    <x v="2"/>
    <x v="6"/>
    <x v="4"/>
    <s v="Unknown"/>
    <n v="19"/>
    <n v="1366.3"/>
    <x v="1"/>
    <s v="Middle"/>
    <s v="High Cost"/>
    <s v="NO"/>
    <s v="Above Average"/>
    <x v="3"/>
  </r>
  <r>
    <x v="340"/>
    <n v="57"/>
    <x v="2"/>
    <x v="1"/>
    <x v="4"/>
    <d v="2024-06-27T00:00:00"/>
    <n v="18"/>
    <n v="1002.0675517241378"/>
    <x v="2"/>
    <s v="Middle"/>
    <s v="Normal"/>
    <s v="NO"/>
    <s v="Within Average"/>
    <x v="2"/>
  </r>
  <r>
    <x v="341"/>
    <n v="57"/>
    <x v="2"/>
    <x v="1"/>
    <x v="4"/>
    <d v="2024-11-10T00:00:00"/>
    <n v="12"/>
    <n v="757.19"/>
    <x v="1"/>
    <s v="Middle"/>
    <s v="Normal"/>
    <s v="NO"/>
    <s v="Within Average"/>
    <x v="1"/>
  </r>
  <r>
    <x v="342"/>
    <n v="57"/>
    <x v="2"/>
    <x v="5"/>
    <x v="4"/>
    <d v="2024-11-03T00:00:00"/>
    <n v="12"/>
    <n v="1002.0675517241378"/>
    <x v="1"/>
    <s v="Middle"/>
    <s v="Normal"/>
    <s v="NO"/>
    <s v="Within Average"/>
    <x v="1"/>
  </r>
  <r>
    <x v="343"/>
    <n v="57"/>
    <x v="0"/>
    <x v="3"/>
    <x v="3"/>
    <d v="2024-10-21T00:00:00"/>
    <n v="12"/>
    <n v="1002.0675517241378"/>
    <x v="3"/>
    <s v="Middle"/>
    <s v="Normal"/>
    <s v="NO"/>
    <s v="Within Average"/>
    <x v="10"/>
  </r>
  <r>
    <x v="344"/>
    <n v="57"/>
    <x v="0"/>
    <x v="5"/>
    <x v="4"/>
    <d v="2024-02-19T00:00:00"/>
    <n v="12"/>
    <n v="1002.0675517241378"/>
    <x v="0"/>
    <s v="Middle"/>
    <s v="Normal"/>
    <s v="NO"/>
    <s v="Within Average"/>
    <x v="9"/>
  </r>
  <r>
    <x v="345"/>
    <n v="57"/>
    <x v="0"/>
    <x v="6"/>
    <x v="5"/>
    <d v="2024-01-31T00:00:00"/>
    <n v="12"/>
    <n v="1002.0675517241378"/>
    <x v="4"/>
    <s v="Middle"/>
    <s v="Normal"/>
    <s v="NO"/>
    <s v="Within Average"/>
    <x v="7"/>
  </r>
  <r>
    <x v="346"/>
    <n v="57"/>
    <x v="2"/>
    <x v="6"/>
    <x v="2"/>
    <d v="2024-01-03T00:00:00"/>
    <n v="12"/>
    <n v="1002.0675517241378"/>
    <x v="0"/>
    <s v="Middle"/>
    <s v="Normal"/>
    <s v="NO"/>
    <s v="Within Average"/>
    <x v="7"/>
  </r>
  <r>
    <x v="347"/>
    <n v="57"/>
    <x v="2"/>
    <x v="6"/>
    <x v="3"/>
    <s v="Unknown"/>
    <n v="12"/>
    <n v="572.48"/>
    <x v="2"/>
    <s v="Middle"/>
    <s v="Normal"/>
    <s v="NO"/>
    <s v="Within Average"/>
    <x v="3"/>
  </r>
  <r>
    <x v="348"/>
    <n v="57"/>
    <x v="0"/>
    <x v="0"/>
    <x v="4"/>
    <s v="Unknown"/>
    <n v="12"/>
    <n v="640.65"/>
    <x v="2"/>
    <s v="Middle"/>
    <s v="Normal"/>
    <s v="NO"/>
    <s v="Within Average"/>
    <x v="3"/>
  </r>
  <r>
    <x v="349"/>
    <n v="57"/>
    <x v="1"/>
    <x v="7"/>
    <x v="2"/>
    <d v="2024-02-20T00:00:00"/>
    <n v="4"/>
    <n v="1002.0675517241378"/>
    <x v="4"/>
    <s v="Middle"/>
    <s v="Normal"/>
    <s v="NO"/>
    <s v="Within Average"/>
    <x v="9"/>
  </r>
  <r>
    <x v="350"/>
    <n v="57"/>
    <x v="1"/>
    <x v="7"/>
    <x v="0"/>
    <d v="2024-05-20T00:00:00"/>
    <n v="12"/>
    <n v="1002.0675517241378"/>
    <x v="2"/>
    <s v="Middle"/>
    <s v="Normal"/>
    <s v="NO"/>
    <s v="Within Average"/>
    <x v="8"/>
  </r>
  <r>
    <x v="351"/>
    <n v="57"/>
    <x v="0"/>
    <x v="1"/>
    <x v="4"/>
    <d v="2024-02-03T00:00:00"/>
    <n v="12"/>
    <n v="980.68"/>
    <x v="1"/>
    <s v="Middle"/>
    <s v="Normal"/>
    <s v="NO"/>
    <s v="Within Average"/>
    <x v="9"/>
  </r>
  <r>
    <x v="352"/>
    <n v="57"/>
    <x v="1"/>
    <x v="7"/>
    <x v="3"/>
    <s v="Unknown"/>
    <n v="12"/>
    <n v="1002.0675517241378"/>
    <x v="0"/>
    <s v="Middle"/>
    <s v="Normal"/>
    <s v="NO"/>
    <s v="Within Average"/>
    <x v="3"/>
  </r>
  <r>
    <x v="353"/>
    <n v="57"/>
    <x v="0"/>
    <x v="7"/>
    <x v="4"/>
    <d v="2024-08-08T00:00:00"/>
    <n v="12"/>
    <n v="170.27"/>
    <x v="2"/>
    <s v="Middle"/>
    <s v="Normal"/>
    <s v="NO"/>
    <s v="Within Average"/>
    <x v="5"/>
  </r>
  <r>
    <x v="354"/>
    <n v="57"/>
    <x v="2"/>
    <x v="2"/>
    <x v="5"/>
    <d v="2024-04-05T00:00:00"/>
    <n v="12"/>
    <n v="1002.0675517241378"/>
    <x v="3"/>
    <s v="Middle"/>
    <s v="Normal"/>
    <s v="NO"/>
    <s v="Within Average"/>
    <x v="11"/>
  </r>
  <r>
    <x v="355"/>
    <n v="57"/>
    <x v="1"/>
    <x v="4"/>
    <x v="3"/>
    <d v="2024-03-26T00:00:00"/>
    <n v="1"/>
    <n v="1002.0675517241378"/>
    <x v="2"/>
    <s v="Middle"/>
    <s v="Normal"/>
    <s v="NO"/>
    <s v="Within Average"/>
    <x v="4"/>
  </r>
  <r>
    <x v="356"/>
    <n v="57"/>
    <x v="0"/>
    <x v="7"/>
    <x v="1"/>
    <d v="2024-10-26T00:00:00"/>
    <n v="12"/>
    <n v="1002.0675517241378"/>
    <x v="1"/>
    <s v="Middle"/>
    <s v="Normal"/>
    <s v="NO"/>
    <s v="Within Average"/>
    <x v="10"/>
  </r>
  <r>
    <x v="357"/>
    <n v="57"/>
    <x v="2"/>
    <x v="3"/>
    <x v="2"/>
    <d v="2024-10-26T00:00:00"/>
    <n v="12"/>
    <n v="1518.23"/>
    <x v="2"/>
    <s v="Middle"/>
    <s v="High Cost"/>
    <s v="NO"/>
    <s v="Above Average"/>
    <x v="10"/>
  </r>
  <r>
    <x v="358"/>
    <n v="57"/>
    <x v="2"/>
    <x v="7"/>
    <x v="5"/>
    <s v="Unknown"/>
    <n v="12"/>
    <n v="1002.0675517241378"/>
    <x v="2"/>
    <s v="Middle"/>
    <s v="Normal"/>
    <s v="NO"/>
    <s v="Within Average"/>
    <x v="3"/>
  </r>
  <r>
    <x v="359"/>
    <n v="57"/>
    <x v="1"/>
    <x v="4"/>
    <x v="4"/>
    <d v="2024-09-09T00:00:00"/>
    <n v="8"/>
    <n v="1002.0675517241378"/>
    <x v="4"/>
    <s v="Middle"/>
    <s v="Normal"/>
    <s v="NO"/>
    <s v="Within Average"/>
    <x v="12"/>
  </r>
  <r>
    <x v="360"/>
    <n v="57"/>
    <x v="1"/>
    <x v="7"/>
    <x v="2"/>
    <d v="2024-11-07T00:00:00"/>
    <n v="12"/>
    <n v="1002.0675517241378"/>
    <x v="3"/>
    <s v="Middle"/>
    <s v="Normal"/>
    <s v="NO"/>
    <s v="Within Average"/>
    <x v="1"/>
  </r>
  <r>
    <x v="361"/>
    <n v="57"/>
    <x v="0"/>
    <x v="1"/>
    <x v="3"/>
    <d v="2024-04-09T00:00:00"/>
    <n v="4"/>
    <n v="1002.0675517241378"/>
    <x v="1"/>
    <s v="Middle"/>
    <s v="Normal"/>
    <s v="NO"/>
    <s v="Within Average"/>
    <x v="11"/>
  </r>
  <r>
    <x v="362"/>
    <n v="57"/>
    <x v="0"/>
    <x v="2"/>
    <x v="0"/>
    <d v="2024-08-31T00:00:00"/>
    <n v="12"/>
    <n v="1002.0675517241378"/>
    <x v="4"/>
    <s v="Middle"/>
    <s v="Normal"/>
    <s v="NO"/>
    <s v="Within Average"/>
    <x v="5"/>
  </r>
  <r>
    <x v="363"/>
    <n v="57"/>
    <x v="2"/>
    <x v="7"/>
    <x v="2"/>
    <d v="2024-05-19T00:00:00"/>
    <n v="2"/>
    <n v="1242.6600000000001"/>
    <x v="3"/>
    <s v="Middle"/>
    <s v="High Cost"/>
    <s v="NO"/>
    <s v="Above Average"/>
    <x v="8"/>
  </r>
  <r>
    <x v="364"/>
    <n v="57"/>
    <x v="0"/>
    <x v="7"/>
    <x v="0"/>
    <d v="2024-01-06T00:00:00"/>
    <n v="12"/>
    <n v="1002.0675517241378"/>
    <x v="1"/>
    <s v="Middle"/>
    <s v="Normal"/>
    <s v="NO"/>
    <s v="Within Average"/>
    <x v="7"/>
  </r>
  <r>
    <x v="365"/>
    <n v="57"/>
    <x v="0"/>
    <x v="0"/>
    <x v="3"/>
    <d v="2024-11-14T00:00:00"/>
    <n v="18"/>
    <n v="1002.0675517241378"/>
    <x v="1"/>
    <s v="Middle"/>
    <s v="Normal"/>
    <s v="NO"/>
    <s v="Within Average"/>
    <x v="1"/>
  </r>
  <r>
    <x v="366"/>
    <n v="57"/>
    <x v="2"/>
    <x v="5"/>
    <x v="3"/>
    <d v="2024-06-30T00:00:00"/>
    <n v="12"/>
    <n v="1002.0675517241378"/>
    <x v="2"/>
    <s v="Middle"/>
    <s v="Normal"/>
    <s v="NO"/>
    <s v="Within Average"/>
    <x v="2"/>
  </r>
  <r>
    <x v="367"/>
    <n v="57"/>
    <x v="2"/>
    <x v="1"/>
    <x v="4"/>
    <d v="2024-09-23T00:00:00"/>
    <n v="12"/>
    <n v="1002.0675517241378"/>
    <x v="0"/>
    <s v="Middle"/>
    <s v="Normal"/>
    <s v="NO"/>
    <s v="Within Average"/>
    <x v="12"/>
  </r>
  <r>
    <x v="368"/>
    <n v="57"/>
    <x v="0"/>
    <x v="2"/>
    <x v="0"/>
    <d v="2024-08-07T00:00:00"/>
    <n v="12"/>
    <n v="1002.0675517241378"/>
    <x v="3"/>
    <s v="Middle"/>
    <s v="Normal"/>
    <s v="NO"/>
    <s v="Within Average"/>
    <x v="5"/>
  </r>
  <r>
    <x v="369"/>
    <n v="57"/>
    <x v="1"/>
    <x v="1"/>
    <x v="3"/>
    <d v="2024-10-12T00:00:00"/>
    <n v="12"/>
    <n v="1011.68"/>
    <x v="1"/>
    <s v="Middle"/>
    <s v="Normal"/>
    <s v="NO"/>
    <s v="Above Average"/>
    <x v="10"/>
  </r>
  <r>
    <x v="370"/>
    <n v="57"/>
    <x v="1"/>
    <x v="7"/>
    <x v="0"/>
    <d v="2024-09-15T00:00:00"/>
    <n v="17"/>
    <n v="1002.0675517241378"/>
    <x v="3"/>
    <s v="Middle"/>
    <s v="Normal"/>
    <s v="NO"/>
    <s v="Within Average"/>
    <x v="12"/>
  </r>
  <r>
    <x v="371"/>
    <n v="57"/>
    <x v="2"/>
    <x v="4"/>
    <x v="3"/>
    <d v="2024-06-09T00:00:00"/>
    <n v="14"/>
    <n v="1002.0675517241378"/>
    <x v="4"/>
    <s v="Middle"/>
    <s v="Normal"/>
    <s v="NO"/>
    <s v="Within Average"/>
    <x v="2"/>
  </r>
  <r>
    <x v="372"/>
    <n v="57"/>
    <x v="1"/>
    <x v="6"/>
    <x v="5"/>
    <d v="2024-11-04T00:00:00"/>
    <n v="12"/>
    <n v="1002.0675517241378"/>
    <x v="1"/>
    <s v="Middle"/>
    <s v="Normal"/>
    <s v="NO"/>
    <s v="Within Average"/>
    <x v="1"/>
  </r>
  <r>
    <x v="373"/>
    <n v="57"/>
    <x v="1"/>
    <x v="5"/>
    <x v="0"/>
    <d v="2024-05-16T00:00:00"/>
    <n v="16"/>
    <n v="1002.0675517241378"/>
    <x v="3"/>
    <s v="Middle"/>
    <s v="Normal"/>
    <s v="NO"/>
    <s v="Within Average"/>
    <x v="8"/>
  </r>
  <r>
    <x v="374"/>
    <n v="57"/>
    <x v="2"/>
    <x v="3"/>
    <x v="5"/>
    <d v="2024-06-20T00:00:00"/>
    <n v="8"/>
    <n v="1002.0675517241378"/>
    <x v="4"/>
    <s v="Middle"/>
    <s v="Normal"/>
    <s v="NO"/>
    <s v="Within Average"/>
    <x v="2"/>
  </r>
  <r>
    <x v="375"/>
    <n v="57"/>
    <x v="0"/>
    <x v="1"/>
    <x v="3"/>
    <s v="Unknown"/>
    <n v="12"/>
    <n v="1002.0675517241378"/>
    <x v="2"/>
    <s v="Middle"/>
    <s v="Normal"/>
    <s v="NO"/>
    <s v="Within Average"/>
    <x v="3"/>
  </r>
  <r>
    <x v="376"/>
    <n v="57"/>
    <x v="0"/>
    <x v="0"/>
    <x v="4"/>
    <d v="2024-06-16T00:00:00"/>
    <n v="12"/>
    <n v="1002.0675517241378"/>
    <x v="1"/>
    <s v="Middle"/>
    <s v="Normal"/>
    <s v="NO"/>
    <s v="Within Average"/>
    <x v="2"/>
  </r>
  <r>
    <x v="377"/>
    <n v="57"/>
    <x v="2"/>
    <x v="1"/>
    <x v="3"/>
    <d v="2024-06-19T00:00:00"/>
    <n v="8"/>
    <n v="1002.0675517241378"/>
    <x v="3"/>
    <s v="Middle"/>
    <s v="Normal"/>
    <s v="NO"/>
    <s v="Within Average"/>
    <x v="2"/>
  </r>
  <r>
    <x v="378"/>
    <n v="57"/>
    <x v="1"/>
    <x v="0"/>
    <x v="3"/>
    <d v="2024-11-03T00:00:00"/>
    <n v="4"/>
    <n v="1002.0675517241378"/>
    <x v="1"/>
    <s v="Middle"/>
    <s v="Normal"/>
    <s v="NO"/>
    <s v="Within Average"/>
    <x v="1"/>
  </r>
  <r>
    <x v="379"/>
    <n v="57"/>
    <x v="2"/>
    <x v="5"/>
    <x v="4"/>
    <s v="Unknown"/>
    <n v="10"/>
    <n v="1002.0675517241378"/>
    <x v="1"/>
    <s v="Middle"/>
    <s v="Normal"/>
    <s v="NO"/>
    <s v="Within Average"/>
    <x v="3"/>
  </r>
  <r>
    <x v="380"/>
    <n v="57"/>
    <x v="1"/>
    <x v="6"/>
    <x v="4"/>
    <d v="2024-08-18T00:00:00"/>
    <n v="12"/>
    <n v="496.34"/>
    <x v="2"/>
    <s v="Middle"/>
    <s v="Normal"/>
    <s v="NO"/>
    <s v="Within Average"/>
    <x v="5"/>
  </r>
  <r>
    <x v="381"/>
    <n v="57"/>
    <x v="0"/>
    <x v="6"/>
    <x v="5"/>
    <d v="2024-06-18T00:00:00"/>
    <n v="12"/>
    <n v="1002.0675517241378"/>
    <x v="3"/>
    <s v="Middle"/>
    <s v="Normal"/>
    <s v="NO"/>
    <s v="Within Average"/>
    <x v="2"/>
  </r>
  <r>
    <x v="382"/>
    <n v="57"/>
    <x v="2"/>
    <x v="7"/>
    <x v="3"/>
    <d v="2024-02-12T00:00:00"/>
    <n v="15"/>
    <n v="1766.72"/>
    <x v="3"/>
    <s v="Middle"/>
    <s v="High Cost"/>
    <s v="NO"/>
    <s v="Above Average"/>
    <x v="9"/>
  </r>
  <r>
    <x v="383"/>
    <n v="57"/>
    <x v="0"/>
    <x v="1"/>
    <x v="3"/>
    <s v="Unknown"/>
    <n v="17"/>
    <n v="1002.0675517241378"/>
    <x v="2"/>
    <s v="Middle"/>
    <s v="Normal"/>
    <s v="NO"/>
    <s v="Within Average"/>
    <x v="3"/>
  </r>
  <r>
    <x v="384"/>
    <n v="57"/>
    <x v="2"/>
    <x v="4"/>
    <x v="3"/>
    <d v="2024-12-07T00:00:00"/>
    <n v="5"/>
    <n v="1002.0675517241378"/>
    <x v="2"/>
    <s v="Middle"/>
    <s v="Normal"/>
    <s v="NO"/>
    <s v="Within Average"/>
    <x v="0"/>
  </r>
  <r>
    <x v="385"/>
    <n v="57"/>
    <x v="2"/>
    <x v="4"/>
    <x v="3"/>
    <d v="2024-01-19T00:00:00"/>
    <n v="12"/>
    <n v="565.28"/>
    <x v="1"/>
    <s v="Middle"/>
    <s v="Normal"/>
    <s v="NO"/>
    <s v="Within Average"/>
    <x v="7"/>
  </r>
  <r>
    <x v="386"/>
    <n v="57"/>
    <x v="0"/>
    <x v="6"/>
    <x v="4"/>
    <d v="2024-10-21T00:00:00"/>
    <n v="12"/>
    <n v="1002.0675517241378"/>
    <x v="3"/>
    <s v="Middle"/>
    <s v="Normal"/>
    <s v="NO"/>
    <s v="Within Average"/>
    <x v="10"/>
  </r>
  <r>
    <x v="387"/>
    <n v="57"/>
    <x v="1"/>
    <x v="2"/>
    <x v="0"/>
    <d v="2024-05-19T00:00:00"/>
    <n v="12"/>
    <n v="1002.0675517241378"/>
    <x v="4"/>
    <s v="Middle"/>
    <s v="Normal"/>
    <s v="NO"/>
    <s v="Within Average"/>
    <x v="8"/>
  </r>
  <r>
    <x v="388"/>
    <n v="57"/>
    <x v="0"/>
    <x v="7"/>
    <x v="1"/>
    <d v="2024-05-04T00:00:00"/>
    <n v="12"/>
    <n v="1002.0675517241378"/>
    <x v="1"/>
    <s v="Middle"/>
    <s v="Normal"/>
    <s v="NO"/>
    <s v="Within Average"/>
    <x v="8"/>
  </r>
  <r>
    <x v="389"/>
    <n v="57"/>
    <x v="0"/>
    <x v="0"/>
    <x v="3"/>
    <s v="Unknown"/>
    <n v="12"/>
    <n v="1002.0675517241378"/>
    <x v="4"/>
    <s v="Middle"/>
    <s v="Normal"/>
    <s v="NO"/>
    <s v="Within Average"/>
    <x v="3"/>
  </r>
  <r>
    <x v="390"/>
    <n v="57"/>
    <x v="0"/>
    <x v="5"/>
    <x v="4"/>
    <s v="Unknown"/>
    <n v="12"/>
    <n v="1002.0675517241378"/>
    <x v="2"/>
    <s v="Middle"/>
    <s v="Normal"/>
    <s v="NO"/>
    <s v="Within Average"/>
    <x v="3"/>
  </r>
  <r>
    <x v="391"/>
    <n v="57"/>
    <x v="0"/>
    <x v="1"/>
    <x v="5"/>
    <d v="2024-07-01T00:00:00"/>
    <n v="12"/>
    <n v="1002.0675517241378"/>
    <x v="1"/>
    <s v="Middle"/>
    <s v="Normal"/>
    <s v="NO"/>
    <s v="Within Average"/>
    <x v="6"/>
  </r>
  <r>
    <x v="392"/>
    <n v="57"/>
    <x v="2"/>
    <x v="5"/>
    <x v="1"/>
    <d v="2024-09-03T00:00:00"/>
    <n v="5"/>
    <n v="1002.0675517241378"/>
    <x v="1"/>
    <s v="Middle"/>
    <s v="Normal"/>
    <s v="NO"/>
    <s v="Within Average"/>
    <x v="12"/>
  </r>
  <r>
    <x v="393"/>
    <n v="57"/>
    <x v="1"/>
    <x v="7"/>
    <x v="5"/>
    <d v="2024-11-02T00:00:00"/>
    <n v="12"/>
    <n v="1620.13"/>
    <x v="3"/>
    <s v="Middle"/>
    <s v="High Cost"/>
    <s v="NO"/>
    <s v="Above Average"/>
    <x v="1"/>
  </r>
  <r>
    <x v="394"/>
    <n v="57"/>
    <x v="2"/>
    <x v="1"/>
    <x v="4"/>
    <d v="2024-03-13T00:00:00"/>
    <n v="12"/>
    <n v="1002.0675517241378"/>
    <x v="1"/>
    <s v="Middle"/>
    <s v="Normal"/>
    <s v="NO"/>
    <s v="Within Average"/>
    <x v="4"/>
  </r>
  <r>
    <x v="395"/>
    <n v="57"/>
    <x v="2"/>
    <x v="0"/>
    <x v="4"/>
    <d v="2024-07-21T00:00:00"/>
    <n v="12"/>
    <n v="1002.0675517241378"/>
    <x v="2"/>
    <s v="Middle"/>
    <s v="Normal"/>
    <s v="NO"/>
    <s v="Within Average"/>
    <x v="6"/>
  </r>
  <r>
    <x v="396"/>
    <n v="57"/>
    <x v="0"/>
    <x v="0"/>
    <x v="1"/>
    <s v="Unknown"/>
    <n v="12"/>
    <n v="1002.0675517241378"/>
    <x v="4"/>
    <s v="Middle"/>
    <s v="Normal"/>
    <s v="NO"/>
    <s v="Within Average"/>
    <x v="3"/>
  </r>
  <r>
    <x v="397"/>
    <n v="57"/>
    <x v="2"/>
    <x v="4"/>
    <x v="5"/>
    <d v="2024-09-06T00:00:00"/>
    <n v="12"/>
    <n v="1814.59"/>
    <x v="0"/>
    <s v="Middle"/>
    <s v="High Cost"/>
    <s v="NO"/>
    <s v="Above Average"/>
    <x v="12"/>
  </r>
  <r>
    <x v="398"/>
    <n v="57"/>
    <x v="2"/>
    <x v="7"/>
    <x v="4"/>
    <s v="Unknown"/>
    <n v="12"/>
    <n v="1002.0675517241378"/>
    <x v="2"/>
    <s v="Middle"/>
    <s v="Normal"/>
    <s v="NO"/>
    <s v="Within Average"/>
    <x v="3"/>
  </r>
  <r>
    <x v="399"/>
    <n v="57"/>
    <x v="2"/>
    <x v="4"/>
    <x v="1"/>
    <d v="2024-04-24T00:00:00"/>
    <n v="12"/>
    <n v="1002.0675517241378"/>
    <x v="1"/>
    <s v="Middle"/>
    <s v="Normal"/>
    <s v="NO"/>
    <s v="Within Average"/>
    <x v="11"/>
  </r>
  <r>
    <x v="400"/>
    <n v="57"/>
    <x v="2"/>
    <x v="2"/>
    <x v="3"/>
    <s v="Unknown"/>
    <n v="12"/>
    <n v="1002.0675517241378"/>
    <x v="4"/>
    <s v="Middle"/>
    <s v="Normal"/>
    <s v="NO"/>
    <s v="Within Average"/>
    <x v="3"/>
  </r>
  <r>
    <x v="401"/>
    <n v="57"/>
    <x v="0"/>
    <x v="4"/>
    <x v="3"/>
    <d v="2024-09-03T00:00:00"/>
    <n v="12"/>
    <n v="1002.0675517241378"/>
    <x v="3"/>
    <s v="Middle"/>
    <s v="Normal"/>
    <s v="NO"/>
    <s v="Within Average"/>
    <x v="12"/>
  </r>
  <r>
    <x v="402"/>
    <n v="57"/>
    <x v="0"/>
    <x v="0"/>
    <x v="1"/>
    <d v="2024-05-09T00:00:00"/>
    <n v="12"/>
    <n v="1002.0675517241378"/>
    <x v="0"/>
    <s v="Middle"/>
    <s v="Normal"/>
    <s v="NO"/>
    <s v="Within Average"/>
    <x v="8"/>
  </r>
  <r>
    <x v="403"/>
    <n v="57"/>
    <x v="1"/>
    <x v="0"/>
    <x v="2"/>
    <d v="2024-03-05T00:00:00"/>
    <n v="12"/>
    <n v="1002.0675517241378"/>
    <x v="4"/>
    <s v="Middle"/>
    <s v="Normal"/>
    <s v="NO"/>
    <s v="Within Average"/>
    <x v="4"/>
  </r>
  <r>
    <x v="404"/>
    <n v="57"/>
    <x v="0"/>
    <x v="2"/>
    <x v="0"/>
    <d v="2024-12-14T00:00:00"/>
    <n v="12"/>
    <n v="1002.0675517241378"/>
    <x v="0"/>
    <s v="Middle"/>
    <s v="Normal"/>
    <s v="NO"/>
    <s v="Within Average"/>
    <x v="0"/>
  </r>
  <r>
    <x v="405"/>
    <n v="57"/>
    <x v="2"/>
    <x v="4"/>
    <x v="5"/>
    <d v="2024-01-25T00:00:00"/>
    <n v="12"/>
    <n v="1002.0675517241378"/>
    <x v="4"/>
    <s v="Middle"/>
    <s v="Normal"/>
    <s v="NO"/>
    <s v="Within Average"/>
    <x v="7"/>
  </r>
  <r>
    <x v="406"/>
    <n v="57"/>
    <x v="0"/>
    <x v="1"/>
    <x v="5"/>
    <d v="2024-08-06T00:00:00"/>
    <n v="12"/>
    <n v="1002.0675517241378"/>
    <x v="2"/>
    <s v="Middle"/>
    <s v="Normal"/>
    <s v="NO"/>
    <s v="Within Average"/>
    <x v="5"/>
  </r>
  <r>
    <x v="407"/>
    <n v="57"/>
    <x v="0"/>
    <x v="3"/>
    <x v="4"/>
    <d v="2024-02-10T00:00:00"/>
    <n v="12"/>
    <n v="1637.2"/>
    <x v="2"/>
    <s v="Middle"/>
    <s v="High Cost"/>
    <s v="NO"/>
    <s v="Above Average"/>
    <x v="9"/>
  </r>
  <r>
    <x v="408"/>
    <n v="57"/>
    <x v="1"/>
    <x v="6"/>
    <x v="5"/>
    <d v="2024-10-22T00:00:00"/>
    <n v="12"/>
    <n v="1639.19"/>
    <x v="1"/>
    <s v="Middle"/>
    <s v="High Cost"/>
    <s v="NO"/>
    <s v="Above Average"/>
    <x v="10"/>
  </r>
  <r>
    <x v="409"/>
    <n v="57"/>
    <x v="0"/>
    <x v="5"/>
    <x v="4"/>
    <d v="2024-02-14T00:00:00"/>
    <n v="12"/>
    <n v="898.94"/>
    <x v="0"/>
    <s v="Middle"/>
    <s v="Normal"/>
    <s v="NO"/>
    <s v="Within Average"/>
    <x v="9"/>
  </r>
  <r>
    <x v="410"/>
    <n v="57"/>
    <x v="2"/>
    <x v="7"/>
    <x v="1"/>
    <d v="2024-07-27T00:00:00"/>
    <n v="4"/>
    <n v="770.61"/>
    <x v="1"/>
    <s v="Middle"/>
    <s v="Normal"/>
    <s v="NO"/>
    <s v="Within Average"/>
    <x v="6"/>
  </r>
  <r>
    <x v="411"/>
    <n v="57"/>
    <x v="1"/>
    <x v="2"/>
    <x v="3"/>
    <s v="Unknown"/>
    <n v="12"/>
    <n v="1002.0675517241378"/>
    <x v="2"/>
    <s v="Middle"/>
    <s v="Normal"/>
    <s v="NO"/>
    <s v="Within Average"/>
    <x v="3"/>
  </r>
  <r>
    <x v="412"/>
    <n v="57"/>
    <x v="1"/>
    <x v="3"/>
    <x v="5"/>
    <d v="2024-11-24T00:00:00"/>
    <n v="11"/>
    <n v="1920.08"/>
    <x v="1"/>
    <s v="Middle"/>
    <s v="High Cost"/>
    <s v="NO"/>
    <s v="Above Average"/>
    <x v="1"/>
  </r>
  <r>
    <x v="413"/>
    <n v="57"/>
    <x v="2"/>
    <x v="6"/>
    <x v="5"/>
    <d v="2024-02-10T00:00:00"/>
    <n v="4"/>
    <n v="1002.0675517241378"/>
    <x v="0"/>
    <s v="Middle"/>
    <s v="Normal"/>
    <s v="NO"/>
    <s v="Within Average"/>
    <x v="9"/>
  </r>
  <r>
    <x v="414"/>
    <n v="57"/>
    <x v="1"/>
    <x v="0"/>
    <x v="3"/>
    <d v="2024-12-08T00:00:00"/>
    <n v="13"/>
    <n v="1542.16"/>
    <x v="1"/>
    <s v="Middle"/>
    <s v="High Cost"/>
    <s v="NO"/>
    <s v="Above Average"/>
    <x v="0"/>
  </r>
  <r>
    <x v="415"/>
    <n v="57"/>
    <x v="1"/>
    <x v="3"/>
    <x v="3"/>
    <d v="2024-01-08T00:00:00"/>
    <n v="12"/>
    <n v="1002.0675517241378"/>
    <x v="2"/>
    <s v="Middle"/>
    <s v="Normal"/>
    <s v="NO"/>
    <s v="Within Average"/>
    <x v="7"/>
  </r>
  <r>
    <x v="416"/>
    <n v="57"/>
    <x v="0"/>
    <x v="4"/>
    <x v="4"/>
    <d v="2024-11-30T00:00:00"/>
    <n v="12"/>
    <n v="1160.73"/>
    <x v="4"/>
    <s v="Middle"/>
    <s v="Normal"/>
    <s v="NO"/>
    <s v="Above Average"/>
    <x v="1"/>
  </r>
  <r>
    <x v="417"/>
    <n v="57"/>
    <x v="2"/>
    <x v="3"/>
    <x v="5"/>
    <d v="2024-04-24T00:00:00"/>
    <n v="12"/>
    <n v="220.65"/>
    <x v="3"/>
    <s v="Middle"/>
    <s v="Normal"/>
    <s v="NO"/>
    <s v="Within Average"/>
    <x v="11"/>
  </r>
  <r>
    <x v="418"/>
    <n v="57"/>
    <x v="2"/>
    <x v="7"/>
    <x v="4"/>
    <d v="2024-11-28T00:00:00"/>
    <n v="12"/>
    <n v="1002.0675517241378"/>
    <x v="2"/>
    <s v="Middle"/>
    <s v="Normal"/>
    <s v="NO"/>
    <s v="Within Average"/>
    <x v="1"/>
  </r>
  <r>
    <x v="419"/>
    <n v="57"/>
    <x v="0"/>
    <x v="6"/>
    <x v="4"/>
    <s v="Unknown"/>
    <n v="6"/>
    <n v="1002.0675517241378"/>
    <x v="3"/>
    <s v="Middle"/>
    <s v="Normal"/>
    <s v="NO"/>
    <s v="Within Average"/>
    <x v="3"/>
  </r>
  <r>
    <x v="420"/>
    <n v="57"/>
    <x v="2"/>
    <x v="0"/>
    <x v="2"/>
    <d v="2024-12-02T00:00:00"/>
    <n v="12"/>
    <n v="1819.53"/>
    <x v="2"/>
    <s v="Middle"/>
    <s v="High Cost"/>
    <s v="NO"/>
    <s v="Above Average"/>
    <x v="0"/>
  </r>
  <r>
    <x v="421"/>
    <n v="57"/>
    <x v="1"/>
    <x v="0"/>
    <x v="3"/>
    <s v="Unknown"/>
    <n v="14"/>
    <n v="1853.75"/>
    <x v="1"/>
    <s v="Middle"/>
    <s v="High Cost"/>
    <s v="NO"/>
    <s v="Above Average"/>
    <x v="3"/>
  </r>
  <r>
    <x v="422"/>
    <n v="57"/>
    <x v="2"/>
    <x v="0"/>
    <x v="4"/>
    <s v="Unknown"/>
    <n v="14"/>
    <n v="1002.0675517241378"/>
    <x v="3"/>
    <s v="Middle"/>
    <s v="Normal"/>
    <s v="NO"/>
    <s v="Within Average"/>
    <x v="3"/>
  </r>
  <r>
    <x v="423"/>
    <n v="57"/>
    <x v="2"/>
    <x v="7"/>
    <x v="4"/>
    <d v="2024-07-01T00:00:00"/>
    <n v="3"/>
    <n v="1002.0675517241378"/>
    <x v="4"/>
    <s v="Middle"/>
    <s v="Normal"/>
    <s v="NO"/>
    <s v="Within Average"/>
    <x v="6"/>
  </r>
  <r>
    <x v="424"/>
    <n v="57"/>
    <x v="1"/>
    <x v="2"/>
    <x v="2"/>
    <d v="2024-03-22T00:00:00"/>
    <n v="12"/>
    <n v="1002.0675517241378"/>
    <x v="2"/>
    <s v="Middle"/>
    <s v="Normal"/>
    <s v="NO"/>
    <s v="Within Average"/>
    <x v="4"/>
  </r>
  <r>
    <x v="425"/>
    <n v="57"/>
    <x v="0"/>
    <x v="1"/>
    <x v="2"/>
    <d v="2024-05-28T00:00:00"/>
    <n v="12"/>
    <n v="1002.0675517241378"/>
    <x v="2"/>
    <s v="Middle"/>
    <s v="Normal"/>
    <s v="NO"/>
    <s v="Within Average"/>
    <x v="8"/>
  </r>
  <r>
    <x v="426"/>
    <n v="57"/>
    <x v="1"/>
    <x v="3"/>
    <x v="0"/>
    <s v="Unknown"/>
    <n v="12"/>
    <n v="1002.0675517241378"/>
    <x v="4"/>
    <s v="Middle"/>
    <s v="Normal"/>
    <s v="NO"/>
    <s v="Within Average"/>
    <x v="3"/>
  </r>
  <r>
    <x v="427"/>
    <n v="57"/>
    <x v="1"/>
    <x v="0"/>
    <x v="5"/>
    <d v="2024-04-10T00:00:00"/>
    <n v="19"/>
    <n v="1002.0675517241378"/>
    <x v="0"/>
    <s v="Middle"/>
    <s v="Normal"/>
    <s v="NO"/>
    <s v="Within Average"/>
    <x v="11"/>
  </r>
  <r>
    <x v="428"/>
    <n v="57"/>
    <x v="1"/>
    <x v="7"/>
    <x v="5"/>
    <d v="2024-06-24T00:00:00"/>
    <n v="12"/>
    <n v="1002.0675517241378"/>
    <x v="1"/>
    <s v="Middle"/>
    <s v="Normal"/>
    <s v="NO"/>
    <s v="Within Average"/>
    <x v="2"/>
  </r>
  <r>
    <x v="429"/>
    <n v="57"/>
    <x v="1"/>
    <x v="5"/>
    <x v="4"/>
    <d v="2024-08-14T00:00:00"/>
    <n v="18"/>
    <n v="1002.0675517241378"/>
    <x v="3"/>
    <s v="Middle"/>
    <s v="Normal"/>
    <s v="NO"/>
    <s v="Within Average"/>
    <x v="5"/>
  </r>
  <r>
    <x v="430"/>
    <n v="57"/>
    <x v="1"/>
    <x v="5"/>
    <x v="5"/>
    <d v="2024-12-12T00:00:00"/>
    <n v="12"/>
    <n v="1002.0675517241378"/>
    <x v="4"/>
    <s v="Middle"/>
    <s v="Normal"/>
    <s v="NO"/>
    <s v="Within Average"/>
    <x v="0"/>
  </r>
  <r>
    <x v="431"/>
    <n v="57"/>
    <x v="0"/>
    <x v="5"/>
    <x v="2"/>
    <d v="2024-03-16T00:00:00"/>
    <n v="12"/>
    <n v="1002.0675517241378"/>
    <x v="1"/>
    <s v="Middle"/>
    <s v="Normal"/>
    <s v="NO"/>
    <s v="Within Average"/>
    <x v="4"/>
  </r>
  <r>
    <x v="432"/>
    <n v="57"/>
    <x v="0"/>
    <x v="1"/>
    <x v="4"/>
    <d v="2024-04-15T00:00:00"/>
    <n v="12"/>
    <n v="1002.0675517241378"/>
    <x v="1"/>
    <s v="Middle"/>
    <s v="Normal"/>
    <s v="NO"/>
    <s v="Within Average"/>
    <x v="11"/>
  </r>
  <r>
    <x v="433"/>
    <n v="57"/>
    <x v="1"/>
    <x v="7"/>
    <x v="4"/>
    <d v="2024-11-07T00:00:00"/>
    <n v="12"/>
    <n v="1002.0675517241378"/>
    <x v="0"/>
    <s v="Middle"/>
    <s v="Normal"/>
    <s v="NO"/>
    <s v="Within Average"/>
    <x v="1"/>
  </r>
  <r>
    <x v="434"/>
    <n v="57"/>
    <x v="2"/>
    <x v="1"/>
    <x v="4"/>
    <d v="2024-03-08T00:00:00"/>
    <n v="16"/>
    <n v="1886.07"/>
    <x v="4"/>
    <s v="Middle"/>
    <s v="High Cost"/>
    <s v="NO"/>
    <s v="Above Average"/>
    <x v="4"/>
  </r>
  <r>
    <x v="435"/>
    <n v="57"/>
    <x v="0"/>
    <x v="6"/>
    <x v="3"/>
    <d v="2024-02-04T00:00:00"/>
    <n v="7"/>
    <n v="1002.0675517241378"/>
    <x v="4"/>
    <s v="Middle"/>
    <s v="Normal"/>
    <s v="NO"/>
    <s v="Within Average"/>
    <x v="9"/>
  </r>
  <r>
    <x v="436"/>
    <n v="57"/>
    <x v="2"/>
    <x v="7"/>
    <x v="3"/>
    <d v="2024-12-02T00:00:00"/>
    <n v="12"/>
    <n v="1002.0675517241378"/>
    <x v="0"/>
    <s v="Middle"/>
    <s v="Normal"/>
    <s v="NO"/>
    <s v="Within Average"/>
    <x v="0"/>
  </r>
  <r>
    <x v="437"/>
    <n v="57"/>
    <x v="0"/>
    <x v="1"/>
    <x v="0"/>
    <d v="2024-06-14T00:00:00"/>
    <n v="17"/>
    <n v="1002.0675517241378"/>
    <x v="3"/>
    <s v="Middle"/>
    <s v="Normal"/>
    <s v="NO"/>
    <s v="Within Average"/>
    <x v="2"/>
  </r>
  <r>
    <x v="438"/>
    <n v="57"/>
    <x v="1"/>
    <x v="2"/>
    <x v="4"/>
    <d v="2024-09-29T00:00:00"/>
    <n v="12"/>
    <n v="1002.0675517241378"/>
    <x v="1"/>
    <s v="Middle"/>
    <s v="Normal"/>
    <s v="NO"/>
    <s v="Within Average"/>
    <x v="12"/>
  </r>
  <r>
    <x v="439"/>
    <n v="57"/>
    <x v="0"/>
    <x v="0"/>
    <x v="3"/>
    <s v="Unknown"/>
    <n v="12"/>
    <n v="1002.0675517241378"/>
    <x v="2"/>
    <s v="Middle"/>
    <s v="Normal"/>
    <s v="NO"/>
    <s v="Within Average"/>
    <x v="3"/>
  </r>
  <r>
    <x v="440"/>
    <n v="57"/>
    <x v="2"/>
    <x v="5"/>
    <x v="3"/>
    <d v="2024-03-02T00:00:00"/>
    <n v="12"/>
    <n v="1002.0675517241378"/>
    <x v="2"/>
    <s v="Middle"/>
    <s v="Normal"/>
    <s v="NO"/>
    <s v="Within Average"/>
    <x v="4"/>
  </r>
  <r>
    <x v="441"/>
    <n v="57"/>
    <x v="2"/>
    <x v="3"/>
    <x v="3"/>
    <d v="2024-07-05T00:00:00"/>
    <n v="12"/>
    <n v="1002.0675517241378"/>
    <x v="4"/>
    <s v="Middle"/>
    <s v="Normal"/>
    <s v="NO"/>
    <s v="Within Average"/>
    <x v="6"/>
  </r>
  <r>
    <x v="442"/>
    <n v="57"/>
    <x v="2"/>
    <x v="0"/>
    <x v="2"/>
    <d v="2024-10-23T00:00:00"/>
    <n v="12"/>
    <n v="1002.0675517241378"/>
    <x v="3"/>
    <s v="Middle"/>
    <s v="Normal"/>
    <s v="NO"/>
    <s v="Within Average"/>
    <x v="10"/>
  </r>
  <r>
    <x v="443"/>
    <n v="57"/>
    <x v="0"/>
    <x v="5"/>
    <x v="3"/>
    <d v="2024-12-02T00:00:00"/>
    <n v="5"/>
    <n v="829.22"/>
    <x v="3"/>
    <s v="Middle"/>
    <s v="Normal"/>
    <s v="NO"/>
    <s v="Within Average"/>
    <x v="0"/>
  </r>
  <r>
    <x v="444"/>
    <n v="57"/>
    <x v="0"/>
    <x v="3"/>
    <x v="0"/>
    <d v="2024-03-26T00:00:00"/>
    <n v="12"/>
    <n v="1002.0675517241378"/>
    <x v="4"/>
    <s v="Middle"/>
    <s v="Normal"/>
    <s v="NO"/>
    <s v="Within Average"/>
    <x v="4"/>
  </r>
  <r>
    <x v="445"/>
    <n v="57"/>
    <x v="0"/>
    <x v="0"/>
    <x v="2"/>
    <d v="2024-08-08T00:00:00"/>
    <n v="12"/>
    <n v="200.8"/>
    <x v="1"/>
    <s v="Middle"/>
    <s v="Normal"/>
    <s v="NO"/>
    <s v="Within Average"/>
    <x v="5"/>
  </r>
  <r>
    <x v="446"/>
    <n v="57"/>
    <x v="0"/>
    <x v="6"/>
    <x v="4"/>
    <d v="2024-11-24T00:00:00"/>
    <n v="12"/>
    <n v="1002.0675517241378"/>
    <x v="1"/>
    <s v="Middle"/>
    <s v="Normal"/>
    <s v="NO"/>
    <s v="Within Average"/>
    <x v="1"/>
  </r>
  <r>
    <x v="447"/>
    <n v="57"/>
    <x v="0"/>
    <x v="3"/>
    <x v="3"/>
    <s v="Unknown"/>
    <n v="12"/>
    <n v="450.24"/>
    <x v="4"/>
    <s v="Middle"/>
    <s v="Normal"/>
    <s v="NO"/>
    <s v="Within Average"/>
    <x v="3"/>
  </r>
  <r>
    <x v="448"/>
    <n v="57"/>
    <x v="1"/>
    <x v="7"/>
    <x v="4"/>
    <d v="2024-12-20T00:00:00"/>
    <n v="12"/>
    <n v="1002.0675517241378"/>
    <x v="3"/>
    <s v="Middle"/>
    <s v="Normal"/>
    <s v="NO"/>
    <s v="Within Average"/>
    <x v="0"/>
  </r>
  <r>
    <x v="449"/>
    <n v="57"/>
    <x v="2"/>
    <x v="0"/>
    <x v="4"/>
    <d v="2024-12-27T00:00:00"/>
    <n v="12"/>
    <n v="1002.0675517241378"/>
    <x v="0"/>
    <s v="Middle"/>
    <s v="Normal"/>
    <s v="NO"/>
    <s v="Within Average"/>
    <x v="0"/>
  </r>
  <r>
    <x v="450"/>
    <n v="57"/>
    <x v="0"/>
    <x v="2"/>
    <x v="1"/>
    <d v="2024-07-10T00:00:00"/>
    <n v="12"/>
    <n v="1002.0675517241378"/>
    <x v="3"/>
    <s v="Middle"/>
    <s v="Normal"/>
    <s v="NO"/>
    <s v="Within Average"/>
    <x v="6"/>
  </r>
  <r>
    <x v="451"/>
    <n v="57"/>
    <x v="0"/>
    <x v="4"/>
    <x v="5"/>
    <d v="2024-03-20T00:00:00"/>
    <n v="12"/>
    <n v="1002.0675517241378"/>
    <x v="4"/>
    <s v="Middle"/>
    <s v="Normal"/>
    <s v="NO"/>
    <s v="Within Average"/>
    <x v="4"/>
  </r>
  <r>
    <x v="452"/>
    <n v="57"/>
    <x v="0"/>
    <x v="2"/>
    <x v="4"/>
    <s v="Unknown"/>
    <n v="17"/>
    <n v="1002.0675517241378"/>
    <x v="4"/>
    <s v="Middle"/>
    <s v="Normal"/>
    <s v="NO"/>
    <s v="Within Average"/>
    <x v="3"/>
  </r>
  <r>
    <x v="453"/>
    <n v="57"/>
    <x v="0"/>
    <x v="7"/>
    <x v="3"/>
    <d v="2024-02-28T00:00:00"/>
    <n v="12"/>
    <n v="1002.0675517241378"/>
    <x v="4"/>
    <s v="Middle"/>
    <s v="Normal"/>
    <s v="NO"/>
    <s v="Within Average"/>
    <x v="9"/>
  </r>
  <r>
    <x v="454"/>
    <n v="57"/>
    <x v="2"/>
    <x v="3"/>
    <x v="5"/>
    <d v="2024-02-24T00:00:00"/>
    <n v="5"/>
    <n v="386.91"/>
    <x v="2"/>
    <s v="Middle"/>
    <s v="Normal"/>
    <s v="NO"/>
    <s v="Within Average"/>
    <x v="9"/>
  </r>
  <r>
    <x v="455"/>
    <n v="57"/>
    <x v="0"/>
    <x v="0"/>
    <x v="3"/>
    <s v="Unknown"/>
    <n v="12"/>
    <n v="1277.75"/>
    <x v="2"/>
    <s v="Middle"/>
    <s v="High Cost"/>
    <s v="NO"/>
    <s v="Above Average"/>
    <x v="3"/>
  </r>
  <r>
    <x v="456"/>
    <n v="57"/>
    <x v="2"/>
    <x v="4"/>
    <x v="4"/>
    <d v="2024-12-12T00:00:00"/>
    <n v="15"/>
    <n v="1002.0675517241378"/>
    <x v="1"/>
    <s v="Middle"/>
    <s v="Normal"/>
    <s v="NO"/>
    <s v="Within Average"/>
    <x v="0"/>
  </r>
  <r>
    <x v="457"/>
    <n v="57"/>
    <x v="0"/>
    <x v="6"/>
    <x v="3"/>
    <d v="2024-11-26T00:00:00"/>
    <n v="12"/>
    <n v="1002.0675517241378"/>
    <x v="2"/>
    <s v="Middle"/>
    <s v="Normal"/>
    <s v="NO"/>
    <s v="Within Average"/>
    <x v="1"/>
  </r>
  <r>
    <x v="458"/>
    <n v="57"/>
    <x v="2"/>
    <x v="7"/>
    <x v="5"/>
    <d v="2024-08-29T00:00:00"/>
    <n v="6"/>
    <n v="1002.0675517241378"/>
    <x v="1"/>
    <s v="Middle"/>
    <s v="Normal"/>
    <s v="NO"/>
    <s v="Within Average"/>
    <x v="5"/>
  </r>
  <r>
    <x v="459"/>
    <n v="57"/>
    <x v="0"/>
    <x v="4"/>
    <x v="5"/>
    <d v="2024-12-19T00:00:00"/>
    <n v="12"/>
    <n v="1427.85"/>
    <x v="2"/>
    <s v="Middle"/>
    <s v="High Cost"/>
    <s v="NO"/>
    <s v="Above Average"/>
    <x v="0"/>
  </r>
  <r>
    <x v="460"/>
    <n v="57"/>
    <x v="2"/>
    <x v="4"/>
    <x v="1"/>
    <s v="Unknown"/>
    <n v="12"/>
    <n v="88.64"/>
    <x v="2"/>
    <s v="Middle"/>
    <s v="Normal"/>
    <s v="NO"/>
    <s v="Within Average"/>
    <x v="3"/>
  </r>
  <r>
    <x v="461"/>
    <n v="57"/>
    <x v="2"/>
    <x v="1"/>
    <x v="4"/>
    <d v="2024-08-12T00:00:00"/>
    <n v="11"/>
    <n v="628.22"/>
    <x v="3"/>
    <s v="Middle"/>
    <s v="Normal"/>
    <s v="NO"/>
    <s v="Within Average"/>
    <x v="5"/>
  </r>
  <r>
    <x v="462"/>
    <n v="57"/>
    <x v="2"/>
    <x v="6"/>
    <x v="4"/>
    <d v="2024-12-17T00:00:00"/>
    <n v="12"/>
    <n v="1002.0675517241378"/>
    <x v="4"/>
    <s v="Middle"/>
    <s v="Normal"/>
    <s v="NO"/>
    <s v="Within Average"/>
    <x v="0"/>
  </r>
  <r>
    <x v="463"/>
    <n v="57"/>
    <x v="0"/>
    <x v="0"/>
    <x v="4"/>
    <s v="Unknown"/>
    <n v="12"/>
    <n v="1639.06"/>
    <x v="1"/>
    <s v="Middle"/>
    <s v="High Cost"/>
    <s v="NO"/>
    <s v="Above Average"/>
    <x v="3"/>
  </r>
  <r>
    <x v="464"/>
    <n v="57"/>
    <x v="2"/>
    <x v="0"/>
    <x v="3"/>
    <d v="2024-06-10T00:00:00"/>
    <n v="12"/>
    <n v="1002.0675517241378"/>
    <x v="3"/>
    <s v="Middle"/>
    <s v="Normal"/>
    <s v="NO"/>
    <s v="Within Average"/>
    <x v="2"/>
  </r>
  <r>
    <x v="465"/>
    <n v="57"/>
    <x v="2"/>
    <x v="3"/>
    <x v="1"/>
    <s v="Unknown"/>
    <n v="13"/>
    <n v="1002.0675517241378"/>
    <x v="4"/>
    <s v="Middle"/>
    <s v="Normal"/>
    <s v="NO"/>
    <s v="Within Average"/>
    <x v="3"/>
  </r>
  <r>
    <x v="466"/>
    <n v="57"/>
    <x v="1"/>
    <x v="2"/>
    <x v="3"/>
    <d v="2024-05-19T00:00:00"/>
    <n v="19"/>
    <n v="415.31"/>
    <x v="4"/>
    <s v="Middle"/>
    <s v="Normal"/>
    <s v="NO"/>
    <s v="Within Average"/>
    <x v="8"/>
  </r>
  <r>
    <x v="467"/>
    <n v="57"/>
    <x v="0"/>
    <x v="0"/>
    <x v="3"/>
    <d v="2024-10-07T00:00:00"/>
    <n v="6"/>
    <n v="1002.0675517241378"/>
    <x v="3"/>
    <s v="Middle"/>
    <s v="Normal"/>
    <s v="NO"/>
    <s v="Within Average"/>
    <x v="10"/>
  </r>
  <r>
    <x v="468"/>
    <n v="57"/>
    <x v="2"/>
    <x v="1"/>
    <x v="3"/>
    <d v="2024-08-09T00:00:00"/>
    <n v="10"/>
    <n v="1002.0675517241378"/>
    <x v="2"/>
    <s v="Middle"/>
    <s v="Normal"/>
    <s v="NO"/>
    <s v="Within Average"/>
    <x v="5"/>
  </r>
  <r>
    <x v="469"/>
    <n v="57"/>
    <x v="2"/>
    <x v="1"/>
    <x v="0"/>
    <d v="2024-06-02T00:00:00"/>
    <n v="12"/>
    <n v="1625.57"/>
    <x v="2"/>
    <s v="Middle"/>
    <s v="High Cost"/>
    <s v="NO"/>
    <s v="Above Average"/>
    <x v="2"/>
  </r>
  <r>
    <x v="470"/>
    <n v="57"/>
    <x v="0"/>
    <x v="4"/>
    <x v="5"/>
    <d v="2024-01-29T00:00:00"/>
    <n v="12"/>
    <n v="1002.0675517241378"/>
    <x v="4"/>
    <s v="Middle"/>
    <s v="Normal"/>
    <s v="NO"/>
    <s v="Within Average"/>
    <x v="7"/>
  </r>
  <r>
    <x v="471"/>
    <n v="57"/>
    <x v="0"/>
    <x v="0"/>
    <x v="4"/>
    <d v="2024-05-14T00:00:00"/>
    <n v="12"/>
    <n v="1002.0675517241378"/>
    <x v="3"/>
    <s v="Middle"/>
    <s v="Normal"/>
    <s v="NO"/>
    <s v="Within Average"/>
    <x v="8"/>
  </r>
  <r>
    <x v="472"/>
    <n v="57"/>
    <x v="2"/>
    <x v="0"/>
    <x v="3"/>
    <d v="2024-06-30T00:00:00"/>
    <n v="12"/>
    <n v="1049.71"/>
    <x v="2"/>
    <s v="Middle"/>
    <s v="Normal"/>
    <s v="NO"/>
    <s v="Above Average"/>
    <x v="2"/>
  </r>
  <r>
    <x v="473"/>
    <n v="57"/>
    <x v="2"/>
    <x v="1"/>
    <x v="0"/>
    <d v="2024-02-16T00:00:00"/>
    <n v="12"/>
    <n v="1498.23"/>
    <x v="2"/>
    <s v="Middle"/>
    <s v="High Cost"/>
    <s v="NO"/>
    <s v="Above Average"/>
    <x v="9"/>
  </r>
  <r>
    <x v="474"/>
    <n v="57"/>
    <x v="2"/>
    <x v="2"/>
    <x v="3"/>
    <d v="2024-12-06T00:00:00"/>
    <n v="12"/>
    <n v="1002.0675517241378"/>
    <x v="3"/>
    <s v="Middle"/>
    <s v="Normal"/>
    <s v="NO"/>
    <s v="Within Average"/>
    <x v="0"/>
  </r>
  <r>
    <x v="475"/>
    <n v="57"/>
    <x v="2"/>
    <x v="0"/>
    <x v="4"/>
    <s v="Unknown"/>
    <n v="12"/>
    <n v="1002.0675517241378"/>
    <x v="4"/>
    <s v="Middle"/>
    <s v="Normal"/>
    <s v="NO"/>
    <s v="Within Average"/>
    <x v="3"/>
  </r>
  <r>
    <x v="476"/>
    <n v="57"/>
    <x v="2"/>
    <x v="0"/>
    <x v="3"/>
    <d v="2024-05-27T00:00:00"/>
    <n v="18"/>
    <n v="1002.0675517241378"/>
    <x v="0"/>
    <s v="Middle"/>
    <s v="Normal"/>
    <s v="NO"/>
    <s v="Within Average"/>
    <x v="8"/>
  </r>
  <r>
    <x v="477"/>
    <n v="57"/>
    <x v="0"/>
    <x v="0"/>
    <x v="3"/>
    <d v="2024-09-03T00:00:00"/>
    <n v="12"/>
    <n v="1002.0675517241378"/>
    <x v="2"/>
    <s v="Middle"/>
    <s v="Normal"/>
    <s v="NO"/>
    <s v="Within Average"/>
    <x v="12"/>
  </r>
  <r>
    <x v="478"/>
    <n v="57"/>
    <x v="2"/>
    <x v="3"/>
    <x v="4"/>
    <d v="2024-10-04T00:00:00"/>
    <n v="11"/>
    <n v="1002.0675517241378"/>
    <x v="4"/>
    <s v="Middle"/>
    <s v="Normal"/>
    <s v="NO"/>
    <s v="Within Average"/>
    <x v="10"/>
  </r>
  <r>
    <x v="479"/>
    <n v="57"/>
    <x v="0"/>
    <x v="0"/>
    <x v="4"/>
    <d v="2024-09-23T00:00:00"/>
    <n v="18"/>
    <n v="1002.0675517241378"/>
    <x v="3"/>
    <s v="Middle"/>
    <s v="Normal"/>
    <s v="NO"/>
    <s v="Within Average"/>
    <x v="12"/>
  </r>
  <r>
    <x v="480"/>
    <n v="57"/>
    <x v="1"/>
    <x v="3"/>
    <x v="3"/>
    <d v="2024-11-04T00:00:00"/>
    <n v="12"/>
    <n v="1002.0675517241378"/>
    <x v="3"/>
    <s v="Middle"/>
    <s v="Normal"/>
    <s v="NO"/>
    <s v="Within Average"/>
    <x v="1"/>
  </r>
  <r>
    <x v="481"/>
    <n v="57"/>
    <x v="0"/>
    <x v="4"/>
    <x v="5"/>
    <d v="2024-07-03T00:00:00"/>
    <n v="12"/>
    <n v="1002.0675517241378"/>
    <x v="1"/>
    <s v="Middle"/>
    <s v="Normal"/>
    <s v="NO"/>
    <s v="Within Average"/>
    <x v="6"/>
  </r>
  <r>
    <x v="482"/>
    <n v="57"/>
    <x v="0"/>
    <x v="3"/>
    <x v="1"/>
    <d v="2024-06-02T00:00:00"/>
    <n v="12"/>
    <n v="1002.0675517241378"/>
    <x v="3"/>
    <s v="Middle"/>
    <s v="Normal"/>
    <s v="NO"/>
    <s v="Within Average"/>
    <x v="2"/>
  </r>
  <r>
    <x v="483"/>
    <n v="57"/>
    <x v="0"/>
    <x v="3"/>
    <x v="3"/>
    <d v="2024-01-02T00:00:00"/>
    <n v="13"/>
    <n v="1002.0675517241378"/>
    <x v="0"/>
    <s v="Middle"/>
    <s v="Normal"/>
    <s v="NO"/>
    <s v="Within Average"/>
    <x v="7"/>
  </r>
  <r>
    <x v="484"/>
    <n v="57"/>
    <x v="1"/>
    <x v="5"/>
    <x v="5"/>
    <d v="2024-05-01T00:00:00"/>
    <n v="7"/>
    <n v="691.08"/>
    <x v="4"/>
    <s v="Middle"/>
    <s v="Normal"/>
    <s v="NO"/>
    <s v="Within Average"/>
    <x v="8"/>
  </r>
  <r>
    <x v="485"/>
    <n v="57"/>
    <x v="0"/>
    <x v="2"/>
    <x v="5"/>
    <s v="Unknown"/>
    <n v="12"/>
    <n v="1002.0675517241378"/>
    <x v="0"/>
    <s v="Middle"/>
    <s v="Normal"/>
    <s v="NO"/>
    <s v="Within Average"/>
    <x v="3"/>
  </r>
  <r>
    <x v="486"/>
    <n v="57"/>
    <x v="2"/>
    <x v="0"/>
    <x v="4"/>
    <d v="2024-04-14T00:00:00"/>
    <n v="12"/>
    <n v="1002.0675517241378"/>
    <x v="4"/>
    <s v="Middle"/>
    <s v="Normal"/>
    <s v="NO"/>
    <s v="Within Average"/>
    <x v="11"/>
  </r>
  <r>
    <x v="487"/>
    <n v="57"/>
    <x v="2"/>
    <x v="7"/>
    <x v="3"/>
    <d v="2024-11-01T00:00:00"/>
    <n v="12"/>
    <n v="1002.0675517241378"/>
    <x v="0"/>
    <s v="Middle"/>
    <s v="Normal"/>
    <s v="NO"/>
    <s v="Within Average"/>
    <x v="1"/>
  </r>
  <r>
    <x v="488"/>
    <n v="57"/>
    <x v="0"/>
    <x v="7"/>
    <x v="4"/>
    <d v="2024-12-11T00:00:00"/>
    <n v="12"/>
    <n v="1002.0675517241378"/>
    <x v="1"/>
    <s v="Middle"/>
    <s v="Normal"/>
    <s v="NO"/>
    <s v="Within Average"/>
    <x v="0"/>
  </r>
  <r>
    <x v="489"/>
    <n v="57"/>
    <x v="2"/>
    <x v="5"/>
    <x v="1"/>
    <d v="2024-02-04T00:00:00"/>
    <n v="12"/>
    <n v="1002.0675517241378"/>
    <x v="3"/>
    <s v="Middle"/>
    <s v="Normal"/>
    <s v="NO"/>
    <s v="Within Average"/>
    <x v="9"/>
  </r>
  <r>
    <x v="490"/>
    <n v="57"/>
    <x v="1"/>
    <x v="4"/>
    <x v="3"/>
    <d v="2024-01-26T00:00:00"/>
    <n v="12"/>
    <n v="1002.0675517241378"/>
    <x v="2"/>
    <s v="Middle"/>
    <s v="Normal"/>
    <s v="NO"/>
    <s v="Within Average"/>
    <x v="7"/>
  </r>
  <r>
    <x v="491"/>
    <n v="57"/>
    <x v="2"/>
    <x v="1"/>
    <x v="0"/>
    <s v="Unknown"/>
    <n v="12"/>
    <n v="1002.0675517241378"/>
    <x v="3"/>
    <s v="Middle"/>
    <s v="Normal"/>
    <s v="NO"/>
    <s v="Within Average"/>
    <x v="3"/>
  </r>
  <r>
    <x v="492"/>
    <n v="57"/>
    <x v="0"/>
    <x v="2"/>
    <x v="4"/>
    <d v="2024-09-29T00:00:00"/>
    <n v="12"/>
    <n v="1519.84"/>
    <x v="0"/>
    <s v="Middle"/>
    <s v="High Cost"/>
    <s v="NO"/>
    <s v="Above Average"/>
    <x v="12"/>
  </r>
  <r>
    <x v="493"/>
    <n v="57"/>
    <x v="0"/>
    <x v="0"/>
    <x v="4"/>
    <s v="Unknown"/>
    <n v="12"/>
    <n v="1002.0675517241378"/>
    <x v="1"/>
    <s v="Middle"/>
    <s v="Normal"/>
    <s v="NO"/>
    <s v="Within Average"/>
    <x v="3"/>
  </r>
  <r>
    <x v="494"/>
    <n v="57"/>
    <x v="0"/>
    <x v="7"/>
    <x v="4"/>
    <d v="2024-07-16T00:00:00"/>
    <n v="9"/>
    <n v="1002.0675517241378"/>
    <x v="3"/>
    <s v="Middle"/>
    <s v="Normal"/>
    <s v="NO"/>
    <s v="Within Average"/>
    <x v="6"/>
  </r>
  <r>
    <x v="495"/>
    <n v="57"/>
    <x v="0"/>
    <x v="7"/>
    <x v="4"/>
    <d v="2024-05-10T00:00:00"/>
    <n v="12"/>
    <n v="1002.0675517241378"/>
    <x v="1"/>
    <s v="Middle"/>
    <s v="Normal"/>
    <s v="NO"/>
    <s v="Within Average"/>
    <x v="8"/>
  </r>
  <r>
    <x v="496"/>
    <n v="57"/>
    <x v="0"/>
    <x v="1"/>
    <x v="3"/>
    <d v="2024-11-13T00:00:00"/>
    <n v="12"/>
    <n v="1040.71"/>
    <x v="4"/>
    <s v="Middle"/>
    <s v="Normal"/>
    <s v="NO"/>
    <s v="Above Average"/>
    <x v="1"/>
  </r>
  <r>
    <x v="497"/>
    <n v="57"/>
    <x v="2"/>
    <x v="6"/>
    <x v="1"/>
    <d v="2024-08-25T00:00:00"/>
    <n v="12"/>
    <n v="1221.1600000000001"/>
    <x v="4"/>
    <s v="Middle"/>
    <s v="High Cost"/>
    <s v="NO"/>
    <s v="Above Average"/>
    <x v="5"/>
  </r>
  <r>
    <x v="498"/>
    <n v="57"/>
    <x v="2"/>
    <x v="6"/>
    <x v="5"/>
    <d v="2024-02-15T00:00:00"/>
    <n v="3"/>
    <n v="1002.0675517241378"/>
    <x v="3"/>
    <s v="Middle"/>
    <s v="Normal"/>
    <s v="NO"/>
    <s v="Within Average"/>
    <x v="9"/>
  </r>
  <r>
    <x v="499"/>
    <n v="57"/>
    <x v="0"/>
    <x v="2"/>
    <x v="1"/>
    <d v="2024-02-28T00:00:00"/>
    <n v="15"/>
    <n v="1002.0675517241378"/>
    <x v="2"/>
    <s v="Middle"/>
    <s v="Normal"/>
    <s v="NO"/>
    <s v="Within Average"/>
    <x v="9"/>
  </r>
  <r>
    <x v="500"/>
    <n v="57"/>
    <x v="0"/>
    <x v="1"/>
    <x v="4"/>
    <d v="2024-08-27T00:00:00"/>
    <n v="8"/>
    <n v="1002.0675517241378"/>
    <x v="2"/>
    <s v="Middle"/>
    <s v="Normal"/>
    <s v="NO"/>
    <s v="Within Average"/>
    <x v="5"/>
  </r>
  <r>
    <x v="501"/>
    <n v="57"/>
    <x v="1"/>
    <x v="0"/>
    <x v="4"/>
    <d v="2024-04-08T00:00:00"/>
    <n v="12"/>
    <n v="1002.0675517241378"/>
    <x v="4"/>
    <s v="Middle"/>
    <s v="Normal"/>
    <s v="NO"/>
    <s v="Within Average"/>
    <x v="11"/>
  </r>
  <r>
    <x v="502"/>
    <n v="57"/>
    <x v="0"/>
    <x v="7"/>
    <x v="5"/>
    <d v="2024-09-10T00:00:00"/>
    <n v="12"/>
    <n v="45.45"/>
    <x v="3"/>
    <s v="Middle"/>
    <s v="Normal"/>
    <s v="NO"/>
    <s v="Within Average"/>
    <x v="12"/>
  </r>
  <r>
    <x v="503"/>
    <n v="57"/>
    <x v="2"/>
    <x v="2"/>
    <x v="3"/>
    <d v="2024-08-25T00:00:00"/>
    <n v="15"/>
    <n v="1002.0675517241378"/>
    <x v="0"/>
    <s v="Middle"/>
    <s v="Normal"/>
    <s v="NO"/>
    <s v="Within Average"/>
    <x v="5"/>
  </r>
  <r>
    <x v="504"/>
    <n v="57"/>
    <x v="0"/>
    <x v="5"/>
    <x v="3"/>
    <d v="2024-05-11T00:00:00"/>
    <n v="8"/>
    <n v="1002.0675517241378"/>
    <x v="0"/>
    <s v="Middle"/>
    <s v="Normal"/>
    <s v="NO"/>
    <s v="Within Average"/>
    <x v="8"/>
  </r>
  <r>
    <x v="505"/>
    <n v="57"/>
    <x v="2"/>
    <x v="6"/>
    <x v="5"/>
    <d v="2024-10-24T00:00:00"/>
    <n v="12"/>
    <n v="1002.0675517241378"/>
    <x v="4"/>
    <s v="Middle"/>
    <s v="Normal"/>
    <s v="NO"/>
    <s v="Within Average"/>
    <x v="10"/>
  </r>
  <r>
    <x v="506"/>
    <n v="57"/>
    <x v="1"/>
    <x v="0"/>
    <x v="0"/>
    <d v="2024-02-29T00:00:00"/>
    <n v="12"/>
    <n v="751.31"/>
    <x v="4"/>
    <s v="Middle"/>
    <s v="Normal"/>
    <s v="NO"/>
    <s v="Within Average"/>
    <x v="9"/>
  </r>
  <r>
    <x v="507"/>
    <n v="57"/>
    <x v="2"/>
    <x v="7"/>
    <x v="3"/>
    <d v="2024-01-15T00:00:00"/>
    <n v="12"/>
    <n v="822.82"/>
    <x v="3"/>
    <s v="Middle"/>
    <s v="Normal"/>
    <s v="NO"/>
    <s v="Within Average"/>
    <x v="7"/>
  </r>
  <r>
    <x v="508"/>
    <n v="57"/>
    <x v="2"/>
    <x v="4"/>
    <x v="5"/>
    <d v="2024-04-18T00:00:00"/>
    <n v="12"/>
    <n v="1002.0675517241378"/>
    <x v="0"/>
    <s v="Middle"/>
    <s v="Normal"/>
    <s v="NO"/>
    <s v="Within Average"/>
    <x v="11"/>
  </r>
  <r>
    <x v="509"/>
    <n v="57"/>
    <x v="0"/>
    <x v="7"/>
    <x v="5"/>
    <d v="2024-09-19T00:00:00"/>
    <n v="12"/>
    <n v="1002.0675517241378"/>
    <x v="4"/>
    <s v="Middle"/>
    <s v="Normal"/>
    <s v="NO"/>
    <s v="Within Average"/>
    <x v="12"/>
  </r>
  <r>
    <x v="510"/>
    <n v="57"/>
    <x v="0"/>
    <x v="7"/>
    <x v="3"/>
    <d v="2024-07-26T00:00:00"/>
    <n v="4"/>
    <n v="1002.0675517241378"/>
    <x v="3"/>
    <s v="Middle"/>
    <s v="Normal"/>
    <s v="NO"/>
    <s v="Within Average"/>
    <x v="6"/>
  </r>
  <r>
    <x v="511"/>
    <n v="57"/>
    <x v="2"/>
    <x v="6"/>
    <x v="0"/>
    <d v="2024-01-25T00:00:00"/>
    <n v="12"/>
    <n v="113.19"/>
    <x v="4"/>
    <s v="Middle"/>
    <s v="Normal"/>
    <s v="NO"/>
    <s v="Within Average"/>
    <x v="7"/>
  </r>
  <r>
    <x v="512"/>
    <n v="57"/>
    <x v="0"/>
    <x v="5"/>
    <x v="5"/>
    <d v="2024-08-04T00:00:00"/>
    <n v="6"/>
    <n v="1002.0675517241378"/>
    <x v="0"/>
    <s v="Middle"/>
    <s v="Normal"/>
    <s v="NO"/>
    <s v="Within Average"/>
    <x v="5"/>
  </r>
  <r>
    <x v="513"/>
    <n v="57"/>
    <x v="0"/>
    <x v="6"/>
    <x v="0"/>
    <d v="2024-10-26T00:00:00"/>
    <n v="5"/>
    <n v="1002.0675517241378"/>
    <x v="1"/>
    <s v="Middle"/>
    <s v="Normal"/>
    <s v="NO"/>
    <s v="Within Average"/>
    <x v="10"/>
  </r>
  <r>
    <x v="514"/>
    <n v="57"/>
    <x v="2"/>
    <x v="0"/>
    <x v="4"/>
    <d v="2024-10-11T00:00:00"/>
    <n v="12"/>
    <n v="1002.0675517241378"/>
    <x v="0"/>
    <s v="Middle"/>
    <s v="Normal"/>
    <s v="NO"/>
    <s v="Within Average"/>
    <x v="10"/>
  </r>
  <r>
    <x v="515"/>
    <n v="57"/>
    <x v="2"/>
    <x v="1"/>
    <x v="0"/>
    <d v="2024-04-16T00:00:00"/>
    <n v="3"/>
    <n v="1002.0675517241378"/>
    <x v="0"/>
    <s v="Middle"/>
    <s v="Normal"/>
    <s v="NO"/>
    <s v="Within Average"/>
    <x v="11"/>
  </r>
  <r>
    <x v="516"/>
    <n v="57"/>
    <x v="0"/>
    <x v="3"/>
    <x v="1"/>
    <s v="Unknown"/>
    <n v="12"/>
    <n v="1002.0675517241378"/>
    <x v="3"/>
    <s v="Middle"/>
    <s v="Normal"/>
    <s v="NO"/>
    <s v="Within Average"/>
    <x v="3"/>
  </r>
  <r>
    <x v="517"/>
    <n v="57"/>
    <x v="0"/>
    <x v="3"/>
    <x v="5"/>
    <s v="Unknown"/>
    <n v="12"/>
    <n v="1002.0675517241378"/>
    <x v="2"/>
    <s v="Middle"/>
    <s v="Normal"/>
    <s v="NO"/>
    <s v="Within Average"/>
    <x v="3"/>
  </r>
  <r>
    <x v="518"/>
    <n v="57"/>
    <x v="1"/>
    <x v="7"/>
    <x v="1"/>
    <s v="Unknown"/>
    <n v="15"/>
    <n v="1002.0675517241378"/>
    <x v="2"/>
    <s v="Middle"/>
    <s v="Normal"/>
    <s v="NO"/>
    <s v="Within Average"/>
    <x v="3"/>
  </r>
  <r>
    <x v="519"/>
    <n v="57"/>
    <x v="0"/>
    <x v="1"/>
    <x v="4"/>
    <d v="2024-03-21T00:00:00"/>
    <n v="5"/>
    <n v="613.14"/>
    <x v="4"/>
    <s v="Middle"/>
    <s v="Normal"/>
    <s v="NO"/>
    <s v="Within Average"/>
    <x v="4"/>
  </r>
  <r>
    <x v="520"/>
    <n v="57"/>
    <x v="2"/>
    <x v="7"/>
    <x v="5"/>
    <d v="2024-10-02T00:00:00"/>
    <n v="12"/>
    <n v="1002.0675517241378"/>
    <x v="1"/>
    <s v="Middle"/>
    <s v="Normal"/>
    <s v="NO"/>
    <s v="Within Average"/>
    <x v="10"/>
  </r>
  <r>
    <x v="521"/>
    <n v="57"/>
    <x v="2"/>
    <x v="0"/>
    <x v="0"/>
    <d v="2024-05-05T00:00:00"/>
    <n v="12"/>
    <n v="1002.0675517241378"/>
    <x v="0"/>
    <s v="Middle"/>
    <s v="Normal"/>
    <s v="NO"/>
    <s v="Within Average"/>
    <x v="8"/>
  </r>
  <r>
    <x v="522"/>
    <n v="57"/>
    <x v="1"/>
    <x v="3"/>
    <x v="0"/>
    <d v="2024-12-08T00:00:00"/>
    <n v="20"/>
    <n v="1002.0675517241378"/>
    <x v="2"/>
    <s v="Middle"/>
    <s v="Normal"/>
    <s v="NO"/>
    <s v="Within Average"/>
    <x v="0"/>
  </r>
  <r>
    <x v="523"/>
    <n v="57"/>
    <x v="0"/>
    <x v="6"/>
    <x v="3"/>
    <d v="2024-04-12T00:00:00"/>
    <n v="12"/>
    <n v="1548.73"/>
    <x v="3"/>
    <s v="Middle"/>
    <s v="High Cost"/>
    <s v="NO"/>
    <s v="Above Average"/>
    <x v="11"/>
  </r>
  <r>
    <x v="524"/>
    <n v="57"/>
    <x v="0"/>
    <x v="5"/>
    <x v="1"/>
    <s v="Unknown"/>
    <n v="12"/>
    <n v="1129.1199999999999"/>
    <x v="4"/>
    <s v="Middle"/>
    <s v="Normal"/>
    <s v="NO"/>
    <s v="Above Average"/>
    <x v="3"/>
  </r>
  <r>
    <x v="525"/>
    <n v="57"/>
    <x v="0"/>
    <x v="0"/>
    <x v="3"/>
    <d v="2024-03-28T00:00:00"/>
    <n v="12"/>
    <n v="1002.0675517241378"/>
    <x v="2"/>
    <s v="Middle"/>
    <s v="Normal"/>
    <s v="NO"/>
    <s v="Within Average"/>
    <x v="4"/>
  </r>
  <r>
    <x v="526"/>
    <n v="57"/>
    <x v="2"/>
    <x v="7"/>
    <x v="4"/>
    <d v="2024-05-02T00:00:00"/>
    <n v="12"/>
    <n v="1002.0675517241378"/>
    <x v="0"/>
    <s v="Middle"/>
    <s v="Normal"/>
    <s v="NO"/>
    <s v="Within Average"/>
    <x v="8"/>
  </r>
  <r>
    <x v="527"/>
    <n v="57"/>
    <x v="0"/>
    <x v="3"/>
    <x v="3"/>
    <d v="2024-04-21T00:00:00"/>
    <n v="1"/>
    <n v="1002.0675517241378"/>
    <x v="4"/>
    <s v="Middle"/>
    <s v="Normal"/>
    <s v="NO"/>
    <s v="Within Average"/>
    <x v="11"/>
  </r>
  <r>
    <x v="528"/>
    <n v="57"/>
    <x v="2"/>
    <x v="3"/>
    <x v="3"/>
    <d v="2024-02-17T00:00:00"/>
    <n v="12"/>
    <n v="1413.42"/>
    <x v="4"/>
    <s v="Middle"/>
    <s v="High Cost"/>
    <s v="NO"/>
    <s v="Above Average"/>
    <x v="9"/>
  </r>
  <r>
    <x v="529"/>
    <n v="57"/>
    <x v="2"/>
    <x v="7"/>
    <x v="5"/>
    <d v="2024-06-21T00:00:00"/>
    <n v="12"/>
    <n v="1002.0675517241378"/>
    <x v="2"/>
    <s v="Middle"/>
    <s v="Normal"/>
    <s v="NO"/>
    <s v="Within Average"/>
    <x v="2"/>
  </r>
  <r>
    <x v="530"/>
    <n v="57"/>
    <x v="0"/>
    <x v="4"/>
    <x v="0"/>
    <d v="2024-06-07T00:00:00"/>
    <n v="12"/>
    <n v="1002.0675517241378"/>
    <x v="2"/>
    <s v="Middle"/>
    <s v="Normal"/>
    <s v="NO"/>
    <s v="Within Average"/>
    <x v="2"/>
  </r>
  <r>
    <x v="531"/>
    <n v="57"/>
    <x v="0"/>
    <x v="2"/>
    <x v="4"/>
    <d v="2024-12-09T00:00:00"/>
    <n v="2"/>
    <n v="1713.48"/>
    <x v="1"/>
    <s v="Middle"/>
    <s v="High Cost"/>
    <s v="NO"/>
    <s v="Above Average"/>
    <x v="0"/>
  </r>
  <r>
    <x v="532"/>
    <n v="57"/>
    <x v="0"/>
    <x v="5"/>
    <x v="2"/>
    <d v="2024-06-23T00:00:00"/>
    <n v="14"/>
    <n v="1002.0675517241378"/>
    <x v="2"/>
    <s v="Middle"/>
    <s v="Normal"/>
    <s v="NO"/>
    <s v="Within Average"/>
    <x v="2"/>
  </r>
  <r>
    <x v="533"/>
    <n v="57"/>
    <x v="1"/>
    <x v="2"/>
    <x v="2"/>
    <d v="2024-11-23T00:00:00"/>
    <n v="12"/>
    <n v="1566.13"/>
    <x v="2"/>
    <s v="Middle"/>
    <s v="High Cost"/>
    <s v="NO"/>
    <s v="Above Average"/>
    <x v="1"/>
  </r>
  <r>
    <x v="534"/>
    <n v="57"/>
    <x v="1"/>
    <x v="4"/>
    <x v="1"/>
    <d v="2024-07-27T00:00:00"/>
    <n v="18"/>
    <n v="238.18"/>
    <x v="3"/>
    <s v="Middle"/>
    <s v="Normal"/>
    <s v="NO"/>
    <s v="Within Average"/>
    <x v="6"/>
  </r>
  <r>
    <x v="535"/>
    <n v="57"/>
    <x v="1"/>
    <x v="6"/>
    <x v="4"/>
    <d v="2024-06-02T00:00:00"/>
    <n v="12"/>
    <n v="1002.0675517241378"/>
    <x v="2"/>
    <s v="Middle"/>
    <s v="Normal"/>
    <s v="NO"/>
    <s v="Within Average"/>
    <x v="2"/>
  </r>
  <r>
    <x v="536"/>
    <n v="57"/>
    <x v="2"/>
    <x v="2"/>
    <x v="4"/>
    <d v="2024-04-04T00:00:00"/>
    <n v="12"/>
    <n v="1002.0675517241378"/>
    <x v="2"/>
    <s v="Middle"/>
    <s v="Normal"/>
    <s v="NO"/>
    <s v="Within Average"/>
    <x v="11"/>
  </r>
  <r>
    <x v="537"/>
    <n v="57"/>
    <x v="0"/>
    <x v="2"/>
    <x v="3"/>
    <d v="2024-03-03T00:00:00"/>
    <n v="4"/>
    <n v="1679.79"/>
    <x v="2"/>
    <s v="Middle"/>
    <s v="High Cost"/>
    <s v="NO"/>
    <s v="Above Average"/>
    <x v="4"/>
  </r>
  <r>
    <x v="538"/>
    <n v="57"/>
    <x v="0"/>
    <x v="1"/>
    <x v="4"/>
    <d v="2024-08-13T00:00:00"/>
    <n v="12"/>
    <n v="1002.0675517241378"/>
    <x v="1"/>
    <s v="Middle"/>
    <s v="Normal"/>
    <s v="NO"/>
    <s v="Within Average"/>
    <x v="5"/>
  </r>
  <r>
    <x v="539"/>
    <n v="57"/>
    <x v="0"/>
    <x v="0"/>
    <x v="1"/>
    <d v="2024-02-07T00:00:00"/>
    <n v="16"/>
    <n v="1002.0675517241378"/>
    <x v="0"/>
    <s v="Middle"/>
    <s v="Normal"/>
    <s v="NO"/>
    <s v="Within Average"/>
    <x v="9"/>
  </r>
  <r>
    <x v="540"/>
    <n v="57"/>
    <x v="1"/>
    <x v="1"/>
    <x v="0"/>
    <d v="2024-03-17T00:00:00"/>
    <n v="12"/>
    <n v="1002.0675517241378"/>
    <x v="0"/>
    <s v="Middle"/>
    <s v="Normal"/>
    <s v="NO"/>
    <s v="Within Average"/>
    <x v="4"/>
  </r>
  <r>
    <x v="541"/>
    <n v="57"/>
    <x v="2"/>
    <x v="2"/>
    <x v="3"/>
    <d v="2024-05-11T00:00:00"/>
    <n v="12"/>
    <n v="1002.0675517241378"/>
    <x v="2"/>
    <s v="Middle"/>
    <s v="Normal"/>
    <s v="NO"/>
    <s v="Within Average"/>
    <x v="8"/>
  </r>
  <r>
    <x v="542"/>
    <n v="57"/>
    <x v="2"/>
    <x v="0"/>
    <x v="4"/>
    <d v="2024-02-14T00:00:00"/>
    <n v="12"/>
    <n v="1002.0675517241378"/>
    <x v="2"/>
    <s v="Middle"/>
    <s v="Normal"/>
    <s v="NO"/>
    <s v="Within Average"/>
    <x v="9"/>
  </r>
  <r>
    <x v="543"/>
    <n v="57"/>
    <x v="0"/>
    <x v="6"/>
    <x v="5"/>
    <d v="2024-04-07T00:00:00"/>
    <n v="12"/>
    <n v="1002.0675517241378"/>
    <x v="3"/>
    <s v="Middle"/>
    <s v="Normal"/>
    <s v="NO"/>
    <s v="Within Average"/>
    <x v="11"/>
  </r>
  <r>
    <x v="544"/>
    <n v="57"/>
    <x v="1"/>
    <x v="6"/>
    <x v="2"/>
    <s v="Unknown"/>
    <n v="12"/>
    <n v="1002.0675517241378"/>
    <x v="1"/>
    <s v="Middle"/>
    <s v="Normal"/>
    <s v="NO"/>
    <s v="Within Average"/>
    <x v="3"/>
  </r>
  <r>
    <x v="545"/>
    <n v="57"/>
    <x v="0"/>
    <x v="0"/>
    <x v="2"/>
    <d v="2024-05-28T00:00:00"/>
    <n v="12"/>
    <n v="344.99"/>
    <x v="4"/>
    <s v="Middle"/>
    <s v="Normal"/>
    <s v="NO"/>
    <s v="Within Average"/>
    <x v="8"/>
  </r>
  <r>
    <x v="546"/>
    <n v="57"/>
    <x v="0"/>
    <x v="4"/>
    <x v="4"/>
    <d v="2024-09-19T00:00:00"/>
    <n v="12"/>
    <n v="1002.0675517241378"/>
    <x v="0"/>
    <s v="Middle"/>
    <s v="Normal"/>
    <s v="NO"/>
    <s v="Within Average"/>
    <x v="12"/>
  </r>
  <r>
    <x v="547"/>
    <n v="57"/>
    <x v="2"/>
    <x v="5"/>
    <x v="1"/>
    <d v="2024-12-23T00:00:00"/>
    <n v="12"/>
    <n v="1470.23"/>
    <x v="4"/>
    <s v="Middle"/>
    <s v="High Cost"/>
    <s v="NO"/>
    <s v="Above Average"/>
    <x v="0"/>
  </r>
  <r>
    <x v="548"/>
    <n v="57"/>
    <x v="0"/>
    <x v="3"/>
    <x v="4"/>
    <d v="2024-02-21T00:00:00"/>
    <n v="11"/>
    <n v="1002.0675517241378"/>
    <x v="2"/>
    <s v="Middle"/>
    <s v="Normal"/>
    <s v="NO"/>
    <s v="Within Average"/>
    <x v="9"/>
  </r>
  <r>
    <x v="549"/>
    <n v="57"/>
    <x v="0"/>
    <x v="6"/>
    <x v="3"/>
    <d v="2024-09-08T00:00:00"/>
    <n v="12"/>
    <n v="1002.0675517241378"/>
    <x v="3"/>
    <s v="Middle"/>
    <s v="Normal"/>
    <s v="NO"/>
    <s v="Within Average"/>
    <x v="12"/>
  </r>
  <r>
    <x v="550"/>
    <n v="57"/>
    <x v="0"/>
    <x v="2"/>
    <x v="0"/>
    <d v="2024-05-05T00:00:00"/>
    <n v="12"/>
    <n v="933.67"/>
    <x v="0"/>
    <s v="Middle"/>
    <s v="Normal"/>
    <s v="NO"/>
    <s v="Within Average"/>
    <x v="8"/>
  </r>
  <r>
    <x v="551"/>
    <n v="57"/>
    <x v="2"/>
    <x v="0"/>
    <x v="3"/>
    <d v="2024-12-10T00:00:00"/>
    <n v="3"/>
    <n v="1002.0675517241378"/>
    <x v="2"/>
    <s v="Middle"/>
    <s v="Normal"/>
    <s v="NO"/>
    <s v="Within Average"/>
    <x v="0"/>
  </r>
  <r>
    <x v="552"/>
    <n v="57"/>
    <x v="2"/>
    <x v="1"/>
    <x v="2"/>
    <d v="2024-06-05T00:00:00"/>
    <n v="5"/>
    <n v="1002.0675517241378"/>
    <x v="2"/>
    <s v="Middle"/>
    <s v="Normal"/>
    <s v="NO"/>
    <s v="Within Average"/>
    <x v="2"/>
  </r>
  <r>
    <x v="553"/>
    <n v="57"/>
    <x v="1"/>
    <x v="0"/>
    <x v="4"/>
    <d v="2024-02-19T00:00:00"/>
    <n v="12"/>
    <n v="1002.0675517241378"/>
    <x v="3"/>
    <s v="Middle"/>
    <s v="Normal"/>
    <s v="NO"/>
    <s v="Within Average"/>
    <x v="9"/>
  </r>
  <r>
    <x v="554"/>
    <n v="57"/>
    <x v="2"/>
    <x v="0"/>
    <x v="3"/>
    <s v="Unknown"/>
    <n v="14"/>
    <n v="1227.45"/>
    <x v="4"/>
    <s v="Middle"/>
    <s v="High Cost"/>
    <s v="NO"/>
    <s v="Above Average"/>
    <x v="3"/>
  </r>
  <r>
    <x v="555"/>
    <n v="57"/>
    <x v="1"/>
    <x v="0"/>
    <x v="5"/>
    <s v="Unknown"/>
    <n v="9"/>
    <n v="1002.0675517241378"/>
    <x v="1"/>
    <s v="Middle"/>
    <s v="Normal"/>
    <s v="NO"/>
    <s v="Within Average"/>
    <x v="3"/>
  </r>
  <r>
    <x v="556"/>
    <n v="57"/>
    <x v="0"/>
    <x v="5"/>
    <x v="3"/>
    <d v="2024-12-11T00:00:00"/>
    <n v="1"/>
    <n v="1002.0675517241378"/>
    <x v="2"/>
    <s v="Middle"/>
    <s v="Normal"/>
    <s v="NO"/>
    <s v="Within Average"/>
    <x v="0"/>
  </r>
  <r>
    <x v="557"/>
    <n v="57"/>
    <x v="0"/>
    <x v="7"/>
    <x v="4"/>
    <d v="2024-03-24T00:00:00"/>
    <n v="12"/>
    <n v="525.79"/>
    <x v="3"/>
    <s v="Middle"/>
    <s v="Normal"/>
    <s v="NO"/>
    <s v="Within Average"/>
    <x v="4"/>
  </r>
  <r>
    <x v="558"/>
    <n v="57"/>
    <x v="2"/>
    <x v="6"/>
    <x v="5"/>
    <d v="2024-07-31T00:00:00"/>
    <n v="12"/>
    <n v="278.12"/>
    <x v="4"/>
    <s v="Middle"/>
    <s v="Normal"/>
    <s v="NO"/>
    <s v="Within Average"/>
    <x v="6"/>
  </r>
  <r>
    <x v="559"/>
    <n v="57"/>
    <x v="2"/>
    <x v="4"/>
    <x v="0"/>
    <d v="2024-04-15T00:00:00"/>
    <n v="12"/>
    <n v="1002.0675517241378"/>
    <x v="0"/>
    <s v="Middle"/>
    <s v="Normal"/>
    <s v="NO"/>
    <s v="Within Average"/>
    <x v="11"/>
  </r>
  <r>
    <x v="560"/>
    <n v="57"/>
    <x v="0"/>
    <x v="1"/>
    <x v="4"/>
    <d v="2024-11-26T00:00:00"/>
    <n v="12"/>
    <n v="1061.06"/>
    <x v="3"/>
    <s v="Middle"/>
    <s v="Normal"/>
    <s v="NO"/>
    <s v="Above Average"/>
    <x v="1"/>
  </r>
  <r>
    <x v="561"/>
    <n v="57"/>
    <x v="1"/>
    <x v="1"/>
    <x v="4"/>
    <d v="2024-06-30T00:00:00"/>
    <n v="3"/>
    <n v="1002.0675517241378"/>
    <x v="1"/>
    <s v="Middle"/>
    <s v="Normal"/>
    <s v="NO"/>
    <s v="Within Average"/>
    <x v="2"/>
  </r>
  <r>
    <x v="562"/>
    <n v="57"/>
    <x v="0"/>
    <x v="5"/>
    <x v="4"/>
    <d v="2024-07-12T00:00:00"/>
    <n v="12"/>
    <n v="1002.0675517241378"/>
    <x v="0"/>
    <s v="Middle"/>
    <s v="Normal"/>
    <s v="NO"/>
    <s v="Within Average"/>
    <x v="6"/>
  </r>
  <r>
    <x v="563"/>
    <n v="57"/>
    <x v="0"/>
    <x v="3"/>
    <x v="1"/>
    <d v="2024-09-14T00:00:00"/>
    <n v="12"/>
    <n v="1002.0675517241378"/>
    <x v="3"/>
    <s v="Middle"/>
    <s v="Normal"/>
    <s v="NO"/>
    <s v="Within Average"/>
    <x v="12"/>
  </r>
  <r>
    <x v="564"/>
    <n v="57"/>
    <x v="2"/>
    <x v="1"/>
    <x v="4"/>
    <d v="2024-10-20T00:00:00"/>
    <n v="12"/>
    <n v="712.1"/>
    <x v="2"/>
    <s v="Middle"/>
    <s v="Normal"/>
    <s v="NO"/>
    <s v="Within Average"/>
    <x v="10"/>
  </r>
  <r>
    <x v="565"/>
    <n v="57"/>
    <x v="2"/>
    <x v="5"/>
    <x v="1"/>
    <s v="Unknown"/>
    <n v="12"/>
    <n v="1002.0675517241378"/>
    <x v="3"/>
    <s v="Middle"/>
    <s v="Normal"/>
    <s v="NO"/>
    <s v="Within Average"/>
    <x v="3"/>
  </r>
  <r>
    <x v="566"/>
    <n v="57"/>
    <x v="0"/>
    <x v="7"/>
    <x v="3"/>
    <d v="2024-04-26T00:00:00"/>
    <n v="12"/>
    <n v="1002.0675517241378"/>
    <x v="2"/>
    <s v="Middle"/>
    <s v="Normal"/>
    <s v="NO"/>
    <s v="Within Average"/>
    <x v="11"/>
  </r>
  <r>
    <x v="567"/>
    <n v="57"/>
    <x v="2"/>
    <x v="0"/>
    <x v="2"/>
    <s v="Unknown"/>
    <n v="1"/>
    <n v="1002.0675517241378"/>
    <x v="0"/>
    <s v="Middle"/>
    <s v="Normal"/>
    <s v="NO"/>
    <s v="Within Average"/>
    <x v="3"/>
  </r>
  <r>
    <x v="568"/>
    <n v="57"/>
    <x v="1"/>
    <x v="6"/>
    <x v="5"/>
    <s v="Unknown"/>
    <n v="12"/>
    <n v="1002.0675517241378"/>
    <x v="3"/>
    <s v="Middle"/>
    <s v="Normal"/>
    <s v="NO"/>
    <s v="Within Average"/>
    <x v="3"/>
  </r>
  <r>
    <x v="569"/>
    <n v="57"/>
    <x v="0"/>
    <x v="0"/>
    <x v="5"/>
    <s v="Unknown"/>
    <n v="12"/>
    <n v="1002.0675517241378"/>
    <x v="3"/>
    <s v="Middle"/>
    <s v="Normal"/>
    <s v="NO"/>
    <s v="Within Average"/>
    <x v="3"/>
  </r>
  <r>
    <x v="570"/>
    <n v="57"/>
    <x v="0"/>
    <x v="1"/>
    <x v="1"/>
    <d v="2024-12-18T00:00:00"/>
    <n v="12"/>
    <n v="1002.0675517241378"/>
    <x v="1"/>
    <s v="Middle"/>
    <s v="Normal"/>
    <s v="NO"/>
    <s v="Within Average"/>
    <x v="0"/>
  </r>
  <r>
    <x v="571"/>
    <n v="57"/>
    <x v="2"/>
    <x v="3"/>
    <x v="4"/>
    <d v="2024-02-10T00:00:00"/>
    <n v="20"/>
    <n v="1122.29"/>
    <x v="4"/>
    <s v="Middle"/>
    <s v="Normal"/>
    <s v="NO"/>
    <s v="Above Average"/>
    <x v="9"/>
  </r>
  <r>
    <x v="572"/>
    <n v="57"/>
    <x v="1"/>
    <x v="0"/>
    <x v="4"/>
    <d v="2024-03-01T00:00:00"/>
    <n v="12"/>
    <n v="1002.0675517241378"/>
    <x v="4"/>
    <s v="Middle"/>
    <s v="Normal"/>
    <s v="NO"/>
    <s v="Within Average"/>
    <x v="4"/>
  </r>
  <r>
    <x v="573"/>
    <n v="57"/>
    <x v="0"/>
    <x v="7"/>
    <x v="5"/>
    <d v="2024-12-29T00:00:00"/>
    <n v="18"/>
    <n v="1002.0675517241378"/>
    <x v="3"/>
    <s v="Middle"/>
    <s v="Normal"/>
    <s v="NO"/>
    <s v="Within Average"/>
    <x v="0"/>
  </r>
  <r>
    <x v="574"/>
    <n v="57"/>
    <x v="2"/>
    <x v="6"/>
    <x v="3"/>
    <d v="2024-03-19T00:00:00"/>
    <n v="8"/>
    <n v="1002.0675517241378"/>
    <x v="1"/>
    <s v="Middle"/>
    <s v="Normal"/>
    <s v="NO"/>
    <s v="Within Average"/>
    <x v="4"/>
  </r>
  <r>
    <x v="575"/>
    <n v="57"/>
    <x v="2"/>
    <x v="6"/>
    <x v="4"/>
    <d v="2024-12-14T00:00:00"/>
    <n v="12"/>
    <n v="1002.0675517241378"/>
    <x v="1"/>
    <s v="Middle"/>
    <s v="Normal"/>
    <s v="NO"/>
    <s v="Within Average"/>
    <x v="0"/>
  </r>
  <r>
    <x v="576"/>
    <n v="57"/>
    <x v="0"/>
    <x v="4"/>
    <x v="3"/>
    <d v="2024-06-20T00:00:00"/>
    <n v="12"/>
    <n v="1590.36"/>
    <x v="3"/>
    <s v="Middle"/>
    <s v="High Cost"/>
    <s v="NO"/>
    <s v="Above Average"/>
    <x v="2"/>
  </r>
  <r>
    <x v="577"/>
    <n v="57"/>
    <x v="0"/>
    <x v="4"/>
    <x v="1"/>
    <d v="2024-10-20T00:00:00"/>
    <n v="12"/>
    <n v="1002.0675517241378"/>
    <x v="3"/>
    <s v="Middle"/>
    <s v="Normal"/>
    <s v="NO"/>
    <s v="Within Average"/>
    <x v="10"/>
  </r>
  <r>
    <x v="578"/>
    <n v="57"/>
    <x v="2"/>
    <x v="0"/>
    <x v="2"/>
    <d v="2024-11-11T00:00:00"/>
    <n v="15"/>
    <n v="205.21"/>
    <x v="2"/>
    <s v="Middle"/>
    <s v="Normal"/>
    <s v="NO"/>
    <s v="Within Average"/>
    <x v="1"/>
  </r>
  <r>
    <x v="579"/>
    <n v="57"/>
    <x v="1"/>
    <x v="3"/>
    <x v="5"/>
    <d v="2024-04-30T00:00:00"/>
    <n v="1"/>
    <n v="1836.03"/>
    <x v="0"/>
    <s v="Middle"/>
    <s v="High Cost"/>
    <s v="NO"/>
    <s v="Above Average"/>
    <x v="11"/>
  </r>
  <r>
    <x v="580"/>
    <n v="57"/>
    <x v="2"/>
    <x v="1"/>
    <x v="4"/>
    <d v="2024-03-06T00:00:00"/>
    <n v="12"/>
    <n v="1809.21"/>
    <x v="0"/>
    <s v="Middle"/>
    <s v="High Cost"/>
    <s v="NO"/>
    <s v="Above Average"/>
    <x v="4"/>
  </r>
  <r>
    <x v="581"/>
    <n v="57"/>
    <x v="0"/>
    <x v="0"/>
    <x v="0"/>
    <d v="2024-10-28T00:00:00"/>
    <n v="4"/>
    <n v="1002.0675517241378"/>
    <x v="0"/>
    <s v="Middle"/>
    <s v="Normal"/>
    <s v="NO"/>
    <s v="Within Average"/>
    <x v="10"/>
  </r>
  <r>
    <x v="582"/>
    <n v="57"/>
    <x v="2"/>
    <x v="2"/>
    <x v="4"/>
    <d v="2024-09-29T00:00:00"/>
    <n v="19"/>
    <n v="134.55000000000001"/>
    <x v="4"/>
    <s v="Middle"/>
    <s v="Normal"/>
    <s v="NO"/>
    <s v="Within Average"/>
    <x v="12"/>
  </r>
  <r>
    <x v="583"/>
    <n v="57"/>
    <x v="1"/>
    <x v="0"/>
    <x v="1"/>
    <d v="2024-08-19T00:00:00"/>
    <n v="7"/>
    <n v="1002.0675517241378"/>
    <x v="2"/>
    <s v="Middle"/>
    <s v="Normal"/>
    <s v="NO"/>
    <s v="Within Average"/>
    <x v="5"/>
  </r>
  <r>
    <x v="584"/>
    <n v="57"/>
    <x v="0"/>
    <x v="0"/>
    <x v="3"/>
    <s v="Unknown"/>
    <n v="12"/>
    <n v="860.62"/>
    <x v="2"/>
    <s v="Middle"/>
    <s v="Normal"/>
    <s v="NO"/>
    <s v="Within Average"/>
    <x v="3"/>
  </r>
  <r>
    <x v="585"/>
    <n v="57"/>
    <x v="2"/>
    <x v="5"/>
    <x v="2"/>
    <d v="2024-01-02T00:00:00"/>
    <n v="12"/>
    <n v="1002.0675517241378"/>
    <x v="0"/>
    <s v="Middle"/>
    <s v="Normal"/>
    <s v="NO"/>
    <s v="Within Average"/>
    <x v="7"/>
  </r>
  <r>
    <x v="586"/>
    <n v="57"/>
    <x v="1"/>
    <x v="0"/>
    <x v="0"/>
    <d v="2024-02-04T00:00:00"/>
    <n v="18"/>
    <n v="1876.7"/>
    <x v="4"/>
    <s v="Middle"/>
    <s v="High Cost"/>
    <s v="NO"/>
    <s v="Above Average"/>
    <x v="9"/>
  </r>
  <r>
    <x v="587"/>
    <n v="57"/>
    <x v="2"/>
    <x v="0"/>
    <x v="3"/>
    <s v="Unknown"/>
    <n v="12"/>
    <n v="1002.0675517241378"/>
    <x v="3"/>
    <s v="Middle"/>
    <s v="Normal"/>
    <s v="NO"/>
    <s v="Within Average"/>
    <x v="3"/>
  </r>
  <r>
    <x v="588"/>
    <n v="57"/>
    <x v="1"/>
    <x v="0"/>
    <x v="2"/>
    <s v="Unknown"/>
    <n v="18"/>
    <n v="1933.14"/>
    <x v="1"/>
    <s v="Middle"/>
    <s v="High Cost"/>
    <s v="NO"/>
    <s v="Above Average"/>
    <x v="3"/>
  </r>
  <r>
    <x v="589"/>
    <n v="57"/>
    <x v="0"/>
    <x v="3"/>
    <x v="0"/>
    <s v="Unknown"/>
    <n v="14"/>
    <n v="232.81"/>
    <x v="1"/>
    <s v="Middle"/>
    <s v="Normal"/>
    <s v="NO"/>
    <s v="Within Average"/>
    <x v="3"/>
  </r>
  <r>
    <x v="590"/>
    <n v="57"/>
    <x v="0"/>
    <x v="3"/>
    <x v="3"/>
    <d v="2024-03-12T00:00:00"/>
    <n v="12"/>
    <n v="1002.0675517241378"/>
    <x v="1"/>
    <s v="Middle"/>
    <s v="Normal"/>
    <s v="NO"/>
    <s v="Within Average"/>
    <x v="4"/>
  </r>
  <r>
    <x v="591"/>
    <n v="57"/>
    <x v="1"/>
    <x v="5"/>
    <x v="0"/>
    <d v="2024-08-21T00:00:00"/>
    <n v="12"/>
    <n v="1338.19"/>
    <x v="1"/>
    <s v="Middle"/>
    <s v="High Cost"/>
    <s v="NO"/>
    <s v="Above Average"/>
    <x v="5"/>
  </r>
  <r>
    <x v="592"/>
    <n v="57"/>
    <x v="2"/>
    <x v="2"/>
    <x v="4"/>
    <d v="2024-08-17T00:00:00"/>
    <n v="12"/>
    <n v="1002.0675517241378"/>
    <x v="2"/>
    <s v="Middle"/>
    <s v="Normal"/>
    <s v="NO"/>
    <s v="Within Average"/>
    <x v="5"/>
  </r>
  <r>
    <x v="593"/>
    <n v="57"/>
    <x v="1"/>
    <x v="0"/>
    <x v="3"/>
    <d v="2024-03-29T00:00:00"/>
    <n v="12"/>
    <n v="1002.0675517241378"/>
    <x v="1"/>
    <s v="Middle"/>
    <s v="Normal"/>
    <s v="NO"/>
    <s v="Within Average"/>
    <x v="4"/>
  </r>
  <r>
    <x v="594"/>
    <n v="57"/>
    <x v="2"/>
    <x v="1"/>
    <x v="4"/>
    <d v="2024-10-20T00:00:00"/>
    <n v="12"/>
    <n v="1002.0675517241378"/>
    <x v="1"/>
    <s v="Middle"/>
    <s v="Normal"/>
    <s v="NO"/>
    <s v="Within Average"/>
    <x v="10"/>
  </r>
  <r>
    <x v="595"/>
    <n v="57"/>
    <x v="0"/>
    <x v="3"/>
    <x v="2"/>
    <s v="Unknown"/>
    <n v="11"/>
    <n v="1002.0675517241378"/>
    <x v="3"/>
    <s v="Middle"/>
    <s v="Normal"/>
    <s v="NO"/>
    <s v="Within Average"/>
    <x v="3"/>
  </r>
  <r>
    <x v="596"/>
    <n v="57"/>
    <x v="1"/>
    <x v="2"/>
    <x v="4"/>
    <d v="2024-04-25T00:00:00"/>
    <n v="12"/>
    <n v="1002.0675517241378"/>
    <x v="2"/>
    <s v="Middle"/>
    <s v="Normal"/>
    <s v="NO"/>
    <s v="Within Average"/>
    <x v="11"/>
  </r>
  <r>
    <x v="597"/>
    <n v="57"/>
    <x v="1"/>
    <x v="3"/>
    <x v="5"/>
    <d v="2024-03-13T00:00:00"/>
    <n v="1"/>
    <n v="1002.0675517241378"/>
    <x v="4"/>
    <s v="Middle"/>
    <s v="Normal"/>
    <s v="NO"/>
    <s v="Within Average"/>
    <x v="4"/>
  </r>
  <r>
    <x v="598"/>
    <n v="57"/>
    <x v="0"/>
    <x v="6"/>
    <x v="0"/>
    <d v="2024-01-24T00:00:00"/>
    <n v="10"/>
    <n v="1002.0675517241378"/>
    <x v="2"/>
    <s v="Middle"/>
    <s v="Normal"/>
    <s v="NO"/>
    <s v="Within Average"/>
    <x v="7"/>
  </r>
  <r>
    <x v="599"/>
    <n v="57"/>
    <x v="1"/>
    <x v="5"/>
    <x v="3"/>
    <d v="2024-07-06T00:00:00"/>
    <n v="12"/>
    <n v="1002.0675517241378"/>
    <x v="4"/>
    <s v="Middle"/>
    <s v="Normal"/>
    <s v="NO"/>
    <s v="Within Average"/>
    <x v="6"/>
  </r>
  <r>
    <x v="600"/>
    <n v="57"/>
    <x v="2"/>
    <x v="1"/>
    <x v="3"/>
    <s v="Unknown"/>
    <n v="12"/>
    <n v="598.19000000000005"/>
    <x v="0"/>
    <s v="Middle"/>
    <s v="Normal"/>
    <s v="NO"/>
    <s v="Within Average"/>
    <x v="3"/>
  </r>
  <r>
    <x v="601"/>
    <n v="57"/>
    <x v="2"/>
    <x v="1"/>
    <x v="0"/>
    <s v="Unknown"/>
    <n v="12"/>
    <n v="1902.3"/>
    <x v="3"/>
    <s v="Middle"/>
    <s v="High Cost"/>
    <s v="NO"/>
    <s v="Above Average"/>
    <x v="3"/>
  </r>
  <r>
    <x v="602"/>
    <n v="57"/>
    <x v="0"/>
    <x v="4"/>
    <x v="2"/>
    <s v="Unknown"/>
    <n v="12"/>
    <n v="1002.0675517241378"/>
    <x v="4"/>
    <s v="Middle"/>
    <s v="Normal"/>
    <s v="NO"/>
    <s v="Within Average"/>
    <x v="3"/>
  </r>
  <r>
    <x v="603"/>
    <n v="57"/>
    <x v="0"/>
    <x v="7"/>
    <x v="0"/>
    <d v="2024-06-03T00:00:00"/>
    <n v="7"/>
    <n v="514.61"/>
    <x v="2"/>
    <s v="Middle"/>
    <s v="Normal"/>
    <s v="NO"/>
    <s v="Within Average"/>
    <x v="2"/>
  </r>
  <r>
    <x v="604"/>
    <n v="57"/>
    <x v="0"/>
    <x v="7"/>
    <x v="4"/>
    <s v="Unknown"/>
    <n v="5"/>
    <n v="1002.0675517241378"/>
    <x v="2"/>
    <s v="Middle"/>
    <s v="Normal"/>
    <s v="NO"/>
    <s v="Within Average"/>
    <x v="3"/>
  </r>
  <r>
    <x v="605"/>
    <n v="57"/>
    <x v="0"/>
    <x v="1"/>
    <x v="5"/>
    <d v="2024-04-07T00:00:00"/>
    <n v="12"/>
    <n v="1002.0675517241378"/>
    <x v="1"/>
    <s v="Middle"/>
    <s v="Normal"/>
    <s v="NO"/>
    <s v="Within Average"/>
    <x v="11"/>
  </r>
  <r>
    <x v="606"/>
    <n v="57"/>
    <x v="0"/>
    <x v="4"/>
    <x v="3"/>
    <d v="2024-09-22T00:00:00"/>
    <n v="12"/>
    <n v="1002.0675517241378"/>
    <x v="3"/>
    <s v="Middle"/>
    <s v="Normal"/>
    <s v="NO"/>
    <s v="Within Average"/>
    <x v="12"/>
  </r>
  <r>
    <x v="607"/>
    <n v="57"/>
    <x v="1"/>
    <x v="0"/>
    <x v="4"/>
    <d v="2024-07-29T00:00:00"/>
    <n v="12"/>
    <n v="1002.0675517241378"/>
    <x v="4"/>
    <s v="Middle"/>
    <s v="Normal"/>
    <s v="NO"/>
    <s v="Within Average"/>
    <x v="6"/>
  </r>
  <r>
    <x v="608"/>
    <n v="57"/>
    <x v="1"/>
    <x v="2"/>
    <x v="4"/>
    <d v="2024-03-18T00:00:00"/>
    <n v="17"/>
    <n v="1002.0675517241378"/>
    <x v="3"/>
    <s v="Middle"/>
    <s v="Normal"/>
    <s v="NO"/>
    <s v="Within Average"/>
    <x v="4"/>
  </r>
  <r>
    <x v="609"/>
    <n v="57"/>
    <x v="0"/>
    <x v="0"/>
    <x v="4"/>
    <d v="2024-05-31T00:00:00"/>
    <n v="12"/>
    <n v="1002.0675517241378"/>
    <x v="4"/>
    <s v="Middle"/>
    <s v="Normal"/>
    <s v="NO"/>
    <s v="Within Average"/>
    <x v="8"/>
  </r>
  <r>
    <x v="610"/>
    <n v="57"/>
    <x v="2"/>
    <x v="5"/>
    <x v="4"/>
    <d v="2024-09-28T00:00:00"/>
    <n v="12"/>
    <n v="1002.0675517241378"/>
    <x v="0"/>
    <s v="Middle"/>
    <s v="Normal"/>
    <s v="NO"/>
    <s v="Within Average"/>
    <x v="12"/>
  </r>
  <r>
    <x v="611"/>
    <n v="57"/>
    <x v="0"/>
    <x v="4"/>
    <x v="5"/>
    <s v="Unknown"/>
    <n v="13"/>
    <n v="1002.0675517241378"/>
    <x v="2"/>
    <s v="Middle"/>
    <s v="Normal"/>
    <s v="NO"/>
    <s v="Within Average"/>
    <x v="3"/>
  </r>
  <r>
    <x v="612"/>
    <n v="57"/>
    <x v="2"/>
    <x v="3"/>
    <x v="3"/>
    <d v="2024-01-09T00:00:00"/>
    <n v="20"/>
    <n v="1002.0675517241378"/>
    <x v="1"/>
    <s v="Middle"/>
    <s v="Normal"/>
    <s v="NO"/>
    <s v="Within Average"/>
    <x v="7"/>
  </r>
  <r>
    <x v="613"/>
    <n v="57"/>
    <x v="2"/>
    <x v="4"/>
    <x v="2"/>
    <d v="2024-02-10T00:00:00"/>
    <n v="12"/>
    <n v="127.37"/>
    <x v="1"/>
    <s v="Middle"/>
    <s v="Normal"/>
    <s v="NO"/>
    <s v="Within Average"/>
    <x v="9"/>
  </r>
  <r>
    <x v="614"/>
    <n v="57"/>
    <x v="0"/>
    <x v="1"/>
    <x v="3"/>
    <s v="Unknown"/>
    <n v="20"/>
    <n v="1002.0675517241378"/>
    <x v="3"/>
    <s v="Middle"/>
    <s v="Normal"/>
    <s v="NO"/>
    <s v="Within Average"/>
    <x v="3"/>
  </r>
  <r>
    <x v="615"/>
    <n v="57"/>
    <x v="1"/>
    <x v="1"/>
    <x v="4"/>
    <d v="2024-04-20T00:00:00"/>
    <n v="12"/>
    <n v="1002.0675517241378"/>
    <x v="3"/>
    <s v="Middle"/>
    <s v="Normal"/>
    <s v="NO"/>
    <s v="Within Average"/>
    <x v="11"/>
  </r>
  <r>
    <x v="616"/>
    <n v="57"/>
    <x v="1"/>
    <x v="0"/>
    <x v="0"/>
    <d v="2024-05-31T00:00:00"/>
    <n v="2"/>
    <n v="755.07"/>
    <x v="4"/>
    <s v="Middle"/>
    <s v="Normal"/>
    <s v="NO"/>
    <s v="Within Average"/>
    <x v="8"/>
  </r>
  <r>
    <x v="617"/>
    <n v="57"/>
    <x v="1"/>
    <x v="6"/>
    <x v="1"/>
    <d v="2024-01-31T00:00:00"/>
    <n v="12"/>
    <n v="1002.0675517241378"/>
    <x v="0"/>
    <s v="Middle"/>
    <s v="Normal"/>
    <s v="NO"/>
    <s v="Within Average"/>
    <x v="7"/>
  </r>
  <r>
    <x v="618"/>
    <n v="57"/>
    <x v="1"/>
    <x v="3"/>
    <x v="3"/>
    <d v="2024-03-01T00:00:00"/>
    <n v="12"/>
    <n v="1364.89"/>
    <x v="4"/>
    <s v="Middle"/>
    <s v="High Cost"/>
    <s v="NO"/>
    <s v="Above Average"/>
    <x v="4"/>
  </r>
  <r>
    <x v="619"/>
    <n v="57"/>
    <x v="1"/>
    <x v="4"/>
    <x v="2"/>
    <d v="2024-07-03T00:00:00"/>
    <n v="12"/>
    <n v="1002.0675517241378"/>
    <x v="0"/>
    <s v="Middle"/>
    <s v="Normal"/>
    <s v="NO"/>
    <s v="Within Average"/>
    <x v="6"/>
  </r>
  <r>
    <x v="620"/>
    <n v="57"/>
    <x v="1"/>
    <x v="7"/>
    <x v="2"/>
    <d v="2024-07-01T00:00:00"/>
    <n v="12"/>
    <n v="1875.4"/>
    <x v="3"/>
    <s v="Middle"/>
    <s v="High Cost"/>
    <s v="NO"/>
    <s v="Above Average"/>
    <x v="6"/>
  </r>
  <r>
    <x v="621"/>
    <n v="57"/>
    <x v="2"/>
    <x v="6"/>
    <x v="3"/>
    <d v="2024-07-19T00:00:00"/>
    <n v="17"/>
    <n v="1002.0675517241378"/>
    <x v="4"/>
    <s v="Middle"/>
    <s v="Normal"/>
    <s v="NO"/>
    <s v="Within Average"/>
    <x v="6"/>
  </r>
  <r>
    <x v="622"/>
    <n v="57"/>
    <x v="1"/>
    <x v="3"/>
    <x v="2"/>
    <d v="2024-10-31T00:00:00"/>
    <n v="10"/>
    <n v="1002.0675517241378"/>
    <x v="0"/>
    <s v="Middle"/>
    <s v="Normal"/>
    <s v="NO"/>
    <s v="Within Average"/>
    <x v="10"/>
  </r>
  <r>
    <x v="623"/>
    <n v="57"/>
    <x v="1"/>
    <x v="5"/>
    <x v="4"/>
    <d v="2024-07-18T00:00:00"/>
    <n v="20"/>
    <n v="1002.0675517241378"/>
    <x v="2"/>
    <s v="Middle"/>
    <s v="Normal"/>
    <s v="NO"/>
    <s v="Within Average"/>
    <x v="6"/>
  </r>
  <r>
    <x v="624"/>
    <n v="57"/>
    <x v="2"/>
    <x v="0"/>
    <x v="4"/>
    <d v="2024-09-18T00:00:00"/>
    <n v="12"/>
    <n v="1002.0675517241378"/>
    <x v="0"/>
    <s v="Middle"/>
    <s v="Normal"/>
    <s v="NO"/>
    <s v="Within Average"/>
    <x v="12"/>
  </r>
  <r>
    <x v="625"/>
    <n v="57"/>
    <x v="0"/>
    <x v="0"/>
    <x v="2"/>
    <d v="2024-01-06T00:00:00"/>
    <n v="8"/>
    <n v="1002.0675517241378"/>
    <x v="3"/>
    <s v="Middle"/>
    <s v="Normal"/>
    <s v="NO"/>
    <s v="Within Average"/>
    <x v="7"/>
  </r>
  <r>
    <x v="626"/>
    <n v="57"/>
    <x v="0"/>
    <x v="0"/>
    <x v="3"/>
    <d v="2024-08-01T00:00:00"/>
    <n v="12"/>
    <n v="1002.0675517241378"/>
    <x v="1"/>
    <s v="Middle"/>
    <s v="Normal"/>
    <s v="NO"/>
    <s v="Within Average"/>
    <x v="5"/>
  </r>
  <r>
    <x v="627"/>
    <n v="57"/>
    <x v="2"/>
    <x v="0"/>
    <x v="0"/>
    <d v="2024-08-03T00:00:00"/>
    <n v="12"/>
    <n v="1002.0675517241378"/>
    <x v="1"/>
    <s v="Middle"/>
    <s v="Normal"/>
    <s v="NO"/>
    <s v="Within Average"/>
    <x v="5"/>
  </r>
  <r>
    <x v="628"/>
    <n v="57"/>
    <x v="0"/>
    <x v="6"/>
    <x v="4"/>
    <d v="2024-03-09T00:00:00"/>
    <n v="12"/>
    <n v="630.05999999999995"/>
    <x v="0"/>
    <s v="Middle"/>
    <s v="Normal"/>
    <s v="NO"/>
    <s v="Within Average"/>
    <x v="4"/>
  </r>
  <r>
    <x v="629"/>
    <n v="57"/>
    <x v="2"/>
    <x v="0"/>
    <x v="2"/>
    <d v="2024-10-20T00:00:00"/>
    <n v="12"/>
    <n v="1002.0675517241378"/>
    <x v="1"/>
    <s v="Middle"/>
    <s v="Normal"/>
    <s v="NO"/>
    <s v="Within Average"/>
    <x v="10"/>
  </r>
  <r>
    <x v="630"/>
    <n v="57"/>
    <x v="0"/>
    <x v="3"/>
    <x v="3"/>
    <d v="2024-04-15T00:00:00"/>
    <n v="12"/>
    <n v="1981.64"/>
    <x v="0"/>
    <s v="Middle"/>
    <s v="High Cost"/>
    <s v="NO"/>
    <s v="Above Average"/>
    <x v="11"/>
  </r>
  <r>
    <x v="631"/>
    <n v="57"/>
    <x v="1"/>
    <x v="0"/>
    <x v="5"/>
    <d v="2024-05-06T00:00:00"/>
    <n v="12"/>
    <n v="1002.0675517241378"/>
    <x v="2"/>
    <s v="Middle"/>
    <s v="Normal"/>
    <s v="NO"/>
    <s v="Within Average"/>
    <x v="8"/>
  </r>
  <r>
    <x v="632"/>
    <n v="57"/>
    <x v="1"/>
    <x v="4"/>
    <x v="0"/>
    <d v="2024-08-01T00:00:00"/>
    <n v="12"/>
    <n v="1002.0675517241378"/>
    <x v="0"/>
    <s v="Middle"/>
    <s v="Normal"/>
    <s v="NO"/>
    <s v="Within Average"/>
    <x v="5"/>
  </r>
  <r>
    <x v="633"/>
    <n v="57"/>
    <x v="2"/>
    <x v="7"/>
    <x v="5"/>
    <d v="2024-03-03T00:00:00"/>
    <n v="16"/>
    <n v="1002.0675517241378"/>
    <x v="0"/>
    <s v="Middle"/>
    <s v="Normal"/>
    <s v="NO"/>
    <s v="Within Average"/>
    <x v="4"/>
  </r>
  <r>
    <x v="634"/>
    <n v="57"/>
    <x v="2"/>
    <x v="2"/>
    <x v="1"/>
    <d v="2024-12-14T00:00:00"/>
    <n v="11"/>
    <n v="1002.0675517241378"/>
    <x v="1"/>
    <s v="Middle"/>
    <s v="Normal"/>
    <s v="NO"/>
    <s v="Within Average"/>
    <x v="0"/>
  </r>
  <r>
    <x v="635"/>
    <n v="57"/>
    <x v="0"/>
    <x v="3"/>
    <x v="5"/>
    <d v="2024-08-06T00:00:00"/>
    <n v="12"/>
    <n v="1940.16"/>
    <x v="0"/>
    <s v="Middle"/>
    <s v="High Cost"/>
    <s v="NO"/>
    <s v="Above Average"/>
    <x v="5"/>
  </r>
  <r>
    <x v="636"/>
    <n v="57"/>
    <x v="0"/>
    <x v="7"/>
    <x v="5"/>
    <s v="Unknown"/>
    <n v="16"/>
    <n v="853.82"/>
    <x v="3"/>
    <s v="Middle"/>
    <s v="Normal"/>
    <s v="NO"/>
    <s v="Within Average"/>
    <x v="3"/>
  </r>
  <r>
    <x v="637"/>
    <n v="57"/>
    <x v="0"/>
    <x v="2"/>
    <x v="4"/>
    <d v="2024-04-11T00:00:00"/>
    <n v="20"/>
    <n v="1002.0675517241378"/>
    <x v="2"/>
    <s v="Middle"/>
    <s v="Normal"/>
    <s v="NO"/>
    <s v="Within Average"/>
    <x v="11"/>
  </r>
  <r>
    <x v="638"/>
    <n v="57"/>
    <x v="0"/>
    <x v="3"/>
    <x v="5"/>
    <s v="Unknown"/>
    <n v="12"/>
    <n v="1002.0675517241378"/>
    <x v="1"/>
    <s v="Middle"/>
    <s v="Normal"/>
    <s v="NO"/>
    <s v="Within Average"/>
    <x v="3"/>
  </r>
  <r>
    <x v="639"/>
    <n v="57"/>
    <x v="2"/>
    <x v="0"/>
    <x v="4"/>
    <d v="2024-06-30T00:00:00"/>
    <n v="3"/>
    <n v="568.07000000000005"/>
    <x v="4"/>
    <s v="Middle"/>
    <s v="Normal"/>
    <s v="NO"/>
    <s v="Within Average"/>
    <x v="2"/>
  </r>
  <r>
    <x v="640"/>
    <n v="57"/>
    <x v="0"/>
    <x v="0"/>
    <x v="2"/>
    <d v="2024-04-04T00:00:00"/>
    <n v="14"/>
    <n v="1002.0675517241378"/>
    <x v="4"/>
    <s v="Middle"/>
    <s v="Normal"/>
    <s v="NO"/>
    <s v="Within Average"/>
    <x v="11"/>
  </r>
  <r>
    <x v="641"/>
    <n v="57"/>
    <x v="2"/>
    <x v="4"/>
    <x v="3"/>
    <d v="2024-05-28T00:00:00"/>
    <n v="12"/>
    <n v="1002.0675517241378"/>
    <x v="3"/>
    <s v="Middle"/>
    <s v="Normal"/>
    <s v="NO"/>
    <s v="Within Average"/>
    <x v="8"/>
  </r>
  <r>
    <x v="642"/>
    <n v="57"/>
    <x v="1"/>
    <x v="1"/>
    <x v="2"/>
    <d v="2024-01-26T00:00:00"/>
    <n v="12"/>
    <n v="1002.0675517241378"/>
    <x v="2"/>
    <s v="Middle"/>
    <s v="Normal"/>
    <s v="NO"/>
    <s v="Within Average"/>
    <x v="7"/>
  </r>
  <r>
    <x v="643"/>
    <n v="57"/>
    <x v="2"/>
    <x v="7"/>
    <x v="4"/>
    <d v="2024-08-13T00:00:00"/>
    <n v="12"/>
    <n v="1002.0675517241378"/>
    <x v="2"/>
    <s v="Middle"/>
    <s v="Normal"/>
    <s v="NO"/>
    <s v="Within Average"/>
    <x v="5"/>
  </r>
  <r>
    <x v="644"/>
    <n v="57"/>
    <x v="2"/>
    <x v="3"/>
    <x v="4"/>
    <d v="2024-02-23T00:00:00"/>
    <n v="12"/>
    <n v="1002.0675517241378"/>
    <x v="4"/>
    <s v="Middle"/>
    <s v="Normal"/>
    <s v="NO"/>
    <s v="Within Average"/>
    <x v="9"/>
  </r>
  <r>
    <x v="645"/>
    <n v="57"/>
    <x v="1"/>
    <x v="3"/>
    <x v="4"/>
    <d v="2024-09-09T00:00:00"/>
    <n v="12"/>
    <n v="1002.0675517241378"/>
    <x v="0"/>
    <s v="Middle"/>
    <s v="Normal"/>
    <s v="NO"/>
    <s v="Within Average"/>
    <x v="12"/>
  </r>
  <r>
    <x v="646"/>
    <n v="57"/>
    <x v="2"/>
    <x v="6"/>
    <x v="1"/>
    <d v="2024-05-03T00:00:00"/>
    <n v="12"/>
    <n v="1002.0675517241378"/>
    <x v="2"/>
    <s v="Middle"/>
    <s v="Normal"/>
    <s v="NO"/>
    <s v="Within Average"/>
    <x v="8"/>
  </r>
  <r>
    <x v="647"/>
    <n v="57"/>
    <x v="1"/>
    <x v="5"/>
    <x v="0"/>
    <d v="2024-03-26T00:00:00"/>
    <n v="14"/>
    <n v="351.34"/>
    <x v="3"/>
    <s v="Middle"/>
    <s v="Normal"/>
    <s v="NO"/>
    <s v="Within Average"/>
    <x v="4"/>
  </r>
  <r>
    <x v="648"/>
    <n v="57"/>
    <x v="2"/>
    <x v="2"/>
    <x v="1"/>
    <d v="2024-04-21T00:00:00"/>
    <n v="12"/>
    <n v="1002.0675517241378"/>
    <x v="0"/>
    <s v="Middle"/>
    <s v="Normal"/>
    <s v="NO"/>
    <s v="Within Average"/>
    <x v="11"/>
  </r>
  <r>
    <x v="649"/>
    <n v="57"/>
    <x v="0"/>
    <x v="3"/>
    <x v="2"/>
    <d v="2024-03-29T00:00:00"/>
    <n v="12"/>
    <n v="1002.0675517241378"/>
    <x v="0"/>
    <s v="Middle"/>
    <s v="Normal"/>
    <s v="NO"/>
    <s v="Within Average"/>
    <x v="4"/>
  </r>
  <r>
    <x v="650"/>
    <n v="57"/>
    <x v="2"/>
    <x v="0"/>
    <x v="2"/>
    <s v="Unknown"/>
    <n v="11"/>
    <n v="1002.0675517241378"/>
    <x v="2"/>
    <s v="Middle"/>
    <s v="Normal"/>
    <s v="NO"/>
    <s v="Within Average"/>
    <x v="3"/>
  </r>
  <r>
    <x v="651"/>
    <n v="57"/>
    <x v="1"/>
    <x v="2"/>
    <x v="3"/>
    <d v="2024-01-22T00:00:00"/>
    <n v="12"/>
    <n v="1002.0675517241378"/>
    <x v="0"/>
    <s v="Middle"/>
    <s v="Normal"/>
    <s v="NO"/>
    <s v="Within Average"/>
    <x v="7"/>
  </r>
  <r>
    <x v="652"/>
    <n v="57"/>
    <x v="0"/>
    <x v="7"/>
    <x v="2"/>
    <d v="2024-08-08T00:00:00"/>
    <n v="12"/>
    <n v="399.13"/>
    <x v="2"/>
    <s v="Middle"/>
    <s v="Normal"/>
    <s v="NO"/>
    <s v="Within Average"/>
    <x v="5"/>
  </r>
  <r>
    <x v="653"/>
    <n v="57"/>
    <x v="1"/>
    <x v="0"/>
    <x v="2"/>
    <d v="2024-12-11T00:00:00"/>
    <n v="12"/>
    <n v="1195.4000000000001"/>
    <x v="3"/>
    <s v="Middle"/>
    <s v="Normal"/>
    <s v="NO"/>
    <s v="Above Average"/>
    <x v="0"/>
  </r>
  <r>
    <x v="654"/>
    <n v="57"/>
    <x v="1"/>
    <x v="2"/>
    <x v="3"/>
    <d v="2024-01-01T00:00:00"/>
    <n v="11"/>
    <n v="1002.0675517241378"/>
    <x v="1"/>
    <s v="Middle"/>
    <s v="Normal"/>
    <s v="NO"/>
    <s v="Within Average"/>
    <x v="7"/>
  </r>
  <r>
    <x v="655"/>
    <n v="57"/>
    <x v="0"/>
    <x v="7"/>
    <x v="5"/>
    <d v="2024-11-21T00:00:00"/>
    <n v="19"/>
    <n v="708.27"/>
    <x v="0"/>
    <s v="Middle"/>
    <s v="Normal"/>
    <s v="NO"/>
    <s v="Within Average"/>
    <x v="1"/>
  </r>
  <r>
    <x v="656"/>
    <n v="57"/>
    <x v="2"/>
    <x v="7"/>
    <x v="4"/>
    <d v="2024-04-08T00:00:00"/>
    <n v="12"/>
    <n v="1002.0675517241378"/>
    <x v="1"/>
    <s v="Middle"/>
    <s v="Normal"/>
    <s v="NO"/>
    <s v="Within Average"/>
    <x v="11"/>
  </r>
  <r>
    <x v="657"/>
    <n v="57"/>
    <x v="0"/>
    <x v="2"/>
    <x v="3"/>
    <d v="2024-12-04T00:00:00"/>
    <n v="12"/>
    <n v="1002.0675517241378"/>
    <x v="3"/>
    <s v="Middle"/>
    <s v="Normal"/>
    <s v="NO"/>
    <s v="Within Average"/>
    <x v="0"/>
  </r>
  <r>
    <x v="658"/>
    <n v="57"/>
    <x v="2"/>
    <x v="0"/>
    <x v="3"/>
    <s v="Unknown"/>
    <n v="2"/>
    <n v="1856.95"/>
    <x v="1"/>
    <s v="Middle"/>
    <s v="High Cost"/>
    <s v="NO"/>
    <s v="Above Average"/>
    <x v="3"/>
  </r>
  <r>
    <x v="659"/>
    <n v="57"/>
    <x v="0"/>
    <x v="0"/>
    <x v="2"/>
    <d v="2024-06-16T00:00:00"/>
    <n v="4"/>
    <n v="1002.0675517241378"/>
    <x v="1"/>
    <s v="Middle"/>
    <s v="Normal"/>
    <s v="NO"/>
    <s v="Within Average"/>
    <x v="2"/>
  </r>
  <r>
    <x v="660"/>
    <n v="57"/>
    <x v="1"/>
    <x v="2"/>
    <x v="4"/>
    <d v="2024-12-29T00:00:00"/>
    <n v="2"/>
    <n v="1002.0675517241378"/>
    <x v="3"/>
    <s v="Middle"/>
    <s v="Normal"/>
    <s v="NO"/>
    <s v="Within Average"/>
    <x v="0"/>
  </r>
  <r>
    <x v="661"/>
    <n v="57"/>
    <x v="0"/>
    <x v="4"/>
    <x v="4"/>
    <d v="2024-01-30T00:00:00"/>
    <n v="14"/>
    <n v="1002.0675517241378"/>
    <x v="2"/>
    <s v="Middle"/>
    <s v="Normal"/>
    <s v="NO"/>
    <s v="Within Average"/>
    <x v="7"/>
  </r>
  <r>
    <x v="662"/>
    <n v="57"/>
    <x v="2"/>
    <x v="0"/>
    <x v="4"/>
    <d v="2024-04-12T00:00:00"/>
    <n v="16"/>
    <n v="1002.0675517241378"/>
    <x v="0"/>
    <s v="Middle"/>
    <s v="Normal"/>
    <s v="NO"/>
    <s v="Within Average"/>
    <x v="11"/>
  </r>
  <r>
    <x v="663"/>
    <n v="57"/>
    <x v="0"/>
    <x v="0"/>
    <x v="5"/>
    <d v="2024-07-25T00:00:00"/>
    <n v="12"/>
    <n v="1002.0675517241378"/>
    <x v="2"/>
    <s v="Middle"/>
    <s v="Normal"/>
    <s v="NO"/>
    <s v="Within Average"/>
    <x v="6"/>
  </r>
  <r>
    <x v="664"/>
    <n v="57"/>
    <x v="0"/>
    <x v="3"/>
    <x v="2"/>
    <d v="2024-03-29T00:00:00"/>
    <n v="12"/>
    <n v="1002.0675517241378"/>
    <x v="3"/>
    <s v="Middle"/>
    <s v="Normal"/>
    <s v="NO"/>
    <s v="Within Average"/>
    <x v="4"/>
  </r>
  <r>
    <x v="665"/>
    <n v="57"/>
    <x v="0"/>
    <x v="1"/>
    <x v="0"/>
    <d v="2024-02-15T00:00:00"/>
    <n v="12"/>
    <n v="1002.0675517241378"/>
    <x v="1"/>
    <s v="Middle"/>
    <s v="Normal"/>
    <s v="NO"/>
    <s v="Within Average"/>
    <x v="9"/>
  </r>
  <r>
    <x v="666"/>
    <n v="57"/>
    <x v="0"/>
    <x v="1"/>
    <x v="2"/>
    <d v="2024-08-31T00:00:00"/>
    <n v="12"/>
    <n v="1002.0675517241378"/>
    <x v="1"/>
    <s v="Middle"/>
    <s v="Normal"/>
    <s v="NO"/>
    <s v="Within Average"/>
    <x v="5"/>
  </r>
  <r>
    <x v="667"/>
    <n v="57"/>
    <x v="1"/>
    <x v="0"/>
    <x v="1"/>
    <d v="2024-12-17T00:00:00"/>
    <n v="12"/>
    <n v="1002.0675517241378"/>
    <x v="0"/>
    <s v="Middle"/>
    <s v="Normal"/>
    <s v="NO"/>
    <s v="Within Average"/>
    <x v="0"/>
  </r>
  <r>
    <x v="668"/>
    <n v="57"/>
    <x v="2"/>
    <x v="4"/>
    <x v="5"/>
    <d v="2024-04-14T00:00:00"/>
    <n v="10"/>
    <n v="1002.0675517241378"/>
    <x v="1"/>
    <s v="Middle"/>
    <s v="Normal"/>
    <s v="NO"/>
    <s v="Within Average"/>
    <x v="11"/>
  </r>
  <r>
    <x v="669"/>
    <n v="57"/>
    <x v="2"/>
    <x v="7"/>
    <x v="5"/>
    <d v="2024-03-06T00:00:00"/>
    <n v="12"/>
    <n v="643.23"/>
    <x v="0"/>
    <s v="Middle"/>
    <s v="Normal"/>
    <s v="NO"/>
    <s v="Within Average"/>
    <x v="4"/>
  </r>
  <r>
    <x v="670"/>
    <n v="57"/>
    <x v="0"/>
    <x v="4"/>
    <x v="5"/>
    <s v="Unknown"/>
    <n v="18"/>
    <n v="1002.0675517241378"/>
    <x v="0"/>
    <s v="Middle"/>
    <s v="Normal"/>
    <s v="NO"/>
    <s v="Within Average"/>
    <x v="3"/>
  </r>
  <r>
    <x v="671"/>
    <n v="57"/>
    <x v="2"/>
    <x v="0"/>
    <x v="4"/>
    <d v="2024-03-04T00:00:00"/>
    <n v="12"/>
    <n v="1002.0675517241378"/>
    <x v="1"/>
    <s v="Middle"/>
    <s v="Normal"/>
    <s v="NO"/>
    <s v="Within Average"/>
    <x v="4"/>
  </r>
  <r>
    <x v="672"/>
    <n v="57"/>
    <x v="2"/>
    <x v="4"/>
    <x v="1"/>
    <d v="2024-10-23T00:00:00"/>
    <n v="8"/>
    <n v="1002.0675517241378"/>
    <x v="1"/>
    <s v="Middle"/>
    <s v="Normal"/>
    <s v="NO"/>
    <s v="Within Average"/>
    <x v="10"/>
  </r>
  <r>
    <x v="673"/>
    <n v="57"/>
    <x v="2"/>
    <x v="2"/>
    <x v="0"/>
    <s v="Unknown"/>
    <n v="9"/>
    <n v="1002.0675517241378"/>
    <x v="0"/>
    <s v="Middle"/>
    <s v="Normal"/>
    <s v="NO"/>
    <s v="Within Average"/>
    <x v="3"/>
  </r>
  <r>
    <x v="674"/>
    <n v="57"/>
    <x v="2"/>
    <x v="0"/>
    <x v="5"/>
    <d v="2024-12-12T00:00:00"/>
    <n v="12"/>
    <n v="1002.0675517241378"/>
    <x v="4"/>
    <s v="Middle"/>
    <s v="Normal"/>
    <s v="NO"/>
    <s v="Within Average"/>
    <x v="0"/>
  </r>
  <r>
    <x v="675"/>
    <n v="57"/>
    <x v="2"/>
    <x v="0"/>
    <x v="1"/>
    <d v="2024-05-24T00:00:00"/>
    <n v="12"/>
    <n v="1002.0675517241378"/>
    <x v="2"/>
    <s v="Middle"/>
    <s v="Normal"/>
    <s v="NO"/>
    <s v="Within Average"/>
    <x v="8"/>
  </r>
  <r>
    <x v="676"/>
    <n v="57"/>
    <x v="0"/>
    <x v="4"/>
    <x v="5"/>
    <d v="2024-11-28T00:00:00"/>
    <n v="12"/>
    <n v="1002.0675517241378"/>
    <x v="3"/>
    <s v="Middle"/>
    <s v="Normal"/>
    <s v="NO"/>
    <s v="Within Average"/>
    <x v="1"/>
  </r>
  <r>
    <x v="677"/>
    <n v="57"/>
    <x v="0"/>
    <x v="4"/>
    <x v="0"/>
    <d v="2024-12-03T00:00:00"/>
    <n v="12"/>
    <n v="1002.0675517241378"/>
    <x v="2"/>
    <s v="Middle"/>
    <s v="Normal"/>
    <s v="NO"/>
    <s v="Within Average"/>
    <x v="0"/>
  </r>
  <r>
    <x v="678"/>
    <n v="57"/>
    <x v="1"/>
    <x v="0"/>
    <x v="0"/>
    <d v="2024-11-07T00:00:00"/>
    <n v="12"/>
    <n v="803.23"/>
    <x v="4"/>
    <s v="Middle"/>
    <s v="Normal"/>
    <s v="NO"/>
    <s v="Within Average"/>
    <x v="1"/>
  </r>
  <r>
    <x v="679"/>
    <n v="57"/>
    <x v="0"/>
    <x v="3"/>
    <x v="5"/>
    <d v="2024-01-06T00:00:00"/>
    <n v="12"/>
    <n v="1002.0675517241378"/>
    <x v="2"/>
    <s v="Middle"/>
    <s v="Normal"/>
    <s v="NO"/>
    <s v="Within Average"/>
    <x v="7"/>
  </r>
  <r>
    <x v="680"/>
    <n v="57"/>
    <x v="0"/>
    <x v="1"/>
    <x v="4"/>
    <d v="2024-05-14T00:00:00"/>
    <n v="12"/>
    <n v="1002.0675517241378"/>
    <x v="4"/>
    <s v="Middle"/>
    <s v="Normal"/>
    <s v="NO"/>
    <s v="Within Average"/>
    <x v="8"/>
  </r>
  <r>
    <x v="681"/>
    <n v="57"/>
    <x v="2"/>
    <x v="1"/>
    <x v="3"/>
    <d v="2024-05-01T00:00:00"/>
    <n v="13"/>
    <n v="1920.55"/>
    <x v="1"/>
    <s v="Middle"/>
    <s v="High Cost"/>
    <s v="NO"/>
    <s v="Above Average"/>
    <x v="8"/>
  </r>
  <r>
    <x v="682"/>
    <n v="57"/>
    <x v="2"/>
    <x v="0"/>
    <x v="5"/>
    <s v="Unknown"/>
    <n v="12"/>
    <n v="1002.0675517241378"/>
    <x v="3"/>
    <s v="Middle"/>
    <s v="Normal"/>
    <s v="NO"/>
    <s v="Within Average"/>
    <x v="3"/>
  </r>
  <r>
    <x v="683"/>
    <n v="57"/>
    <x v="0"/>
    <x v="1"/>
    <x v="0"/>
    <d v="2024-11-26T00:00:00"/>
    <n v="12"/>
    <n v="63.46"/>
    <x v="0"/>
    <s v="Middle"/>
    <s v="Normal"/>
    <s v="NO"/>
    <s v="Within Average"/>
    <x v="1"/>
  </r>
  <r>
    <x v="684"/>
    <n v="57"/>
    <x v="2"/>
    <x v="6"/>
    <x v="4"/>
    <d v="2024-01-28T00:00:00"/>
    <n v="12"/>
    <n v="1002.0675517241378"/>
    <x v="0"/>
    <s v="Middle"/>
    <s v="Normal"/>
    <s v="NO"/>
    <s v="Within Average"/>
    <x v="7"/>
  </r>
  <r>
    <x v="685"/>
    <n v="57"/>
    <x v="1"/>
    <x v="7"/>
    <x v="4"/>
    <d v="2024-03-31T00:00:00"/>
    <n v="3"/>
    <n v="1002.0675517241378"/>
    <x v="4"/>
    <s v="Middle"/>
    <s v="Normal"/>
    <s v="NO"/>
    <s v="Within Average"/>
    <x v="4"/>
  </r>
  <r>
    <x v="686"/>
    <n v="57"/>
    <x v="2"/>
    <x v="5"/>
    <x v="4"/>
    <s v="Unknown"/>
    <n v="12"/>
    <n v="1002.0675517241378"/>
    <x v="3"/>
    <s v="Middle"/>
    <s v="Normal"/>
    <s v="NO"/>
    <s v="Within Average"/>
    <x v="3"/>
  </r>
  <r>
    <x v="687"/>
    <n v="57"/>
    <x v="1"/>
    <x v="4"/>
    <x v="5"/>
    <d v="2024-11-21T00:00:00"/>
    <n v="18"/>
    <n v="1002.0675517241378"/>
    <x v="1"/>
    <s v="Middle"/>
    <s v="Normal"/>
    <s v="NO"/>
    <s v="Within Average"/>
    <x v="1"/>
  </r>
  <r>
    <x v="688"/>
    <n v="57"/>
    <x v="1"/>
    <x v="0"/>
    <x v="5"/>
    <d v="2024-06-12T00:00:00"/>
    <n v="12"/>
    <n v="1002.0675517241378"/>
    <x v="0"/>
    <s v="Middle"/>
    <s v="Normal"/>
    <s v="NO"/>
    <s v="Within Average"/>
    <x v="2"/>
  </r>
  <r>
    <x v="689"/>
    <n v="57"/>
    <x v="0"/>
    <x v="6"/>
    <x v="0"/>
    <d v="2024-10-30T00:00:00"/>
    <n v="20"/>
    <n v="1002.0675517241378"/>
    <x v="1"/>
    <s v="Middle"/>
    <s v="Normal"/>
    <s v="NO"/>
    <s v="Within Average"/>
    <x v="10"/>
  </r>
  <r>
    <x v="690"/>
    <n v="57"/>
    <x v="0"/>
    <x v="0"/>
    <x v="3"/>
    <d v="2024-11-01T00:00:00"/>
    <n v="12"/>
    <n v="1489.88"/>
    <x v="4"/>
    <s v="Middle"/>
    <s v="High Cost"/>
    <s v="NO"/>
    <s v="Above Average"/>
    <x v="1"/>
  </r>
  <r>
    <x v="691"/>
    <n v="57"/>
    <x v="2"/>
    <x v="0"/>
    <x v="0"/>
    <d v="2024-11-05T00:00:00"/>
    <n v="12"/>
    <n v="1002.0675517241378"/>
    <x v="1"/>
    <s v="Middle"/>
    <s v="Normal"/>
    <s v="NO"/>
    <s v="Within Average"/>
    <x v="1"/>
  </r>
  <r>
    <x v="692"/>
    <n v="57"/>
    <x v="2"/>
    <x v="4"/>
    <x v="3"/>
    <s v="Unknown"/>
    <n v="12"/>
    <n v="1002.0675517241378"/>
    <x v="4"/>
    <s v="Middle"/>
    <s v="Normal"/>
    <s v="NO"/>
    <s v="Within Average"/>
    <x v="3"/>
  </r>
  <r>
    <x v="693"/>
    <n v="57"/>
    <x v="1"/>
    <x v="0"/>
    <x v="4"/>
    <d v="2024-08-23T00:00:00"/>
    <n v="12"/>
    <n v="1677.77"/>
    <x v="1"/>
    <s v="Middle"/>
    <s v="High Cost"/>
    <s v="NO"/>
    <s v="Above Average"/>
    <x v="5"/>
  </r>
  <r>
    <x v="694"/>
    <n v="57"/>
    <x v="0"/>
    <x v="0"/>
    <x v="3"/>
    <d v="2024-05-06T00:00:00"/>
    <n v="12"/>
    <n v="1002.0675517241378"/>
    <x v="3"/>
    <s v="Middle"/>
    <s v="Normal"/>
    <s v="NO"/>
    <s v="Within Average"/>
    <x v="8"/>
  </r>
  <r>
    <x v="695"/>
    <n v="57"/>
    <x v="0"/>
    <x v="7"/>
    <x v="0"/>
    <d v="2024-08-04T00:00:00"/>
    <n v="2"/>
    <n v="680.04"/>
    <x v="1"/>
    <s v="Middle"/>
    <s v="Normal"/>
    <s v="NO"/>
    <s v="Within Average"/>
    <x v="5"/>
  </r>
  <r>
    <x v="696"/>
    <n v="57"/>
    <x v="0"/>
    <x v="1"/>
    <x v="3"/>
    <d v="2024-11-21T00:00:00"/>
    <n v="12"/>
    <n v="1002.0675517241378"/>
    <x v="3"/>
    <s v="Middle"/>
    <s v="Normal"/>
    <s v="NO"/>
    <s v="Within Average"/>
    <x v="1"/>
  </r>
  <r>
    <x v="697"/>
    <n v="57"/>
    <x v="2"/>
    <x v="7"/>
    <x v="3"/>
    <d v="2024-09-10T00:00:00"/>
    <n v="12"/>
    <n v="1002.0675517241378"/>
    <x v="4"/>
    <s v="Middle"/>
    <s v="Normal"/>
    <s v="NO"/>
    <s v="Within Average"/>
    <x v="12"/>
  </r>
  <r>
    <x v="698"/>
    <n v="57"/>
    <x v="2"/>
    <x v="0"/>
    <x v="4"/>
    <d v="2024-07-04T00:00:00"/>
    <n v="9"/>
    <n v="1002.0675517241378"/>
    <x v="0"/>
    <s v="Middle"/>
    <s v="Normal"/>
    <s v="NO"/>
    <s v="Within Average"/>
    <x v="6"/>
  </r>
  <r>
    <x v="699"/>
    <n v="57"/>
    <x v="2"/>
    <x v="4"/>
    <x v="1"/>
    <d v="2024-09-10T00:00:00"/>
    <n v="12"/>
    <n v="1002.0675517241378"/>
    <x v="1"/>
    <s v="Middle"/>
    <s v="Normal"/>
    <s v="NO"/>
    <s v="Within Average"/>
    <x v="12"/>
  </r>
  <r>
    <x v="700"/>
    <n v="57"/>
    <x v="0"/>
    <x v="3"/>
    <x v="3"/>
    <d v="2024-06-04T00:00:00"/>
    <n v="12"/>
    <n v="1948.48"/>
    <x v="3"/>
    <s v="Middle"/>
    <s v="High Cost"/>
    <s v="NO"/>
    <s v="Above Average"/>
    <x v="2"/>
  </r>
  <r>
    <x v="701"/>
    <n v="57"/>
    <x v="2"/>
    <x v="7"/>
    <x v="4"/>
    <s v="Unknown"/>
    <n v="4"/>
    <n v="1429.49"/>
    <x v="0"/>
    <s v="Middle"/>
    <s v="High Cost"/>
    <s v="NO"/>
    <s v="Above Average"/>
    <x v="3"/>
  </r>
  <r>
    <x v="702"/>
    <n v="57"/>
    <x v="1"/>
    <x v="3"/>
    <x v="0"/>
    <s v="Unknown"/>
    <n v="12"/>
    <n v="1349.15"/>
    <x v="4"/>
    <s v="Middle"/>
    <s v="High Cost"/>
    <s v="NO"/>
    <s v="Above Average"/>
    <x v="3"/>
  </r>
  <r>
    <x v="703"/>
    <n v="57"/>
    <x v="1"/>
    <x v="2"/>
    <x v="4"/>
    <s v="Unknown"/>
    <n v="12"/>
    <n v="948.61"/>
    <x v="1"/>
    <s v="Middle"/>
    <s v="Normal"/>
    <s v="NO"/>
    <s v="Within Average"/>
    <x v="3"/>
  </r>
  <r>
    <x v="704"/>
    <n v="57"/>
    <x v="0"/>
    <x v="0"/>
    <x v="0"/>
    <d v="2024-03-30T00:00:00"/>
    <n v="6"/>
    <n v="1002.0675517241378"/>
    <x v="1"/>
    <s v="Middle"/>
    <s v="Normal"/>
    <s v="NO"/>
    <s v="Within Average"/>
    <x v="4"/>
  </r>
  <r>
    <x v="705"/>
    <n v="57"/>
    <x v="0"/>
    <x v="6"/>
    <x v="5"/>
    <s v="Unknown"/>
    <n v="13"/>
    <n v="1329.58"/>
    <x v="3"/>
    <s v="Middle"/>
    <s v="High Cost"/>
    <s v="NO"/>
    <s v="Above Average"/>
    <x v="3"/>
  </r>
  <r>
    <x v="706"/>
    <n v="57"/>
    <x v="2"/>
    <x v="6"/>
    <x v="4"/>
    <d v="2024-02-14T00:00:00"/>
    <n v="18"/>
    <n v="1002.0675517241378"/>
    <x v="0"/>
    <s v="Middle"/>
    <s v="Normal"/>
    <s v="NO"/>
    <s v="Within Average"/>
    <x v="9"/>
  </r>
  <r>
    <x v="707"/>
    <n v="57"/>
    <x v="0"/>
    <x v="7"/>
    <x v="2"/>
    <d v="2024-08-27T00:00:00"/>
    <n v="12"/>
    <n v="1002.0675517241378"/>
    <x v="0"/>
    <s v="Middle"/>
    <s v="Normal"/>
    <s v="NO"/>
    <s v="Within Average"/>
    <x v="5"/>
  </r>
  <r>
    <x v="708"/>
    <n v="57"/>
    <x v="2"/>
    <x v="3"/>
    <x v="2"/>
    <d v="2024-08-27T00:00:00"/>
    <n v="16"/>
    <n v="1002.0675517241378"/>
    <x v="2"/>
    <s v="Middle"/>
    <s v="Normal"/>
    <s v="NO"/>
    <s v="Within Average"/>
    <x v="5"/>
  </r>
  <r>
    <x v="709"/>
    <n v="57"/>
    <x v="0"/>
    <x v="6"/>
    <x v="4"/>
    <d v="2024-09-17T00:00:00"/>
    <n v="12"/>
    <n v="285.10000000000002"/>
    <x v="1"/>
    <s v="Middle"/>
    <s v="Normal"/>
    <s v="NO"/>
    <s v="Within Average"/>
    <x v="12"/>
  </r>
  <r>
    <x v="710"/>
    <n v="57"/>
    <x v="0"/>
    <x v="0"/>
    <x v="3"/>
    <d v="2024-03-28T00:00:00"/>
    <n v="12"/>
    <n v="1002.0675517241378"/>
    <x v="1"/>
    <s v="Middle"/>
    <s v="Normal"/>
    <s v="NO"/>
    <s v="Within Average"/>
    <x v="4"/>
  </r>
  <r>
    <x v="711"/>
    <n v="57"/>
    <x v="2"/>
    <x v="2"/>
    <x v="4"/>
    <d v="2024-01-26T00:00:00"/>
    <n v="11"/>
    <n v="668.97"/>
    <x v="3"/>
    <s v="Middle"/>
    <s v="Normal"/>
    <s v="NO"/>
    <s v="Within Average"/>
    <x v="7"/>
  </r>
  <r>
    <x v="712"/>
    <n v="57"/>
    <x v="0"/>
    <x v="2"/>
    <x v="2"/>
    <d v="2024-10-16T00:00:00"/>
    <n v="14"/>
    <n v="1032.0999999999999"/>
    <x v="0"/>
    <s v="Middle"/>
    <s v="Normal"/>
    <s v="NO"/>
    <s v="Above Average"/>
    <x v="10"/>
  </r>
  <r>
    <x v="713"/>
    <n v="57"/>
    <x v="2"/>
    <x v="6"/>
    <x v="3"/>
    <d v="2024-07-11T00:00:00"/>
    <n v="4"/>
    <n v="1002.0675517241378"/>
    <x v="1"/>
    <s v="Middle"/>
    <s v="Normal"/>
    <s v="NO"/>
    <s v="Within Average"/>
    <x v="6"/>
  </r>
  <r>
    <x v="714"/>
    <n v="57"/>
    <x v="1"/>
    <x v="4"/>
    <x v="0"/>
    <d v="2024-03-29T00:00:00"/>
    <n v="12"/>
    <n v="1977.87"/>
    <x v="0"/>
    <s v="Middle"/>
    <s v="High Cost"/>
    <s v="NO"/>
    <s v="Above Average"/>
    <x v="4"/>
  </r>
  <r>
    <x v="715"/>
    <n v="57"/>
    <x v="1"/>
    <x v="2"/>
    <x v="5"/>
    <d v="2024-09-18T00:00:00"/>
    <n v="12"/>
    <n v="1002.0675517241378"/>
    <x v="0"/>
    <s v="Middle"/>
    <s v="Normal"/>
    <s v="NO"/>
    <s v="Within Average"/>
    <x v="12"/>
  </r>
  <r>
    <x v="716"/>
    <n v="57"/>
    <x v="1"/>
    <x v="6"/>
    <x v="3"/>
    <d v="2024-08-11T00:00:00"/>
    <n v="12"/>
    <n v="1701.18"/>
    <x v="0"/>
    <s v="Middle"/>
    <s v="High Cost"/>
    <s v="NO"/>
    <s v="Above Average"/>
    <x v="5"/>
  </r>
  <r>
    <x v="717"/>
    <n v="57"/>
    <x v="2"/>
    <x v="3"/>
    <x v="5"/>
    <d v="2024-05-19T00:00:00"/>
    <n v="12"/>
    <n v="1002.0675517241378"/>
    <x v="1"/>
    <s v="Middle"/>
    <s v="Normal"/>
    <s v="NO"/>
    <s v="Within Average"/>
    <x v="8"/>
  </r>
  <r>
    <x v="718"/>
    <n v="57"/>
    <x v="1"/>
    <x v="1"/>
    <x v="2"/>
    <d v="2024-04-08T00:00:00"/>
    <n v="12"/>
    <n v="1002.0675517241378"/>
    <x v="3"/>
    <s v="Middle"/>
    <s v="Normal"/>
    <s v="NO"/>
    <s v="Within Average"/>
    <x v="11"/>
  </r>
  <r>
    <x v="719"/>
    <n v="57"/>
    <x v="2"/>
    <x v="1"/>
    <x v="3"/>
    <d v="2024-10-25T00:00:00"/>
    <n v="12"/>
    <n v="1002.0675517241378"/>
    <x v="0"/>
    <s v="Middle"/>
    <s v="Normal"/>
    <s v="NO"/>
    <s v="Within Average"/>
    <x v="10"/>
  </r>
  <r>
    <x v="720"/>
    <n v="57"/>
    <x v="2"/>
    <x v="6"/>
    <x v="3"/>
    <d v="2024-05-26T00:00:00"/>
    <n v="12"/>
    <n v="1002.0675517241378"/>
    <x v="2"/>
    <s v="Middle"/>
    <s v="Normal"/>
    <s v="NO"/>
    <s v="Within Average"/>
    <x v="8"/>
  </r>
  <r>
    <x v="721"/>
    <n v="56"/>
    <x v="0"/>
    <x v="7"/>
    <x v="3"/>
    <d v="2024-04-16T00:00:00"/>
    <n v="12"/>
    <n v="1002.0675517241378"/>
    <x v="2"/>
    <s v="Middle"/>
    <s v="Normal"/>
    <s v="NO"/>
    <s v="Within Average"/>
    <x v="11"/>
  </r>
  <r>
    <x v="722"/>
    <n v="56"/>
    <x v="0"/>
    <x v="1"/>
    <x v="3"/>
    <d v="2024-05-05T00:00:00"/>
    <n v="19"/>
    <n v="147.86000000000001"/>
    <x v="4"/>
    <s v="Middle"/>
    <s v="Normal"/>
    <s v="NO"/>
    <s v="Within Average"/>
    <x v="8"/>
  </r>
  <r>
    <x v="723"/>
    <n v="56"/>
    <x v="1"/>
    <x v="5"/>
    <x v="3"/>
    <d v="2024-09-19T00:00:00"/>
    <n v="12"/>
    <n v="1293.78"/>
    <x v="0"/>
    <s v="Middle"/>
    <s v="High Cost"/>
    <s v="NO"/>
    <s v="Above Average"/>
    <x v="12"/>
  </r>
  <r>
    <x v="724"/>
    <n v="56"/>
    <x v="2"/>
    <x v="7"/>
    <x v="4"/>
    <d v="2024-06-21T00:00:00"/>
    <n v="12"/>
    <n v="922.04"/>
    <x v="0"/>
    <s v="Middle"/>
    <s v="Normal"/>
    <s v="NO"/>
    <s v="Within Average"/>
    <x v="2"/>
  </r>
  <r>
    <x v="725"/>
    <n v="56"/>
    <x v="1"/>
    <x v="6"/>
    <x v="5"/>
    <s v="Unknown"/>
    <n v="15"/>
    <n v="1154.6300000000001"/>
    <x v="1"/>
    <s v="Middle"/>
    <s v="Normal"/>
    <s v="NO"/>
    <s v="Above Average"/>
    <x v="3"/>
  </r>
  <r>
    <x v="726"/>
    <n v="55"/>
    <x v="2"/>
    <x v="4"/>
    <x v="2"/>
    <d v="2024-11-14T00:00:00"/>
    <n v="6"/>
    <n v="1002.0675517241378"/>
    <x v="4"/>
    <s v="Middle"/>
    <s v="Normal"/>
    <s v="NO"/>
    <s v="Within Average"/>
    <x v="1"/>
  </r>
  <r>
    <x v="727"/>
    <n v="55"/>
    <x v="0"/>
    <x v="2"/>
    <x v="5"/>
    <d v="2024-04-26T00:00:00"/>
    <n v="12"/>
    <n v="1002.0675517241378"/>
    <x v="1"/>
    <s v="Middle"/>
    <s v="Normal"/>
    <s v="NO"/>
    <s v="Within Average"/>
    <x v="11"/>
  </r>
  <r>
    <x v="728"/>
    <n v="55"/>
    <x v="0"/>
    <x v="6"/>
    <x v="0"/>
    <d v="2024-02-28T00:00:00"/>
    <n v="12"/>
    <n v="1002.0675517241378"/>
    <x v="3"/>
    <s v="Middle"/>
    <s v="Normal"/>
    <s v="NO"/>
    <s v="Within Average"/>
    <x v="9"/>
  </r>
  <r>
    <x v="729"/>
    <n v="55"/>
    <x v="2"/>
    <x v="1"/>
    <x v="3"/>
    <d v="2024-01-08T00:00:00"/>
    <n v="12"/>
    <n v="1002.0675517241378"/>
    <x v="4"/>
    <s v="Middle"/>
    <s v="Normal"/>
    <s v="NO"/>
    <s v="Within Average"/>
    <x v="7"/>
  </r>
  <r>
    <x v="730"/>
    <n v="55"/>
    <x v="2"/>
    <x v="5"/>
    <x v="4"/>
    <d v="2024-10-28T00:00:00"/>
    <n v="12"/>
    <n v="1002.0675517241378"/>
    <x v="1"/>
    <s v="Middle"/>
    <s v="Normal"/>
    <s v="NO"/>
    <s v="Within Average"/>
    <x v="10"/>
  </r>
  <r>
    <x v="731"/>
    <n v="54"/>
    <x v="0"/>
    <x v="0"/>
    <x v="3"/>
    <d v="2024-04-22T00:00:00"/>
    <n v="14"/>
    <n v="1244.18"/>
    <x v="3"/>
    <s v="Middle"/>
    <s v="High Cost"/>
    <s v="NO"/>
    <s v="Above Average"/>
    <x v="11"/>
  </r>
  <r>
    <x v="732"/>
    <n v="54"/>
    <x v="2"/>
    <x v="6"/>
    <x v="3"/>
    <s v="Unknown"/>
    <n v="12"/>
    <n v="1002.0675517241378"/>
    <x v="1"/>
    <s v="Middle"/>
    <s v="Normal"/>
    <s v="NO"/>
    <s v="Within Average"/>
    <x v="3"/>
  </r>
  <r>
    <x v="733"/>
    <n v="54"/>
    <x v="2"/>
    <x v="1"/>
    <x v="2"/>
    <d v="2024-05-18T00:00:00"/>
    <n v="12"/>
    <n v="1002.0675517241378"/>
    <x v="1"/>
    <s v="Middle"/>
    <s v="Normal"/>
    <s v="NO"/>
    <s v="Within Average"/>
    <x v="8"/>
  </r>
  <r>
    <x v="734"/>
    <n v="54"/>
    <x v="2"/>
    <x v="3"/>
    <x v="3"/>
    <d v="2024-12-14T00:00:00"/>
    <n v="12"/>
    <n v="449.26"/>
    <x v="2"/>
    <s v="Middle"/>
    <s v="Normal"/>
    <s v="NO"/>
    <s v="Within Average"/>
    <x v="0"/>
  </r>
  <r>
    <x v="735"/>
    <n v="54"/>
    <x v="0"/>
    <x v="3"/>
    <x v="3"/>
    <d v="2024-05-25T00:00:00"/>
    <n v="16"/>
    <n v="1002.0675517241378"/>
    <x v="2"/>
    <s v="Middle"/>
    <s v="Normal"/>
    <s v="NO"/>
    <s v="Within Average"/>
    <x v="8"/>
  </r>
  <r>
    <x v="736"/>
    <n v="53"/>
    <x v="2"/>
    <x v="5"/>
    <x v="0"/>
    <d v="2024-05-12T00:00:00"/>
    <n v="12"/>
    <n v="1002.0675517241378"/>
    <x v="3"/>
    <s v="Middle"/>
    <s v="Normal"/>
    <s v="NO"/>
    <s v="Within Average"/>
    <x v="8"/>
  </r>
  <r>
    <x v="737"/>
    <n v="53"/>
    <x v="2"/>
    <x v="0"/>
    <x v="4"/>
    <d v="2024-12-20T00:00:00"/>
    <n v="12"/>
    <n v="944.82"/>
    <x v="0"/>
    <s v="Middle"/>
    <s v="Normal"/>
    <s v="NO"/>
    <s v="Within Average"/>
    <x v="0"/>
  </r>
  <r>
    <x v="738"/>
    <n v="52"/>
    <x v="2"/>
    <x v="6"/>
    <x v="0"/>
    <d v="2024-03-21T00:00:00"/>
    <n v="2"/>
    <n v="1625"/>
    <x v="4"/>
    <s v="Middle"/>
    <s v="High Cost"/>
    <s v="NO"/>
    <s v="Above Average"/>
    <x v="4"/>
  </r>
  <r>
    <x v="739"/>
    <n v="52"/>
    <x v="1"/>
    <x v="2"/>
    <x v="3"/>
    <d v="2024-09-09T00:00:00"/>
    <n v="12"/>
    <n v="1327.75"/>
    <x v="1"/>
    <s v="Middle"/>
    <s v="High Cost"/>
    <s v="NO"/>
    <s v="Above Average"/>
    <x v="12"/>
  </r>
  <r>
    <x v="740"/>
    <n v="51"/>
    <x v="0"/>
    <x v="6"/>
    <x v="4"/>
    <s v="Unknown"/>
    <n v="12"/>
    <n v="1942.44"/>
    <x v="1"/>
    <s v="Middle"/>
    <s v="High Cost"/>
    <s v="NO"/>
    <s v="Above Average"/>
    <x v="3"/>
  </r>
  <r>
    <x v="741"/>
    <n v="51"/>
    <x v="0"/>
    <x v="3"/>
    <x v="5"/>
    <d v="2024-04-30T00:00:00"/>
    <n v="14"/>
    <n v="809.18"/>
    <x v="0"/>
    <s v="Middle"/>
    <s v="Normal"/>
    <s v="NO"/>
    <s v="Within Average"/>
    <x v="11"/>
  </r>
  <r>
    <x v="742"/>
    <n v="51"/>
    <x v="2"/>
    <x v="6"/>
    <x v="3"/>
    <s v="Unknown"/>
    <n v="12"/>
    <n v="1002.0675517241378"/>
    <x v="1"/>
    <s v="Middle"/>
    <s v="Normal"/>
    <s v="NO"/>
    <s v="Within Average"/>
    <x v="3"/>
  </r>
  <r>
    <x v="743"/>
    <n v="51"/>
    <x v="2"/>
    <x v="0"/>
    <x v="4"/>
    <d v="2024-07-23T00:00:00"/>
    <n v="12"/>
    <n v="1002.0675517241378"/>
    <x v="3"/>
    <s v="Middle"/>
    <s v="Normal"/>
    <s v="NO"/>
    <s v="Within Average"/>
    <x v="6"/>
  </r>
  <r>
    <x v="744"/>
    <n v="51"/>
    <x v="0"/>
    <x v="3"/>
    <x v="4"/>
    <s v="Unknown"/>
    <n v="6"/>
    <n v="455.51"/>
    <x v="3"/>
    <s v="Middle"/>
    <s v="Normal"/>
    <s v="NO"/>
    <s v="Within Average"/>
    <x v="3"/>
  </r>
  <r>
    <x v="745"/>
    <n v="50"/>
    <x v="2"/>
    <x v="1"/>
    <x v="4"/>
    <s v="Unknown"/>
    <n v="17"/>
    <n v="1002.0675517241378"/>
    <x v="0"/>
    <s v="Middle"/>
    <s v="Normal"/>
    <s v="NO"/>
    <s v="Within Average"/>
    <x v="3"/>
  </r>
  <r>
    <x v="746"/>
    <n v="50"/>
    <x v="1"/>
    <x v="7"/>
    <x v="4"/>
    <d v="2024-07-29T00:00:00"/>
    <n v="12"/>
    <n v="1002.0675517241378"/>
    <x v="3"/>
    <s v="Middle"/>
    <s v="Normal"/>
    <s v="NO"/>
    <s v="Within Average"/>
    <x v="6"/>
  </r>
  <r>
    <x v="747"/>
    <n v="50"/>
    <x v="2"/>
    <x v="0"/>
    <x v="2"/>
    <d v="2024-03-14T00:00:00"/>
    <n v="12"/>
    <n v="1519.65"/>
    <x v="3"/>
    <s v="Middle"/>
    <s v="High Cost"/>
    <s v="NO"/>
    <s v="Above Average"/>
    <x v="4"/>
  </r>
  <r>
    <x v="748"/>
    <n v="50"/>
    <x v="2"/>
    <x v="7"/>
    <x v="4"/>
    <d v="2024-11-01T00:00:00"/>
    <n v="12"/>
    <n v="1002.0675517241378"/>
    <x v="0"/>
    <s v="Middle"/>
    <s v="Normal"/>
    <s v="NO"/>
    <s v="Within Average"/>
    <x v="1"/>
  </r>
  <r>
    <x v="749"/>
    <n v="49"/>
    <x v="0"/>
    <x v="4"/>
    <x v="4"/>
    <s v="Unknown"/>
    <n v="12"/>
    <n v="1002.0675517241378"/>
    <x v="2"/>
    <s v="Middle"/>
    <s v="Normal"/>
    <s v="NO"/>
    <s v="Within Average"/>
    <x v="3"/>
  </r>
  <r>
    <x v="750"/>
    <n v="49"/>
    <x v="0"/>
    <x v="1"/>
    <x v="3"/>
    <d v="2024-03-06T00:00:00"/>
    <n v="12"/>
    <n v="1002.0675517241378"/>
    <x v="3"/>
    <s v="Middle"/>
    <s v="Normal"/>
    <s v="NO"/>
    <s v="Within Average"/>
    <x v="4"/>
  </r>
  <r>
    <x v="751"/>
    <n v="49"/>
    <x v="0"/>
    <x v="4"/>
    <x v="2"/>
    <d v="2024-12-28T00:00:00"/>
    <n v="12"/>
    <n v="827.7"/>
    <x v="3"/>
    <s v="Middle"/>
    <s v="Normal"/>
    <s v="NO"/>
    <s v="Within Average"/>
    <x v="0"/>
  </r>
  <r>
    <x v="752"/>
    <n v="49"/>
    <x v="0"/>
    <x v="6"/>
    <x v="1"/>
    <s v="Unknown"/>
    <n v="18"/>
    <n v="1002.0675517241378"/>
    <x v="1"/>
    <s v="Middle"/>
    <s v="Normal"/>
    <s v="NO"/>
    <s v="Within Average"/>
    <x v="3"/>
  </r>
  <r>
    <x v="753"/>
    <n v="48"/>
    <x v="0"/>
    <x v="0"/>
    <x v="4"/>
    <d v="2024-06-02T00:00:00"/>
    <n v="12"/>
    <n v="1171.43"/>
    <x v="2"/>
    <s v="Middle"/>
    <s v="Normal"/>
    <s v="NO"/>
    <s v="Above Average"/>
    <x v="2"/>
  </r>
  <r>
    <x v="754"/>
    <n v="48"/>
    <x v="0"/>
    <x v="5"/>
    <x v="3"/>
    <d v="2024-01-07T00:00:00"/>
    <n v="18"/>
    <n v="1002.0675517241378"/>
    <x v="3"/>
    <s v="Middle"/>
    <s v="Normal"/>
    <s v="NO"/>
    <s v="Within Average"/>
    <x v="7"/>
  </r>
  <r>
    <x v="755"/>
    <n v="48"/>
    <x v="2"/>
    <x v="2"/>
    <x v="3"/>
    <d v="2024-04-15T00:00:00"/>
    <n v="15"/>
    <n v="1002.0675517241378"/>
    <x v="3"/>
    <s v="Middle"/>
    <s v="Normal"/>
    <s v="NO"/>
    <s v="Within Average"/>
    <x v="11"/>
  </r>
  <r>
    <x v="756"/>
    <n v="48"/>
    <x v="2"/>
    <x v="6"/>
    <x v="0"/>
    <s v="Unknown"/>
    <n v="12"/>
    <n v="503.91"/>
    <x v="3"/>
    <s v="Middle"/>
    <s v="Normal"/>
    <s v="NO"/>
    <s v="Within Average"/>
    <x v="3"/>
  </r>
  <r>
    <x v="757"/>
    <n v="47"/>
    <x v="0"/>
    <x v="3"/>
    <x v="0"/>
    <d v="2024-08-10T00:00:00"/>
    <n v="12"/>
    <n v="1869.72"/>
    <x v="1"/>
    <s v="Middle"/>
    <s v="High Cost"/>
    <s v="NO"/>
    <s v="Above Average"/>
    <x v="5"/>
  </r>
  <r>
    <x v="758"/>
    <n v="47"/>
    <x v="0"/>
    <x v="0"/>
    <x v="4"/>
    <d v="2024-01-13T00:00:00"/>
    <n v="12"/>
    <n v="1298.96"/>
    <x v="0"/>
    <s v="Middle"/>
    <s v="High Cost"/>
    <s v="NO"/>
    <s v="Above Average"/>
    <x v="7"/>
  </r>
  <r>
    <x v="759"/>
    <n v="47"/>
    <x v="2"/>
    <x v="1"/>
    <x v="5"/>
    <d v="2024-11-04T00:00:00"/>
    <n v="12"/>
    <n v="243.28"/>
    <x v="2"/>
    <s v="Middle"/>
    <s v="Normal"/>
    <s v="NO"/>
    <s v="Within Average"/>
    <x v="1"/>
  </r>
  <r>
    <x v="760"/>
    <n v="46"/>
    <x v="0"/>
    <x v="6"/>
    <x v="4"/>
    <d v="2024-11-30T00:00:00"/>
    <n v="12"/>
    <n v="1002.0675517241378"/>
    <x v="1"/>
    <s v="Middle"/>
    <s v="Normal"/>
    <s v="NO"/>
    <s v="Within Average"/>
    <x v="1"/>
  </r>
  <r>
    <x v="761"/>
    <n v="46"/>
    <x v="2"/>
    <x v="1"/>
    <x v="2"/>
    <s v="Unknown"/>
    <n v="12"/>
    <n v="1002.0675517241378"/>
    <x v="2"/>
    <s v="Middle"/>
    <s v="Normal"/>
    <s v="NO"/>
    <s v="Within Average"/>
    <x v="3"/>
  </r>
  <r>
    <x v="762"/>
    <n v="45"/>
    <x v="0"/>
    <x v="7"/>
    <x v="5"/>
    <s v="Unknown"/>
    <n v="12"/>
    <n v="1002.0675517241378"/>
    <x v="3"/>
    <s v="Middle"/>
    <s v="Normal"/>
    <s v="NO"/>
    <s v="Within Average"/>
    <x v="3"/>
  </r>
  <r>
    <x v="763"/>
    <n v="45"/>
    <x v="1"/>
    <x v="5"/>
    <x v="5"/>
    <d v="2024-08-24T00:00:00"/>
    <n v="5"/>
    <n v="1002.0675517241378"/>
    <x v="2"/>
    <s v="Middle"/>
    <s v="Normal"/>
    <s v="NO"/>
    <s v="Within Average"/>
    <x v="5"/>
  </r>
  <r>
    <x v="764"/>
    <n v="45"/>
    <x v="1"/>
    <x v="3"/>
    <x v="2"/>
    <s v="Unknown"/>
    <n v="18"/>
    <n v="116.89"/>
    <x v="0"/>
    <s v="Middle"/>
    <s v="Normal"/>
    <s v="NO"/>
    <s v="Within Average"/>
    <x v="3"/>
  </r>
  <r>
    <x v="765"/>
    <n v="45"/>
    <x v="0"/>
    <x v="3"/>
    <x v="3"/>
    <d v="2024-12-20T00:00:00"/>
    <n v="13"/>
    <n v="239.21"/>
    <x v="3"/>
    <s v="Middle"/>
    <s v="Normal"/>
    <s v="NO"/>
    <s v="Within Average"/>
    <x v="0"/>
  </r>
  <r>
    <x v="766"/>
    <n v="44"/>
    <x v="1"/>
    <x v="3"/>
    <x v="2"/>
    <d v="2024-10-02T00:00:00"/>
    <n v="12"/>
    <n v="1002.0675517241378"/>
    <x v="3"/>
    <s v="Middle"/>
    <s v="Normal"/>
    <s v="NO"/>
    <s v="Within Average"/>
    <x v="10"/>
  </r>
  <r>
    <x v="767"/>
    <n v="44"/>
    <x v="0"/>
    <x v="6"/>
    <x v="0"/>
    <d v="2024-02-24T00:00:00"/>
    <n v="12"/>
    <n v="1002.0675517241378"/>
    <x v="0"/>
    <s v="Middle"/>
    <s v="Normal"/>
    <s v="NO"/>
    <s v="Within Average"/>
    <x v="9"/>
  </r>
  <r>
    <x v="768"/>
    <n v="44"/>
    <x v="1"/>
    <x v="0"/>
    <x v="4"/>
    <d v="2024-12-22T00:00:00"/>
    <n v="12"/>
    <n v="1002.0675517241378"/>
    <x v="4"/>
    <s v="Middle"/>
    <s v="Normal"/>
    <s v="NO"/>
    <s v="Within Average"/>
    <x v="0"/>
  </r>
  <r>
    <x v="769"/>
    <n v="43"/>
    <x v="0"/>
    <x v="1"/>
    <x v="1"/>
    <s v="Unknown"/>
    <n v="3"/>
    <n v="1002.0675517241378"/>
    <x v="1"/>
    <s v="Middle"/>
    <s v="Normal"/>
    <s v="NO"/>
    <s v="Within Average"/>
    <x v="3"/>
  </r>
  <r>
    <x v="770"/>
    <n v="43"/>
    <x v="0"/>
    <x v="3"/>
    <x v="4"/>
    <d v="2024-12-01T00:00:00"/>
    <n v="12"/>
    <n v="541.27"/>
    <x v="0"/>
    <s v="Middle"/>
    <s v="Normal"/>
    <s v="NO"/>
    <s v="Within Average"/>
    <x v="0"/>
  </r>
  <r>
    <x v="771"/>
    <n v="43"/>
    <x v="2"/>
    <x v="7"/>
    <x v="1"/>
    <s v="Unknown"/>
    <n v="12"/>
    <n v="1358.4"/>
    <x v="3"/>
    <s v="Middle"/>
    <s v="High Cost"/>
    <s v="NO"/>
    <s v="Above Average"/>
    <x v="3"/>
  </r>
  <r>
    <x v="772"/>
    <n v="43"/>
    <x v="0"/>
    <x v="0"/>
    <x v="0"/>
    <d v="2024-02-07T00:00:00"/>
    <n v="12"/>
    <n v="680.16"/>
    <x v="4"/>
    <s v="Middle"/>
    <s v="Normal"/>
    <s v="NO"/>
    <s v="Within Average"/>
    <x v="9"/>
  </r>
  <r>
    <x v="773"/>
    <n v="43"/>
    <x v="0"/>
    <x v="0"/>
    <x v="4"/>
    <d v="2024-05-20T00:00:00"/>
    <n v="12"/>
    <n v="1795.37"/>
    <x v="3"/>
    <s v="Middle"/>
    <s v="High Cost"/>
    <s v="NO"/>
    <s v="Above Average"/>
    <x v="8"/>
  </r>
  <r>
    <x v="774"/>
    <n v="42"/>
    <x v="1"/>
    <x v="3"/>
    <x v="5"/>
    <d v="2024-02-14T00:00:00"/>
    <n v="12"/>
    <n v="1002.0675517241378"/>
    <x v="1"/>
    <s v="Middle"/>
    <s v="Normal"/>
    <s v="NO"/>
    <s v="Within Average"/>
    <x v="9"/>
  </r>
  <r>
    <x v="775"/>
    <n v="42"/>
    <x v="0"/>
    <x v="7"/>
    <x v="5"/>
    <d v="2024-03-14T00:00:00"/>
    <n v="9"/>
    <n v="1736.16"/>
    <x v="3"/>
    <s v="Middle"/>
    <s v="High Cost"/>
    <s v="NO"/>
    <s v="Above Average"/>
    <x v="4"/>
  </r>
  <r>
    <x v="776"/>
    <n v="42"/>
    <x v="2"/>
    <x v="0"/>
    <x v="0"/>
    <d v="2024-02-15T00:00:00"/>
    <n v="12"/>
    <n v="1002.0675517241378"/>
    <x v="0"/>
    <s v="Middle"/>
    <s v="Normal"/>
    <s v="NO"/>
    <s v="Within Average"/>
    <x v="9"/>
  </r>
  <r>
    <x v="777"/>
    <n v="41"/>
    <x v="0"/>
    <x v="0"/>
    <x v="1"/>
    <d v="2024-03-31T00:00:00"/>
    <n v="12"/>
    <n v="1002.0675517241378"/>
    <x v="4"/>
    <s v="Middle"/>
    <s v="Normal"/>
    <s v="NO"/>
    <s v="Within Average"/>
    <x v="4"/>
  </r>
  <r>
    <x v="778"/>
    <n v="41"/>
    <x v="1"/>
    <x v="7"/>
    <x v="2"/>
    <d v="2024-12-13T00:00:00"/>
    <n v="1"/>
    <n v="109.82"/>
    <x v="1"/>
    <s v="Middle"/>
    <s v="Normal"/>
    <s v="NO"/>
    <s v="Within Average"/>
    <x v="0"/>
  </r>
  <r>
    <x v="779"/>
    <n v="41"/>
    <x v="0"/>
    <x v="7"/>
    <x v="3"/>
    <d v="2024-10-07T00:00:00"/>
    <n v="12"/>
    <n v="1002.0675517241378"/>
    <x v="3"/>
    <s v="Middle"/>
    <s v="Normal"/>
    <s v="NO"/>
    <s v="Within Average"/>
    <x v="10"/>
  </r>
  <r>
    <x v="780"/>
    <n v="41"/>
    <x v="1"/>
    <x v="2"/>
    <x v="5"/>
    <s v="Unknown"/>
    <n v="12"/>
    <n v="1002.0675517241378"/>
    <x v="0"/>
    <s v="Middle"/>
    <s v="Normal"/>
    <s v="NO"/>
    <s v="Within Average"/>
    <x v="3"/>
  </r>
  <r>
    <x v="781"/>
    <n v="41"/>
    <x v="0"/>
    <x v="0"/>
    <x v="3"/>
    <s v="Unknown"/>
    <n v="2"/>
    <n v="1002.0675517241378"/>
    <x v="4"/>
    <s v="Middle"/>
    <s v="Normal"/>
    <s v="NO"/>
    <s v="Within Average"/>
    <x v="3"/>
  </r>
  <r>
    <x v="782"/>
    <n v="40"/>
    <x v="1"/>
    <x v="3"/>
    <x v="4"/>
    <d v="2024-06-01T00:00:00"/>
    <n v="12"/>
    <n v="1440.13"/>
    <x v="2"/>
    <s v="Middle"/>
    <s v="High Cost"/>
    <s v="NO"/>
    <s v="Above Average"/>
    <x v="2"/>
  </r>
  <r>
    <x v="783"/>
    <n v="40"/>
    <x v="2"/>
    <x v="5"/>
    <x v="2"/>
    <d v="2024-11-21T00:00:00"/>
    <n v="12"/>
    <n v="1002.0675517241378"/>
    <x v="0"/>
    <s v="Middle"/>
    <s v="Normal"/>
    <s v="NO"/>
    <s v="Within Average"/>
    <x v="1"/>
  </r>
  <r>
    <x v="784"/>
    <n v="40"/>
    <x v="2"/>
    <x v="7"/>
    <x v="0"/>
    <d v="2024-09-03T00:00:00"/>
    <n v="12"/>
    <n v="1002.0675517241378"/>
    <x v="1"/>
    <s v="Middle"/>
    <s v="Normal"/>
    <s v="NO"/>
    <s v="Within Average"/>
    <x v="12"/>
  </r>
  <r>
    <x v="785"/>
    <n v="40"/>
    <x v="0"/>
    <x v="2"/>
    <x v="4"/>
    <d v="2024-10-14T00:00:00"/>
    <n v="17"/>
    <n v="1002.0675517241378"/>
    <x v="4"/>
    <s v="Middle"/>
    <s v="Normal"/>
    <s v="NO"/>
    <s v="Within Average"/>
    <x v="10"/>
  </r>
  <r>
    <x v="786"/>
    <n v="40"/>
    <x v="0"/>
    <x v="7"/>
    <x v="2"/>
    <d v="2024-07-30T00:00:00"/>
    <n v="12"/>
    <n v="1002.0675517241378"/>
    <x v="3"/>
    <s v="Middle"/>
    <s v="Normal"/>
    <s v="NO"/>
    <s v="Within Average"/>
    <x v="6"/>
  </r>
  <r>
    <x v="787"/>
    <n v="40"/>
    <x v="1"/>
    <x v="7"/>
    <x v="4"/>
    <d v="2024-08-03T00:00:00"/>
    <n v="12"/>
    <n v="743.36"/>
    <x v="4"/>
    <s v="Middle"/>
    <s v="Normal"/>
    <s v="NO"/>
    <s v="Within Average"/>
    <x v="5"/>
  </r>
  <r>
    <x v="788"/>
    <n v="39"/>
    <x v="2"/>
    <x v="2"/>
    <x v="1"/>
    <d v="2024-08-11T00:00:00"/>
    <n v="12"/>
    <n v="1002.0675517241378"/>
    <x v="3"/>
    <s v="Young"/>
    <s v="Normal"/>
    <s v="NO"/>
    <s v="Within Average"/>
    <x v="5"/>
  </r>
  <r>
    <x v="789"/>
    <n v="39"/>
    <x v="0"/>
    <x v="2"/>
    <x v="4"/>
    <s v="Unknown"/>
    <n v="12"/>
    <n v="50.4"/>
    <x v="1"/>
    <s v="Young"/>
    <s v="Normal"/>
    <s v="NO"/>
    <s v="Within Average"/>
    <x v="3"/>
  </r>
  <r>
    <x v="790"/>
    <n v="38"/>
    <x v="1"/>
    <x v="0"/>
    <x v="1"/>
    <d v="2024-01-15T00:00:00"/>
    <n v="12"/>
    <n v="963.29"/>
    <x v="2"/>
    <s v="Young"/>
    <s v="Normal"/>
    <s v="NO"/>
    <s v="Within Average"/>
    <x v="7"/>
  </r>
  <r>
    <x v="791"/>
    <n v="38"/>
    <x v="2"/>
    <x v="1"/>
    <x v="3"/>
    <d v="2024-09-11T00:00:00"/>
    <n v="20"/>
    <n v="370.65"/>
    <x v="0"/>
    <s v="Young"/>
    <s v="Normal"/>
    <s v="NO"/>
    <s v="Within Average"/>
    <x v="12"/>
  </r>
  <r>
    <x v="792"/>
    <n v="37"/>
    <x v="0"/>
    <x v="0"/>
    <x v="1"/>
    <s v="Unknown"/>
    <n v="12"/>
    <n v="1002.0675517241378"/>
    <x v="1"/>
    <s v="Young"/>
    <s v="Normal"/>
    <s v="NO"/>
    <s v="Within Average"/>
    <x v="3"/>
  </r>
  <r>
    <x v="793"/>
    <n v="37"/>
    <x v="0"/>
    <x v="7"/>
    <x v="5"/>
    <d v="2024-08-29T00:00:00"/>
    <n v="12"/>
    <n v="1002.0675517241378"/>
    <x v="1"/>
    <s v="Young"/>
    <s v="Normal"/>
    <s v="NO"/>
    <s v="Within Average"/>
    <x v="5"/>
  </r>
  <r>
    <x v="794"/>
    <n v="37"/>
    <x v="0"/>
    <x v="4"/>
    <x v="4"/>
    <d v="2024-07-28T00:00:00"/>
    <n v="15"/>
    <n v="1532.56"/>
    <x v="3"/>
    <s v="Young"/>
    <s v="High Cost"/>
    <s v="NO"/>
    <s v="Above Average"/>
    <x v="6"/>
  </r>
  <r>
    <x v="795"/>
    <n v="36"/>
    <x v="2"/>
    <x v="2"/>
    <x v="1"/>
    <d v="2024-05-01T00:00:00"/>
    <n v="12"/>
    <n v="1002.0675517241378"/>
    <x v="0"/>
    <s v="Young"/>
    <s v="Normal"/>
    <s v="NO"/>
    <s v="Within Average"/>
    <x v="8"/>
  </r>
  <r>
    <x v="796"/>
    <n v="36"/>
    <x v="0"/>
    <x v="5"/>
    <x v="2"/>
    <d v="2024-08-03T00:00:00"/>
    <n v="12"/>
    <n v="776.02"/>
    <x v="0"/>
    <s v="Young"/>
    <s v="Normal"/>
    <s v="NO"/>
    <s v="Within Average"/>
    <x v="5"/>
  </r>
  <r>
    <x v="797"/>
    <n v="36"/>
    <x v="1"/>
    <x v="0"/>
    <x v="2"/>
    <d v="2024-10-17T00:00:00"/>
    <n v="12"/>
    <n v="1002.0675517241378"/>
    <x v="3"/>
    <s v="Young"/>
    <s v="Normal"/>
    <s v="NO"/>
    <s v="Within Average"/>
    <x v="10"/>
  </r>
  <r>
    <x v="798"/>
    <n v="36"/>
    <x v="0"/>
    <x v="5"/>
    <x v="4"/>
    <d v="2024-11-26T00:00:00"/>
    <n v="5"/>
    <n v="1002.0675517241378"/>
    <x v="0"/>
    <s v="Young"/>
    <s v="Normal"/>
    <s v="NO"/>
    <s v="Within Average"/>
    <x v="1"/>
  </r>
  <r>
    <x v="799"/>
    <n v="35"/>
    <x v="2"/>
    <x v="6"/>
    <x v="3"/>
    <d v="2024-04-17T00:00:00"/>
    <n v="12"/>
    <n v="1680.71"/>
    <x v="0"/>
    <s v="Young"/>
    <s v="High Cost"/>
    <s v="NO"/>
    <s v="Above Average"/>
    <x v="11"/>
  </r>
  <r>
    <x v="800"/>
    <n v="35"/>
    <x v="0"/>
    <x v="2"/>
    <x v="3"/>
    <s v="Unknown"/>
    <n v="12"/>
    <n v="1002.0675517241378"/>
    <x v="3"/>
    <s v="Young"/>
    <s v="Normal"/>
    <s v="NO"/>
    <s v="Within Average"/>
    <x v="3"/>
  </r>
  <r>
    <x v="801"/>
    <n v="35"/>
    <x v="2"/>
    <x v="3"/>
    <x v="5"/>
    <d v="2024-02-12T00:00:00"/>
    <n v="12"/>
    <n v="1002.0675517241378"/>
    <x v="1"/>
    <s v="Young"/>
    <s v="Normal"/>
    <s v="NO"/>
    <s v="Within Average"/>
    <x v="9"/>
  </r>
  <r>
    <x v="802"/>
    <n v="35"/>
    <x v="2"/>
    <x v="6"/>
    <x v="4"/>
    <d v="2024-08-19T00:00:00"/>
    <n v="12"/>
    <n v="1110.45"/>
    <x v="1"/>
    <s v="Young"/>
    <s v="Normal"/>
    <s v="NO"/>
    <s v="Above Average"/>
    <x v="5"/>
  </r>
  <r>
    <x v="803"/>
    <n v="35"/>
    <x v="2"/>
    <x v="3"/>
    <x v="3"/>
    <d v="2024-07-16T00:00:00"/>
    <n v="12"/>
    <n v="1994.79"/>
    <x v="1"/>
    <s v="Young"/>
    <s v="High Cost"/>
    <s v="NO"/>
    <s v="Above Average"/>
    <x v="6"/>
  </r>
  <r>
    <x v="804"/>
    <n v="35"/>
    <x v="2"/>
    <x v="4"/>
    <x v="4"/>
    <d v="2024-10-02T00:00:00"/>
    <n v="12"/>
    <n v="587.80999999999995"/>
    <x v="2"/>
    <s v="Young"/>
    <s v="Normal"/>
    <s v="NO"/>
    <s v="Within Average"/>
    <x v="10"/>
  </r>
  <r>
    <x v="805"/>
    <n v="35"/>
    <x v="2"/>
    <x v="7"/>
    <x v="4"/>
    <s v="Unknown"/>
    <n v="12"/>
    <n v="804.03"/>
    <x v="3"/>
    <s v="Young"/>
    <s v="Normal"/>
    <s v="NO"/>
    <s v="Within Average"/>
    <x v="3"/>
  </r>
  <r>
    <x v="806"/>
    <n v="35"/>
    <x v="2"/>
    <x v="0"/>
    <x v="5"/>
    <d v="2024-08-29T00:00:00"/>
    <n v="12"/>
    <n v="1002.0675517241378"/>
    <x v="1"/>
    <s v="Young"/>
    <s v="Normal"/>
    <s v="NO"/>
    <s v="Within Average"/>
    <x v="5"/>
  </r>
  <r>
    <x v="807"/>
    <n v="34"/>
    <x v="0"/>
    <x v="7"/>
    <x v="4"/>
    <s v="Unknown"/>
    <n v="3"/>
    <n v="1002.0675517241378"/>
    <x v="2"/>
    <s v="Young"/>
    <s v="Normal"/>
    <s v="NO"/>
    <s v="Within Average"/>
    <x v="3"/>
  </r>
  <r>
    <x v="808"/>
    <n v="34"/>
    <x v="2"/>
    <x v="0"/>
    <x v="2"/>
    <d v="2024-10-18T00:00:00"/>
    <n v="12"/>
    <n v="539.9"/>
    <x v="2"/>
    <s v="Young"/>
    <s v="Normal"/>
    <s v="NO"/>
    <s v="Within Average"/>
    <x v="10"/>
  </r>
  <r>
    <x v="809"/>
    <n v="34"/>
    <x v="2"/>
    <x v="4"/>
    <x v="3"/>
    <s v="Unknown"/>
    <n v="12"/>
    <n v="1002.0675517241378"/>
    <x v="4"/>
    <s v="Young"/>
    <s v="Normal"/>
    <s v="NO"/>
    <s v="Within Average"/>
    <x v="3"/>
  </r>
  <r>
    <x v="810"/>
    <n v="34"/>
    <x v="1"/>
    <x v="5"/>
    <x v="2"/>
    <s v="Unknown"/>
    <n v="12"/>
    <n v="1002.0675517241378"/>
    <x v="2"/>
    <s v="Young"/>
    <s v="Normal"/>
    <s v="NO"/>
    <s v="Within Average"/>
    <x v="3"/>
  </r>
  <r>
    <x v="811"/>
    <n v="34"/>
    <x v="1"/>
    <x v="0"/>
    <x v="4"/>
    <d v="2024-11-05T00:00:00"/>
    <n v="12"/>
    <n v="1210.3900000000001"/>
    <x v="0"/>
    <s v="Young"/>
    <s v="High Cost"/>
    <s v="NO"/>
    <s v="Above Average"/>
    <x v="1"/>
  </r>
  <r>
    <x v="812"/>
    <n v="34"/>
    <x v="1"/>
    <x v="2"/>
    <x v="4"/>
    <d v="2024-04-15T00:00:00"/>
    <n v="12"/>
    <n v="1269.24"/>
    <x v="2"/>
    <s v="Young"/>
    <s v="High Cost"/>
    <s v="NO"/>
    <s v="Above Average"/>
    <x v="11"/>
  </r>
  <r>
    <x v="813"/>
    <n v="34"/>
    <x v="2"/>
    <x v="3"/>
    <x v="1"/>
    <d v="2024-10-18T00:00:00"/>
    <n v="11"/>
    <n v="1553.86"/>
    <x v="2"/>
    <s v="Young"/>
    <s v="High Cost"/>
    <s v="NO"/>
    <s v="Above Average"/>
    <x v="10"/>
  </r>
  <r>
    <x v="814"/>
    <n v="33"/>
    <x v="2"/>
    <x v="4"/>
    <x v="3"/>
    <d v="2024-02-20T00:00:00"/>
    <n v="12"/>
    <n v="1002.0675517241378"/>
    <x v="1"/>
    <s v="Young"/>
    <s v="Normal"/>
    <s v="NO"/>
    <s v="Within Average"/>
    <x v="9"/>
  </r>
  <r>
    <x v="815"/>
    <n v="33"/>
    <x v="0"/>
    <x v="6"/>
    <x v="2"/>
    <d v="2024-08-21T00:00:00"/>
    <n v="12"/>
    <n v="1075.08"/>
    <x v="0"/>
    <s v="Young"/>
    <s v="Normal"/>
    <s v="NO"/>
    <s v="Above Average"/>
    <x v="5"/>
  </r>
  <r>
    <x v="816"/>
    <n v="33"/>
    <x v="0"/>
    <x v="1"/>
    <x v="4"/>
    <d v="2024-03-12T00:00:00"/>
    <n v="12"/>
    <n v="1002.0675517241378"/>
    <x v="4"/>
    <s v="Young"/>
    <s v="Normal"/>
    <s v="NO"/>
    <s v="Within Average"/>
    <x v="4"/>
  </r>
  <r>
    <x v="817"/>
    <n v="33"/>
    <x v="0"/>
    <x v="0"/>
    <x v="0"/>
    <d v="2024-12-08T00:00:00"/>
    <n v="12"/>
    <n v="1002.0675517241378"/>
    <x v="3"/>
    <s v="Young"/>
    <s v="Normal"/>
    <s v="NO"/>
    <s v="Within Average"/>
    <x v="0"/>
  </r>
  <r>
    <x v="818"/>
    <n v="33"/>
    <x v="2"/>
    <x v="1"/>
    <x v="1"/>
    <d v="2024-09-27T00:00:00"/>
    <n v="12"/>
    <n v="803.89"/>
    <x v="3"/>
    <s v="Young"/>
    <s v="Normal"/>
    <s v="NO"/>
    <s v="Within Average"/>
    <x v="12"/>
  </r>
  <r>
    <x v="819"/>
    <n v="33"/>
    <x v="0"/>
    <x v="7"/>
    <x v="1"/>
    <d v="2024-03-30T00:00:00"/>
    <n v="12"/>
    <n v="926.76"/>
    <x v="2"/>
    <s v="Young"/>
    <s v="Normal"/>
    <s v="NO"/>
    <s v="Within Average"/>
    <x v="4"/>
  </r>
  <r>
    <x v="820"/>
    <n v="32"/>
    <x v="2"/>
    <x v="6"/>
    <x v="4"/>
    <d v="2024-01-18T00:00:00"/>
    <n v="12"/>
    <n v="1002.0675517241378"/>
    <x v="2"/>
    <s v="Young"/>
    <s v="Normal"/>
    <s v="NO"/>
    <s v="Within Average"/>
    <x v="7"/>
  </r>
  <r>
    <x v="821"/>
    <n v="32"/>
    <x v="2"/>
    <x v="3"/>
    <x v="3"/>
    <d v="2024-01-29T00:00:00"/>
    <n v="10"/>
    <n v="1002.0675517241378"/>
    <x v="4"/>
    <s v="Young"/>
    <s v="Normal"/>
    <s v="NO"/>
    <s v="Within Average"/>
    <x v="7"/>
  </r>
  <r>
    <x v="822"/>
    <n v="31"/>
    <x v="1"/>
    <x v="7"/>
    <x v="1"/>
    <d v="2024-06-09T00:00:00"/>
    <n v="12"/>
    <n v="466.03"/>
    <x v="0"/>
    <s v="Young"/>
    <s v="Normal"/>
    <s v="NO"/>
    <s v="Within Average"/>
    <x v="2"/>
  </r>
  <r>
    <x v="823"/>
    <n v="31"/>
    <x v="2"/>
    <x v="5"/>
    <x v="3"/>
    <d v="2024-06-26T00:00:00"/>
    <n v="12"/>
    <n v="1002.0675517241378"/>
    <x v="0"/>
    <s v="Young"/>
    <s v="Normal"/>
    <s v="NO"/>
    <s v="Within Average"/>
    <x v="2"/>
  </r>
  <r>
    <x v="824"/>
    <n v="31"/>
    <x v="2"/>
    <x v="0"/>
    <x v="2"/>
    <d v="2024-03-07T00:00:00"/>
    <n v="12"/>
    <n v="1002.0675517241378"/>
    <x v="0"/>
    <s v="Young"/>
    <s v="Normal"/>
    <s v="NO"/>
    <s v="Within Average"/>
    <x v="4"/>
  </r>
  <r>
    <x v="825"/>
    <n v="31"/>
    <x v="2"/>
    <x v="0"/>
    <x v="2"/>
    <d v="2024-08-04T00:00:00"/>
    <n v="12"/>
    <n v="1002.0675517241378"/>
    <x v="2"/>
    <s v="Young"/>
    <s v="Normal"/>
    <s v="NO"/>
    <s v="Within Average"/>
    <x v="5"/>
  </r>
  <r>
    <x v="826"/>
    <n v="30"/>
    <x v="2"/>
    <x v="6"/>
    <x v="3"/>
    <s v="Unknown"/>
    <n v="12"/>
    <n v="1002.0675517241378"/>
    <x v="4"/>
    <s v="Young"/>
    <s v="Normal"/>
    <s v="NO"/>
    <s v="Within Average"/>
    <x v="3"/>
  </r>
  <r>
    <x v="827"/>
    <n v="29"/>
    <x v="2"/>
    <x v="6"/>
    <x v="0"/>
    <d v="2024-10-18T00:00:00"/>
    <n v="10"/>
    <n v="1002.0675517241378"/>
    <x v="1"/>
    <s v="Young"/>
    <s v="Normal"/>
    <s v="NO"/>
    <s v="Within Average"/>
    <x v="10"/>
  </r>
  <r>
    <x v="828"/>
    <n v="29"/>
    <x v="2"/>
    <x v="6"/>
    <x v="0"/>
    <s v="Unknown"/>
    <n v="12"/>
    <n v="1002.0675517241378"/>
    <x v="2"/>
    <s v="Young"/>
    <s v="Normal"/>
    <s v="NO"/>
    <s v="Within Average"/>
    <x v="3"/>
  </r>
  <r>
    <x v="829"/>
    <n v="29"/>
    <x v="1"/>
    <x v="6"/>
    <x v="1"/>
    <d v="2024-01-09T00:00:00"/>
    <n v="12"/>
    <n v="1002.0675517241378"/>
    <x v="4"/>
    <s v="Young"/>
    <s v="Normal"/>
    <s v="NO"/>
    <s v="Within Average"/>
    <x v="7"/>
  </r>
  <r>
    <x v="830"/>
    <n v="29"/>
    <x v="0"/>
    <x v="5"/>
    <x v="3"/>
    <d v="2024-01-06T00:00:00"/>
    <n v="15"/>
    <n v="1002.0675517241378"/>
    <x v="0"/>
    <s v="Young"/>
    <s v="Normal"/>
    <s v="NO"/>
    <s v="Within Average"/>
    <x v="7"/>
  </r>
  <r>
    <x v="831"/>
    <n v="29"/>
    <x v="2"/>
    <x v="3"/>
    <x v="2"/>
    <d v="2024-10-07T00:00:00"/>
    <n v="12"/>
    <n v="1002.0675517241378"/>
    <x v="1"/>
    <s v="Young"/>
    <s v="Normal"/>
    <s v="NO"/>
    <s v="Within Average"/>
    <x v="10"/>
  </r>
  <r>
    <x v="832"/>
    <n v="28"/>
    <x v="1"/>
    <x v="4"/>
    <x v="2"/>
    <d v="2024-08-30T00:00:00"/>
    <n v="12"/>
    <n v="1002.0675517241378"/>
    <x v="2"/>
    <s v="Young"/>
    <s v="Normal"/>
    <s v="NO"/>
    <s v="Within Average"/>
    <x v="5"/>
  </r>
  <r>
    <x v="833"/>
    <n v="28"/>
    <x v="0"/>
    <x v="1"/>
    <x v="4"/>
    <d v="2024-02-04T00:00:00"/>
    <n v="5"/>
    <n v="1002.0675517241378"/>
    <x v="1"/>
    <s v="Young"/>
    <s v="Normal"/>
    <s v="NO"/>
    <s v="Within Average"/>
    <x v="9"/>
  </r>
  <r>
    <x v="834"/>
    <n v="28"/>
    <x v="0"/>
    <x v="2"/>
    <x v="3"/>
    <d v="2024-02-28T00:00:00"/>
    <n v="12"/>
    <n v="1002.0675517241378"/>
    <x v="3"/>
    <s v="Young"/>
    <s v="Normal"/>
    <s v="NO"/>
    <s v="Within Average"/>
    <x v="9"/>
  </r>
  <r>
    <x v="835"/>
    <n v="28"/>
    <x v="2"/>
    <x v="7"/>
    <x v="4"/>
    <d v="2024-06-06T00:00:00"/>
    <n v="12"/>
    <n v="188.27"/>
    <x v="4"/>
    <s v="Young"/>
    <s v="Normal"/>
    <s v="NO"/>
    <s v="Within Average"/>
    <x v="2"/>
  </r>
  <r>
    <x v="836"/>
    <n v="28"/>
    <x v="2"/>
    <x v="0"/>
    <x v="4"/>
    <d v="2024-06-30T00:00:00"/>
    <n v="18"/>
    <n v="1002.0675517241378"/>
    <x v="1"/>
    <s v="Young"/>
    <s v="Normal"/>
    <s v="NO"/>
    <s v="Within Average"/>
    <x v="2"/>
  </r>
  <r>
    <x v="837"/>
    <n v="27"/>
    <x v="1"/>
    <x v="0"/>
    <x v="2"/>
    <s v="Unknown"/>
    <n v="12"/>
    <n v="1002.0675517241378"/>
    <x v="0"/>
    <s v="Young"/>
    <s v="Normal"/>
    <s v="NO"/>
    <s v="Within Average"/>
    <x v="3"/>
  </r>
  <r>
    <x v="838"/>
    <n v="27"/>
    <x v="0"/>
    <x v="0"/>
    <x v="0"/>
    <d v="2024-11-16T00:00:00"/>
    <n v="12"/>
    <n v="1002.0675517241378"/>
    <x v="3"/>
    <s v="Young"/>
    <s v="Normal"/>
    <s v="NO"/>
    <s v="Within Average"/>
    <x v="1"/>
  </r>
  <r>
    <x v="839"/>
    <n v="27"/>
    <x v="2"/>
    <x v="3"/>
    <x v="0"/>
    <d v="2024-07-30T00:00:00"/>
    <n v="12"/>
    <n v="430.37"/>
    <x v="4"/>
    <s v="Young"/>
    <s v="Normal"/>
    <s v="NO"/>
    <s v="Within Average"/>
    <x v="6"/>
  </r>
  <r>
    <x v="840"/>
    <n v="27"/>
    <x v="2"/>
    <x v="3"/>
    <x v="4"/>
    <d v="2024-02-22T00:00:00"/>
    <n v="12"/>
    <n v="1201.01"/>
    <x v="3"/>
    <s v="Young"/>
    <s v="High Cost"/>
    <s v="NO"/>
    <s v="Above Average"/>
    <x v="9"/>
  </r>
  <r>
    <x v="841"/>
    <n v="26"/>
    <x v="1"/>
    <x v="0"/>
    <x v="2"/>
    <d v="2024-02-01T00:00:00"/>
    <n v="12"/>
    <n v="1002.0675517241378"/>
    <x v="3"/>
    <s v="Young"/>
    <s v="Normal"/>
    <s v="NO"/>
    <s v="Within Average"/>
    <x v="9"/>
  </r>
  <r>
    <x v="842"/>
    <n v="26"/>
    <x v="0"/>
    <x v="6"/>
    <x v="3"/>
    <d v="2024-06-28T00:00:00"/>
    <n v="9"/>
    <n v="1245.69"/>
    <x v="3"/>
    <s v="Young"/>
    <s v="High Cost"/>
    <s v="NO"/>
    <s v="Above Average"/>
    <x v="2"/>
  </r>
  <r>
    <x v="843"/>
    <n v="26"/>
    <x v="0"/>
    <x v="3"/>
    <x v="3"/>
    <d v="2024-05-03T00:00:00"/>
    <n v="12"/>
    <n v="1002.0675517241378"/>
    <x v="3"/>
    <s v="Young"/>
    <s v="Normal"/>
    <s v="NO"/>
    <s v="Within Average"/>
    <x v="8"/>
  </r>
  <r>
    <x v="844"/>
    <n v="26"/>
    <x v="0"/>
    <x v="0"/>
    <x v="3"/>
    <d v="2024-09-15T00:00:00"/>
    <n v="12"/>
    <n v="1002.0675517241378"/>
    <x v="3"/>
    <s v="Young"/>
    <s v="Normal"/>
    <s v="NO"/>
    <s v="Within Average"/>
    <x v="12"/>
  </r>
  <r>
    <x v="845"/>
    <n v="25"/>
    <x v="1"/>
    <x v="0"/>
    <x v="3"/>
    <d v="2024-11-25T00:00:00"/>
    <n v="12"/>
    <n v="1002.0675517241378"/>
    <x v="4"/>
    <s v="Young"/>
    <s v="Normal"/>
    <s v="NO"/>
    <s v="Within Average"/>
    <x v="1"/>
  </r>
  <r>
    <x v="846"/>
    <n v="25"/>
    <x v="2"/>
    <x v="6"/>
    <x v="3"/>
    <d v="2024-01-09T00:00:00"/>
    <n v="11"/>
    <n v="880.14"/>
    <x v="3"/>
    <s v="Young"/>
    <s v="Normal"/>
    <s v="NO"/>
    <s v="Within Average"/>
    <x v="7"/>
  </r>
  <r>
    <x v="847"/>
    <n v="25"/>
    <x v="1"/>
    <x v="0"/>
    <x v="5"/>
    <d v="2024-04-29T00:00:00"/>
    <n v="12"/>
    <n v="1002.0675517241378"/>
    <x v="0"/>
    <s v="Young"/>
    <s v="Normal"/>
    <s v="NO"/>
    <s v="Within Average"/>
    <x v="11"/>
  </r>
  <r>
    <x v="848"/>
    <n v="24"/>
    <x v="2"/>
    <x v="2"/>
    <x v="3"/>
    <d v="2024-07-23T00:00:00"/>
    <n v="12"/>
    <n v="1002.0675517241378"/>
    <x v="0"/>
    <s v="Young"/>
    <s v="Normal"/>
    <s v="NO"/>
    <s v="Within Average"/>
    <x v="6"/>
  </r>
  <r>
    <x v="849"/>
    <n v="24"/>
    <x v="0"/>
    <x v="2"/>
    <x v="4"/>
    <d v="2024-11-22T00:00:00"/>
    <n v="12"/>
    <n v="1651.85"/>
    <x v="0"/>
    <s v="Young"/>
    <s v="High Cost"/>
    <s v="NO"/>
    <s v="Above Average"/>
    <x v="1"/>
  </r>
  <r>
    <x v="850"/>
    <n v="23"/>
    <x v="0"/>
    <x v="0"/>
    <x v="1"/>
    <d v="2024-10-04T00:00:00"/>
    <n v="3"/>
    <n v="1002.0675517241378"/>
    <x v="4"/>
    <s v="Young"/>
    <s v="Normal"/>
    <s v="NO"/>
    <s v="Within Average"/>
    <x v="10"/>
  </r>
  <r>
    <x v="851"/>
    <n v="23"/>
    <x v="0"/>
    <x v="2"/>
    <x v="1"/>
    <d v="2024-05-13T00:00:00"/>
    <n v="12"/>
    <n v="1002.0675517241378"/>
    <x v="0"/>
    <s v="Young"/>
    <s v="Normal"/>
    <s v="NO"/>
    <s v="Within Average"/>
    <x v="8"/>
  </r>
  <r>
    <x v="852"/>
    <n v="22"/>
    <x v="0"/>
    <x v="4"/>
    <x v="1"/>
    <d v="2024-02-03T00:00:00"/>
    <n v="18"/>
    <n v="1002.0675517241378"/>
    <x v="0"/>
    <s v="Young"/>
    <s v="Normal"/>
    <s v="NO"/>
    <s v="Within Average"/>
    <x v="9"/>
  </r>
  <r>
    <x v="853"/>
    <n v="22"/>
    <x v="0"/>
    <x v="1"/>
    <x v="2"/>
    <d v="2024-05-11T00:00:00"/>
    <n v="12"/>
    <n v="1002.0675517241378"/>
    <x v="2"/>
    <s v="Young"/>
    <s v="Normal"/>
    <s v="NO"/>
    <s v="Within Average"/>
    <x v="8"/>
  </r>
  <r>
    <x v="854"/>
    <n v="22"/>
    <x v="2"/>
    <x v="5"/>
    <x v="3"/>
    <d v="2024-09-18T00:00:00"/>
    <n v="12"/>
    <n v="1002.0675517241378"/>
    <x v="4"/>
    <s v="Young"/>
    <s v="Normal"/>
    <s v="NO"/>
    <s v="Within Average"/>
    <x v="12"/>
  </r>
  <r>
    <x v="855"/>
    <n v="22"/>
    <x v="0"/>
    <x v="7"/>
    <x v="0"/>
    <s v="Unknown"/>
    <n v="12"/>
    <n v="1002.0675517241378"/>
    <x v="0"/>
    <s v="Young"/>
    <s v="Normal"/>
    <s v="NO"/>
    <s v="Within Average"/>
    <x v="3"/>
  </r>
  <r>
    <x v="856"/>
    <n v="22"/>
    <x v="2"/>
    <x v="0"/>
    <x v="5"/>
    <d v="2024-12-11T00:00:00"/>
    <n v="4"/>
    <n v="1002.0675517241378"/>
    <x v="0"/>
    <s v="Young"/>
    <s v="Normal"/>
    <s v="NO"/>
    <s v="Within Average"/>
    <x v="0"/>
  </r>
  <r>
    <x v="857"/>
    <n v="21"/>
    <x v="0"/>
    <x v="0"/>
    <x v="0"/>
    <s v="Unknown"/>
    <n v="12"/>
    <n v="1121.5"/>
    <x v="3"/>
    <s v="Young"/>
    <s v="Normal"/>
    <s v="NO"/>
    <s v="Above Average"/>
    <x v="3"/>
  </r>
  <r>
    <x v="858"/>
    <n v="21"/>
    <x v="0"/>
    <x v="5"/>
    <x v="3"/>
    <d v="2024-05-02T00:00:00"/>
    <n v="8"/>
    <n v="335.92"/>
    <x v="1"/>
    <s v="Young"/>
    <s v="Normal"/>
    <s v="NO"/>
    <s v="Within Average"/>
    <x v="8"/>
  </r>
  <r>
    <x v="859"/>
    <n v="20"/>
    <x v="1"/>
    <x v="0"/>
    <x v="4"/>
    <d v="2024-11-02T00:00:00"/>
    <n v="12"/>
    <n v="1002.0675517241378"/>
    <x v="0"/>
    <s v="Young"/>
    <s v="Normal"/>
    <s v="NO"/>
    <s v="Within Average"/>
    <x v="1"/>
  </r>
  <r>
    <x v="860"/>
    <n v="19"/>
    <x v="0"/>
    <x v="7"/>
    <x v="3"/>
    <d v="2024-01-10T00:00:00"/>
    <n v="12"/>
    <n v="1002.0675517241378"/>
    <x v="3"/>
    <s v="Young"/>
    <s v="Normal"/>
    <s v="NO"/>
    <s v="Within Average"/>
    <x v="7"/>
  </r>
  <r>
    <x v="861"/>
    <n v="19"/>
    <x v="2"/>
    <x v="6"/>
    <x v="3"/>
    <d v="2024-09-14T00:00:00"/>
    <n v="12"/>
    <n v="1618.24"/>
    <x v="1"/>
    <s v="Young"/>
    <s v="High Cost"/>
    <s v="NO"/>
    <s v="Above Average"/>
    <x v="12"/>
  </r>
  <r>
    <x v="862"/>
    <n v="18"/>
    <x v="2"/>
    <x v="1"/>
    <x v="5"/>
    <s v="Unknown"/>
    <n v="12"/>
    <n v="1002.0675517241378"/>
    <x v="2"/>
    <s v="Young"/>
    <s v="Normal"/>
    <s v="NO"/>
    <s v="Within Average"/>
    <x v="3"/>
  </r>
  <r>
    <x v="863"/>
    <n v="18"/>
    <x v="0"/>
    <x v="1"/>
    <x v="4"/>
    <d v="2024-12-20T00:00:00"/>
    <n v="15"/>
    <n v="1346.38"/>
    <x v="3"/>
    <s v="Young"/>
    <s v="High Cost"/>
    <s v="NO"/>
    <s v="Above Averag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71A53-4AE8-49C8-A08A-50E4B0E3C5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Hospital">
  <location ref="A2:B9" firstHeaderRow="1" firstDataRow="1" firstDataCol="1"/>
  <pivotFields count="14">
    <pivotField dataField="1" showAll="0"/>
    <pivotField numFmtId="1" showAll="0"/>
    <pivotField showAll="0">
      <items count="4">
        <item x="0"/>
        <item x="2"/>
        <item x="1"/>
        <item t="default"/>
      </items>
    </pivotField>
    <pivotField showAll="0"/>
    <pivotField axis="axisRow" showAll="0" sortType="descending">
      <items count="7">
        <item x="5"/>
        <item x="3"/>
        <item x="0"/>
        <item x="2"/>
        <item x="4"/>
        <item x="1"/>
        <item t="default"/>
      </items>
    </pivotField>
    <pivotField showAll="0"/>
    <pivotField showAll="0"/>
    <pivotField numFmtId="164"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Patien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7220A-0CF2-4AF9-B4A6-F7B9732690F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dition">
  <location ref="G13:M23" firstHeaderRow="1" firstDataRow="2" firstDataCol="1"/>
  <pivotFields count="14">
    <pivotField dataField="1" showAll="0"/>
    <pivotField numFmtId="1" showAll="0"/>
    <pivotField showAll="0">
      <items count="4">
        <item x="0"/>
        <item x="2"/>
        <item x="1"/>
        <item t="default"/>
      </items>
    </pivotField>
    <pivotField axis="axisRow" showAll="0">
      <items count="9">
        <item x="4"/>
        <item x="3"/>
        <item x="0"/>
        <item x="5"/>
        <item x="6"/>
        <item x="1"/>
        <item x="2"/>
        <item x="7"/>
        <item t="default"/>
      </items>
    </pivotField>
    <pivotField showAll="0">
      <items count="7">
        <item x="1"/>
        <item x="4"/>
        <item x="2"/>
        <item x="0"/>
        <item x="3"/>
        <item x="5"/>
        <item t="default"/>
      </items>
    </pivotField>
    <pivotField showAll="0"/>
    <pivotField showAll="0"/>
    <pivotField numFmtId="164" showAll="0"/>
    <pivotField axis="axisCol" showAll="0">
      <items count="6">
        <item x="4"/>
        <item x="3"/>
        <item x="1"/>
        <item x="0"/>
        <item x="2"/>
        <item t="default"/>
      </items>
    </pivotField>
    <pivotField showAll="0"/>
    <pivotField showAll="0"/>
    <pivotField showAll="0"/>
    <pivotField showAll="0"/>
    <pivotField showAll="0"/>
  </pivotFields>
  <rowFields count="1">
    <field x="3"/>
  </rowFields>
  <rowItems count="9">
    <i>
      <x/>
    </i>
    <i>
      <x v="1"/>
    </i>
    <i>
      <x v="2"/>
    </i>
    <i>
      <x v="3"/>
    </i>
    <i>
      <x v="4"/>
    </i>
    <i>
      <x v="5"/>
    </i>
    <i>
      <x v="6"/>
    </i>
    <i>
      <x v="7"/>
    </i>
    <i t="grand">
      <x/>
    </i>
  </rowItems>
  <colFields count="1">
    <field x="8"/>
  </colFields>
  <colItems count="6">
    <i>
      <x/>
    </i>
    <i>
      <x v="1"/>
    </i>
    <i>
      <x v="2"/>
    </i>
    <i>
      <x v="3"/>
    </i>
    <i>
      <x v="4"/>
    </i>
    <i t="grand">
      <x/>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CCA21-DFC7-42C0-A73D-E338ADF7BD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spital">
  <location ref="G2:K10" firstHeaderRow="1" firstDataRow="2" firstDataCol="1"/>
  <pivotFields count="14">
    <pivotField dataField="1" showAll="0"/>
    <pivotField numFmtId="1" showAll="0"/>
    <pivotField axis="axisCol" showAll="0">
      <items count="4">
        <item x="0"/>
        <item x="2"/>
        <item x="1"/>
        <item t="default"/>
      </items>
    </pivotField>
    <pivotField showAll="0"/>
    <pivotField axis="axisRow" showAll="0">
      <items count="7">
        <item sd="0" x="1"/>
        <item sd="0" x="4"/>
        <item sd="0" x="2"/>
        <item sd="0" x="0"/>
        <item sd="0" x="3"/>
        <item sd="0" x="5"/>
        <item t="default"/>
      </items>
    </pivotField>
    <pivotField showAll="0"/>
    <pivotField showAll="0"/>
    <pivotField numFmtId="164"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2"/>
  </colFields>
  <colItems count="4">
    <i>
      <x/>
    </i>
    <i>
      <x v="1"/>
    </i>
    <i>
      <x v="2"/>
    </i>
    <i t="grand">
      <x/>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C8DF12-B6C3-4C0F-8B95-9A5048D0679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ospital">
  <location ref="D13:E27" firstHeaderRow="1" firstDataRow="1" firstDataCol="1"/>
  <pivotFields count="14">
    <pivotField dataField="1" showAll="0"/>
    <pivotField numFmtId="1" showAll="0"/>
    <pivotField showAll="0">
      <items count="4">
        <item x="0"/>
        <item x="2"/>
        <item x="1"/>
        <item t="default"/>
      </items>
    </pivotField>
    <pivotField showAll="0">
      <items count="9">
        <item x="4"/>
        <item x="3"/>
        <item x="0"/>
        <item x="5"/>
        <item x="6"/>
        <item x="1"/>
        <item x="2"/>
        <item x="7"/>
        <item t="default"/>
      </items>
    </pivotField>
    <pivotField showAll="0">
      <items count="7">
        <item x="1"/>
        <item x="4"/>
        <item x="2"/>
        <item x="0"/>
        <item x="3"/>
        <item x="5"/>
        <item t="default"/>
      </items>
    </pivotField>
    <pivotField showAll="0"/>
    <pivotField showAll="0"/>
    <pivotField numFmtId="164" showAll="0"/>
    <pivotField showAll="0"/>
    <pivotField showAll="0"/>
    <pivotField showAll="0"/>
    <pivotField showAll="0"/>
    <pivotField showAll="0"/>
    <pivotField axis="axisRow" showAll="0">
      <items count="14">
        <item x="11"/>
        <item x="5"/>
        <item x="0"/>
        <item x="9"/>
        <item x="7"/>
        <item x="6"/>
        <item x="2"/>
        <item x="4"/>
        <item x="8"/>
        <item x="1"/>
        <item x="10"/>
        <item x="12"/>
        <item x="3"/>
        <item t="default"/>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Count of Patien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5C271D-79E4-45B4-A09E-D65C6BD1CB02}"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ondition">
  <location ref="D2:E8" firstHeaderRow="1" firstDataRow="1" firstDataCol="1"/>
  <pivotFields count="14">
    <pivotField axis="axisRow" showAll="0" measureFilter="1">
      <items count="865">
        <item x="154"/>
        <item x="203"/>
        <item x="547"/>
        <item x="404"/>
        <item x="292"/>
        <item x="228"/>
        <item x="349"/>
        <item x="104"/>
        <item x="341"/>
        <item x="830"/>
        <item x="696"/>
        <item x="170"/>
        <item x="67"/>
        <item x="692"/>
        <item x="791"/>
        <item x="16"/>
        <item x="561"/>
        <item x="644"/>
        <item x="417"/>
        <item x="646"/>
        <item x="482"/>
        <item x="59"/>
        <item x="702"/>
        <item x="458"/>
        <item x="28"/>
        <item x="414"/>
        <item x="655"/>
        <item x="335"/>
        <item x="168"/>
        <item x="333"/>
        <item x="77"/>
        <item x="607"/>
        <item x="80"/>
        <item x="823"/>
        <item x="782"/>
        <item x="824"/>
        <item x="129"/>
        <item x="789"/>
        <item x="50"/>
        <item x="381"/>
        <item x="601"/>
        <item x="150"/>
        <item x="315"/>
        <item x="425"/>
        <item x="78"/>
        <item x="171"/>
        <item x="361"/>
        <item x="164"/>
        <item x="455"/>
        <item x="394"/>
        <item x="592"/>
        <item x="46"/>
        <item x="797"/>
        <item x="638"/>
        <item x="282"/>
        <item x="161"/>
        <item x="176"/>
        <item x="574"/>
        <item x="42"/>
        <item x="392"/>
        <item x="130"/>
        <item x="437"/>
        <item x="811"/>
        <item x="486"/>
        <item x="651"/>
        <item x="504"/>
        <item x="89"/>
        <item x="133"/>
        <item x="759"/>
        <item x="312"/>
        <item x="764"/>
        <item x="123"/>
        <item x="558"/>
        <item x="369"/>
        <item x="353"/>
        <item x="249"/>
        <item x="621"/>
        <item x="268"/>
        <item x="389"/>
        <item x="522"/>
        <item x="183"/>
        <item x="55"/>
        <item x="565"/>
        <item x="450"/>
        <item x="147"/>
        <item x="84"/>
        <item x="784"/>
        <item x="663"/>
        <item x="681"/>
        <item x="476"/>
        <item x="658"/>
        <item x="836"/>
        <item x="745"/>
        <item x="63"/>
        <item x="717"/>
        <item x="120"/>
        <item x="223"/>
        <item x="492"/>
        <item x="265"/>
        <item x="200"/>
        <item x="465"/>
        <item x="350"/>
        <item x="799"/>
        <item x="511"/>
        <item x="672"/>
        <item x="704"/>
        <item x="259"/>
        <item x="234"/>
        <item x="738"/>
        <item x="408"/>
        <item x="372"/>
        <item x="127"/>
        <item x="328"/>
        <item x="35"/>
        <item x="489"/>
        <item x="442"/>
        <item x="226"/>
        <item x="750"/>
        <item x="94"/>
        <item x="713"/>
        <item x="376"/>
        <item x="320"/>
        <item x="137"/>
        <item x="144"/>
        <item x="441"/>
        <item x="181"/>
        <item x="245"/>
        <item x="630"/>
        <item x="377"/>
        <item x="415"/>
        <item x="410"/>
        <item x="707"/>
        <item x="682"/>
        <item x="76"/>
        <item x="260"/>
        <item x="720"/>
        <item x="351"/>
        <item x="267"/>
        <item x="15"/>
        <item x="398"/>
        <item x="777"/>
        <item x="277"/>
        <item x="507"/>
        <item x="326"/>
        <item x="336"/>
        <item x="329"/>
        <item x="709"/>
        <item x="689"/>
        <item x="10"/>
        <item x="374"/>
        <item x="345"/>
        <item x="66"/>
        <item x="812"/>
        <item x="808"/>
        <item x="705"/>
        <item x="560"/>
        <item x="676"/>
        <item x="208"/>
        <item x="598"/>
        <item x="786"/>
        <item x="207"/>
        <item x="83"/>
        <item x="724"/>
        <item x="825"/>
        <item x="205"/>
        <item x="20"/>
        <item x="19"/>
        <item x="766"/>
        <item x="70"/>
        <item x="40"/>
        <item x="751"/>
        <item x="115"/>
        <item x="544"/>
        <item x="850"/>
        <item x="477"/>
        <item x="807"/>
        <item x="29"/>
        <item x="64"/>
        <item x="12"/>
        <item x="71"/>
        <item x="788"/>
        <item x="509"/>
        <item x="368"/>
        <item x="792"/>
        <item x="648"/>
        <item x="193"/>
        <item x="409"/>
        <item x="220"/>
        <item x="706"/>
        <item x="103"/>
        <item x="671"/>
        <item x="781"/>
        <item x="481"/>
        <item x="616"/>
        <item x="135"/>
        <item x="399"/>
        <item x="581"/>
        <item x="175"/>
        <item x="462"/>
        <item x="525"/>
        <item x="407"/>
        <item x="501"/>
        <item x="405"/>
        <item x="444"/>
        <item x="726"/>
        <item x="49"/>
        <item x="552"/>
        <item x="355"/>
        <item x="199"/>
        <item x="190"/>
        <item x="686"/>
        <item x="642"/>
        <item x="95"/>
        <item x="654"/>
        <item x="92"/>
        <item x="110"/>
        <item x="311"/>
        <item x="703"/>
        <item x="688"/>
        <item x="712"/>
        <item x="43"/>
        <item x="198"/>
        <item x="360"/>
        <item x="463"/>
        <item x="505"/>
        <item x="284"/>
        <item x="32"/>
        <item x="209"/>
        <item x="240"/>
        <item x="833"/>
        <item x="435"/>
        <item x="254"/>
        <item x="251"/>
        <item x="231"/>
        <item x="623"/>
        <item x="804"/>
        <item x="4"/>
        <item x="723"/>
        <item x="202"/>
        <item x="152"/>
        <item x="158"/>
        <item x="863"/>
        <item x="192"/>
        <item x="288"/>
        <item x="711"/>
        <item x="456"/>
        <item x="611"/>
        <item x="757"/>
        <item x="212"/>
        <item x="452"/>
        <item x="628"/>
        <item x="488"/>
        <item x="73"/>
        <item x="90"/>
        <item x="571"/>
        <item x="748"/>
        <item x="322"/>
        <item x="818"/>
        <item x="484"/>
        <item x="742"/>
        <item x="286"/>
        <item x="339"/>
        <item x="599"/>
        <item x="659"/>
        <item x="281"/>
        <item x="160"/>
        <item x="466"/>
        <item x="156"/>
        <item x="424"/>
        <item x="17"/>
        <item x="113"/>
        <item x="821"/>
        <item x="413"/>
        <item x="694"/>
        <item x="439"/>
        <item x="180"/>
        <item x="151"/>
        <item x="370"/>
        <item x="280"/>
        <item x="491"/>
        <item x="363"/>
        <item x="556"/>
        <item x="715"/>
        <item x="834"/>
        <item x="26"/>
        <item x="75"/>
        <item x="2"/>
        <item x="594"/>
        <item x="241"/>
        <item x="831"/>
        <item x="803"/>
        <item x="800"/>
        <item x="678"/>
        <item x="856"/>
        <item x="478"/>
        <item x="211"/>
        <item x="596"/>
        <item x="132"/>
        <item x="274"/>
        <item x="206"/>
        <item x="27"/>
        <item x="721"/>
        <item x="861"/>
        <item x="165"/>
        <item x="38"/>
        <item x="460"/>
        <item x="661"/>
        <item x="177"/>
        <item x="524"/>
        <item x="256"/>
        <item x="685"/>
        <item x="112"/>
        <item x="62"/>
        <item x="857"/>
        <item x="411"/>
        <item x="545"/>
        <item x="769"/>
        <item x="855"/>
        <item x="773"/>
        <item x="149"/>
        <item x="45"/>
        <item x="184"/>
        <item x="445"/>
        <item x="140"/>
        <item x="513"/>
        <item x="24"/>
        <item x="541"/>
        <item x="69"/>
        <item x="619"/>
        <item x="264"/>
        <item x="347"/>
        <item x="728"/>
        <item x="47"/>
        <item x="432"/>
        <item x="416"/>
        <item x="730"/>
        <item x="126"/>
        <item x="695"/>
        <item x="761"/>
        <item x="403"/>
        <item x="159"/>
        <item x="145"/>
        <item x="153"/>
        <item x="266"/>
        <item x="412"/>
        <item x="600"/>
        <item x="587"/>
        <item x="36"/>
        <item x="697"/>
        <item x="48"/>
        <item x="487"/>
        <item x="829"/>
        <item x="261"/>
        <item x="97"/>
        <item x="217"/>
        <item x="503"/>
        <item x="235"/>
        <item x="518"/>
        <item x="842"/>
        <item x="510"/>
        <item x="380"/>
        <item x="529"/>
        <item x="485"/>
        <item x="603"/>
        <item x="88"/>
        <item x="114"/>
        <item x="419"/>
        <item x="809"/>
        <item x="323"/>
        <item x="612"/>
        <item x="595"/>
        <item x="523"/>
        <item x="300"/>
        <item x="673"/>
        <item x="237"/>
        <item x="74"/>
        <item x="111"/>
        <item x="499"/>
        <item x="700"/>
        <item x="337"/>
        <item x="683"/>
        <item x="613"/>
        <item x="225"/>
        <item x="396"/>
        <item x="118"/>
        <item x="586"/>
        <item x="330"/>
        <item x="276"/>
        <item x="314"/>
        <item x="213"/>
        <item x="138"/>
        <item x="44"/>
        <item x="534"/>
        <item x="82"/>
        <item x="665"/>
        <item x="294"/>
        <item x="117"/>
        <item x="121"/>
        <item x="434"/>
        <item x="108"/>
        <item x="521"/>
        <item x="68"/>
        <item x="169"/>
        <item x="774"/>
        <item x="843"/>
        <item x="805"/>
        <item x="244"/>
        <item x="848"/>
        <item x="563"/>
        <item x="578"/>
        <item x="230"/>
        <item x="794"/>
        <item x="490"/>
        <item x="514"/>
        <item x="859"/>
        <item x="197"/>
        <item x="327"/>
        <item x="635"/>
        <item x="610"/>
        <item x="746"/>
        <item x="835"/>
        <item x="653"/>
        <item x="187"/>
        <item x="52"/>
        <item x="22"/>
        <item x="308"/>
        <item x="496"/>
        <item x="770"/>
        <item x="291"/>
        <item x="357"/>
        <item x="537"/>
        <item x="354"/>
        <item x="39"/>
        <item x="379"/>
        <item x="275"/>
        <item x="690"/>
        <item x="679"/>
        <item x="567"/>
        <item x="86"/>
        <item x="629"/>
        <item x="296"/>
        <item x="515"/>
        <item x="60"/>
        <item x="758"/>
        <item x="454"/>
        <item x="219"/>
        <item x="148"/>
        <item x="102"/>
        <item x="483"/>
        <item x="539"/>
        <item x="324"/>
        <item x="656"/>
        <item x="527"/>
        <item x="287"/>
        <item x="531"/>
        <item x="475"/>
        <item x="105"/>
        <item x="388"/>
        <item x="331"/>
        <item x="662"/>
        <item x="384"/>
        <item x="11"/>
        <item x="393"/>
        <item x="714"/>
        <item x="480"/>
        <item x="155"/>
        <item x="583"/>
        <item x="778"/>
        <item x="570"/>
        <item x="429"/>
        <item x="576"/>
        <item x="139"/>
        <item x="633"/>
        <item x="258"/>
        <item x="667"/>
        <item x="448"/>
        <item x="747"/>
        <item x="756"/>
        <item x="162"/>
        <item x="305"/>
        <item x="421"/>
        <item x="614"/>
        <item x="796"/>
        <item x="846"/>
        <item x="216"/>
        <item x="826"/>
        <item x="447"/>
        <item x="182"/>
        <item x="54"/>
        <item x="752"/>
        <item x="722"/>
        <item x="194"/>
        <item x="605"/>
        <item x="657"/>
        <item x="196"/>
        <item x="555"/>
        <item x="263"/>
        <item x="801"/>
        <item x="215"/>
        <item x="719"/>
        <item x="585"/>
        <item x="13"/>
        <item x="708"/>
        <item x="295"/>
        <item x="860"/>
        <item x="617"/>
        <item x="828"/>
        <item x="572"/>
        <item x="279"/>
        <item x="406"/>
        <item x="446"/>
        <item x="500"/>
        <item x="238"/>
        <item x="652"/>
        <item x="253"/>
        <item x="301"/>
        <item x="179"/>
        <item x="840"/>
        <item x="497"/>
        <item x="641"/>
        <item x="494"/>
        <item x="306"/>
        <item x="608"/>
        <item x="359"/>
        <item x="645"/>
        <item x="342"/>
        <item x="604"/>
        <item x="325"/>
        <item x="710"/>
        <item x="575"/>
        <item x="142"/>
        <item x="858"/>
        <item x="640"/>
        <item x="271"/>
        <item x="549"/>
        <item x="109"/>
        <item x="783"/>
        <item x="533"/>
        <item x="643"/>
        <item x="536"/>
        <item x="838"/>
        <item x="815"/>
        <item x="591"/>
        <item x="246"/>
        <item x="9"/>
        <item x="753"/>
        <item x="79"/>
        <item x="767"/>
        <item x="400"/>
        <item x="3"/>
        <item x="589"/>
        <item x="795"/>
        <item x="233"/>
        <item x="87"/>
        <item x="316"/>
        <item x="122"/>
        <item x="669"/>
        <item x="624"/>
        <item x="185"/>
        <item x="232"/>
        <item x="816"/>
        <item x="255"/>
        <item x="433"/>
        <item x="647"/>
        <item x="283"/>
        <item x="131"/>
        <item x="606"/>
        <item x="763"/>
        <item x="313"/>
        <item x="693"/>
        <item x="134"/>
        <item x="81"/>
        <item x="620"/>
        <item x="474"/>
        <item x="790"/>
        <item x="472"/>
        <item x="749"/>
        <item x="125"/>
        <item x="383"/>
        <item x="395"/>
        <item x="543"/>
        <item x="236"/>
        <item x="106"/>
        <item x="51"/>
        <item x="735"/>
        <item x="428"/>
        <item x="96"/>
        <item x="546"/>
        <item x="542"/>
        <item x="668"/>
        <item x="188"/>
        <item x="854"/>
        <item x="548"/>
        <item x="457"/>
        <item x="65"/>
        <item x="289"/>
        <item x="618"/>
        <item x="18"/>
        <item x="302"/>
        <item x="559"/>
        <item x="649"/>
        <item x="582"/>
        <item x="771"/>
        <item x="609"/>
        <item x="743"/>
        <item x="247"/>
        <item x="401"/>
        <item x="650"/>
        <item x="272"/>
        <item x="214"/>
        <item x="386"/>
        <item x="744"/>
        <item x="375"/>
        <item x="346"/>
        <item x="299"/>
        <item x="321"/>
        <item x="163"/>
        <item x="307"/>
        <item x="269"/>
        <item x="469"/>
        <item x="57"/>
        <item x="418"/>
        <item x="218"/>
        <item x="584"/>
        <item x="637"/>
        <item x="593"/>
        <item x="845"/>
        <item x="436"/>
        <item x="502"/>
        <item x="564"/>
        <item x="5"/>
        <item x="579"/>
        <item x="734"/>
        <item x="98"/>
        <item x="371"/>
        <item x="61"/>
        <item x="479"/>
        <item x="615"/>
        <item x="166"/>
        <item x="100"/>
        <item x="99"/>
        <item x="851"/>
        <item x="810"/>
        <item x="91"/>
        <item x="338"/>
        <item x="25"/>
        <item x="844"/>
        <item x="853"/>
        <item x="597"/>
        <item x="691"/>
        <item x="461"/>
        <item x="634"/>
        <item x="390"/>
        <item x="519"/>
        <item x="378"/>
        <item x="473"/>
        <item x="37"/>
        <item x="186"/>
        <item x="270"/>
        <item x="453"/>
        <item x="290"/>
        <item x="820"/>
        <item x="580"/>
        <item x="566"/>
        <item x="540"/>
        <item x="538"/>
        <item x="554"/>
        <item x="248"/>
        <item x="526"/>
        <item x="14"/>
        <item x="262"/>
        <item x="167"/>
        <item x="157"/>
        <item x="670"/>
        <item x="23"/>
        <item x="727"/>
        <item x="364"/>
        <item x="464"/>
        <item x="385"/>
        <item x="772"/>
        <item x="839"/>
        <item x="636"/>
        <item x="423"/>
        <item x="622"/>
        <item x="775"/>
        <item x="309"/>
        <item x="660"/>
        <item x="344"/>
        <item x="239"/>
        <item x="41"/>
        <item x="285"/>
        <item x="731"/>
        <item x="551"/>
        <item x="467"/>
        <item x="227"/>
        <item x="229"/>
        <item x="189"/>
        <item x="568"/>
        <item x="627"/>
        <item x="626"/>
        <item x="822"/>
        <item x="590"/>
        <item x="304"/>
        <item x="520"/>
        <item x="780"/>
        <item x="33"/>
        <item x="471"/>
        <item x="362"/>
        <item x="528"/>
        <item x="201"/>
        <item x="340"/>
        <item x="468"/>
        <item x="8"/>
        <item x="732"/>
        <item x="303"/>
        <item x="741"/>
        <item x="382"/>
        <item x="252"/>
        <item x="438"/>
        <item x="675"/>
        <item x="34"/>
        <item x="422"/>
        <item x="204"/>
        <item x="420"/>
        <item x="862"/>
        <item x="470"/>
        <item x="56"/>
        <item x="116"/>
        <item x="588"/>
        <item x="562"/>
        <item x="93"/>
        <item x="776"/>
        <item x="310"/>
        <item x="293"/>
        <item x="699"/>
        <item x="573"/>
        <item x="760"/>
        <item x="664"/>
        <item x="430"/>
        <item x="754"/>
        <item x="318"/>
        <item x="30"/>
        <item x="356"/>
        <item x="31"/>
        <item x="532"/>
        <item x="101"/>
        <item x="297"/>
        <item x="762"/>
        <item x="343"/>
        <item x="674"/>
        <item x="128"/>
        <item x="557"/>
        <item x="813"/>
        <item x="847"/>
        <item x="666"/>
        <item x="725"/>
        <item x="143"/>
        <item x="221"/>
        <item x="58"/>
        <item x="493"/>
        <item x="739"/>
        <item x="172"/>
        <item x="535"/>
        <item x="6"/>
        <item x="550"/>
        <item x="787"/>
        <item x="841"/>
        <item x="397"/>
        <item x="146"/>
        <item x="136"/>
        <item x="553"/>
        <item x="107"/>
        <item x="698"/>
        <item x="334"/>
        <item x="701"/>
        <item x="852"/>
        <item x="625"/>
        <item x="680"/>
        <item x="119"/>
        <item x="737"/>
        <item x="639"/>
        <item x="365"/>
        <item x="210"/>
        <item x="222"/>
        <item x="224"/>
        <item x="348"/>
        <item x="319"/>
        <item x="242"/>
        <item x="431"/>
        <item x="806"/>
        <item x="426"/>
        <item x="729"/>
        <item x="814"/>
        <item x="508"/>
        <item x="733"/>
        <item x="736"/>
        <item x="72"/>
        <item x="317"/>
        <item x="141"/>
        <item x="495"/>
        <item x="250"/>
        <item x="819"/>
        <item x="178"/>
        <item x="849"/>
        <item x="716"/>
        <item x="440"/>
        <item x="7"/>
        <item x="427"/>
        <item x="632"/>
        <item x="779"/>
        <item x="827"/>
        <item x="358"/>
        <item x="517"/>
        <item x="298"/>
        <item x="367"/>
        <item x="373"/>
        <item x="684"/>
        <item x="459"/>
        <item x="602"/>
        <item x="832"/>
        <item x="569"/>
        <item x="687"/>
        <item x="243"/>
        <item x="512"/>
        <item x="53"/>
        <item x="387"/>
        <item x="768"/>
        <item x="273"/>
        <item x="173"/>
        <item x="802"/>
        <item x="577"/>
        <item x="174"/>
        <item x="506"/>
        <item x="443"/>
        <item x="195"/>
        <item x="191"/>
        <item x="1"/>
        <item x="278"/>
        <item x="785"/>
        <item x="451"/>
        <item x="498"/>
        <item x="837"/>
        <item x="765"/>
        <item x="817"/>
        <item x="516"/>
        <item x="449"/>
        <item x="631"/>
        <item x="740"/>
        <item x="402"/>
        <item x="718"/>
        <item x="85"/>
        <item x="677"/>
        <item x="755"/>
        <item x="530"/>
        <item x="798"/>
        <item x="0"/>
        <item x="21"/>
        <item x="793"/>
        <item x="332"/>
        <item x="124"/>
        <item x="366"/>
        <item x="257"/>
        <item x="352"/>
        <item x="391"/>
        <item t="default"/>
      </items>
    </pivotField>
    <pivotField numFmtId="1" showAll="0"/>
    <pivotField showAll="0">
      <items count="4">
        <item x="0"/>
        <item x="2"/>
        <item x="1"/>
        <item t="default"/>
      </items>
    </pivotField>
    <pivotField showAll="0"/>
    <pivotField showAll="0">
      <items count="7">
        <item x="1"/>
        <item x="4"/>
        <item x="2"/>
        <item x="0"/>
        <item x="3"/>
        <item x="5"/>
        <item t="default"/>
      </items>
    </pivotField>
    <pivotField showAll="0"/>
    <pivotField showAll="0"/>
    <pivotField dataField="1" numFmtId="164" showAll="0"/>
    <pivotField showAll="0"/>
    <pivotField showAll="0"/>
    <pivotField showAll="0"/>
    <pivotField showAll="0"/>
    <pivotField showAll="0"/>
    <pivotField showAll="0"/>
  </pivotFields>
  <rowFields count="1">
    <field x="0"/>
  </rowFields>
  <rowItems count="6">
    <i>
      <x v="127"/>
    </i>
    <i>
      <x v="290"/>
    </i>
    <i>
      <x v="399"/>
    </i>
    <i>
      <x v="463"/>
    </i>
    <i>
      <x v="564"/>
    </i>
    <i t="grand">
      <x/>
    </i>
  </rowItems>
  <colItems count="1">
    <i/>
  </colItems>
  <dataFields count="1">
    <dataField name="Sum of Drug_Cost_GBP" fld="7" baseField="0" baseItem="0" numFmtId="164"/>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D412D2-9F73-4FEF-916F-8FF6E87841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ndition">
  <location ref="G27:H36" firstHeaderRow="1" firstDataRow="1" firstDataCol="1"/>
  <pivotFields count="14">
    <pivotField showAll="0"/>
    <pivotField numFmtId="1" showAll="0"/>
    <pivotField showAll="0">
      <items count="4">
        <item x="0"/>
        <item x="2"/>
        <item x="1"/>
        <item t="default"/>
      </items>
    </pivotField>
    <pivotField axis="axisRow" showAll="0">
      <items count="9">
        <item x="4"/>
        <item x="3"/>
        <item x="0"/>
        <item x="5"/>
        <item x="6"/>
        <item x="1"/>
        <item x="2"/>
        <item x="7"/>
        <item t="default"/>
      </items>
    </pivotField>
    <pivotField showAll="0">
      <items count="7">
        <item x="1"/>
        <item x="4"/>
        <item x="2"/>
        <item x="0"/>
        <item x="3"/>
        <item x="5"/>
        <item t="default"/>
      </items>
    </pivotField>
    <pivotField showAll="0"/>
    <pivotField showAll="0"/>
    <pivotField dataField="1" numFmtId="164"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Drug_Cost_GBP" fld="7" baseField="0" baseItem="0" numFmtId="164"/>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 chart="3" format="15">
      <pivotArea type="data" outline="0" fieldPosition="0">
        <references count="2">
          <reference field="4294967294" count="1" selected="0">
            <x v="0"/>
          </reference>
          <reference field="3" count="1" selected="0">
            <x v="4"/>
          </reference>
        </references>
      </pivotArea>
    </chartFormat>
    <chartFormat chart="3" format="16">
      <pivotArea type="data" outline="0" fieldPosition="0">
        <references count="2">
          <reference field="4294967294" count="1" selected="0">
            <x v="0"/>
          </reference>
          <reference field="3" count="1" selected="0">
            <x v="5"/>
          </reference>
        </references>
      </pivotArea>
    </chartFormat>
    <chartFormat chart="3" format="17">
      <pivotArea type="data" outline="0" fieldPosition="0">
        <references count="2">
          <reference field="4294967294" count="1" selected="0">
            <x v="0"/>
          </reference>
          <reference field="3" count="1" selected="0">
            <x v="6"/>
          </reference>
        </references>
      </pivotArea>
    </chartFormat>
    <chartFormat chart="3"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2C3195-BFE8-4D2E-B011-32E715376A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spital">
  <location ref="A13:B20" firstHeaderRow="1" firstDataRow="1" firstDataCol="1"/>
  <pivotFields count="14">
    <pivotField showAll="0"/>
    <pivotField numFmtId="1" showAll="0"/>
    <pivotField showAll="0">
      <items count="4">
        <item x="0"/>
        <item x="2"/>
        <item x="1"/>
        <item t="default"/>
      </items>
    </pivotField>
    <pivotField showAll="0"/>
    <pivotField axis="axisRow" showAll="0">
      <items count="7">
        <item x="1"/>
        <item x="4"/>
        <item x="2"/>
        <item x="0"/>
        <item x="3"/>
        <item x="5"/>
        <item t="default"/>
      </items>
    </pivotField>
    <pivotField showAll="0"/>
    <pivotField showAll="0"/>
    <pivotField dataField="1" numFmtId="164"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Drug_Cost_GBP" fld="7"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141492-B19D-420C-9551-9ED55AE82B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spital">
  <location ref="D31:E38" firstHeaderRow="1" firstDataRow="1" firstDataCol="1"/>
  <pivotFields count="14">
    <pivotField showAll="0"/>
    <pivotField numFmtId="1" showAll="0"/>
    <pivotField showAll="0">
      <items count="4">
        <item x="0"/>
        <item x="2"/>
        <item x="1"/>
        <item t="default"/>
      </items>
    </pivotField>
    <pivotField showAll="0"/>
    <pivotField axis="axisRow" showAll="0">
      <items count="7">
        <item x="1"/>
        <item x="4"/>
        <item x="2"/>
        <item x="0"/>
        <item x="3"/>
        <item x="5"/>
        <item t="default"/>
      </items>
    </pivotField>
    <pivotField showAll="0"/>
    <pivotField showAll="0"/>
    <pivotField dataField="1" numFmtId="164"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Drug_Cost_GBP"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B4319B-0732-40D8-A4C2-5B41FA9BC37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ondition">
  <location ref="A24:B33" firstHeaderRow="1" firstDataRow="1" firstDataCol="1"/>
  <pivotFields count="14">
    <pivotField showAll="0"/>
    <pivotField numFmtId="1" showAll="0"/>
    <pivotField showAll="0">
      <items count="4">
        <item x="0"/>
        <item x="2"/>
        <item x="1"/>
        <item t="default"/>
      </items>
    </pivotField>
    <pivotField axis="axisRow" showAll="0">
      <items count="9">
        <item x="4"/>
        <item x="3"/>
        <item x="0"/>
        <item x="5"/>
        <item x="6"/>
        <item x="1"/>
        <item x="2"/>
        <item x="7"/>
        <item t="default"/>
      </items>
    </pivotField>
    <pivotField showAll="0">
      <items count="7">
        <item x="1"/>
        <item x="4"/>
        <item x="2"/>
        <item x="0"/>
        <item x="3"/>
        <item x="5"/>
        <item t="default"/>
      </items>
    </pivotField>
    <pivotField showAll="0"/>
    <pivotField dataField="1" showAll="0"/>
    <pivotField numFmtId="164"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Average of Length_of_Stay (Days)"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4B30FA-DA52-49BB-9D4E-C9807AB6DEA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4">
    <pivotField showAll="0"/>
    <pivotField dataField="1" numFmtId="1" showAll="0"/>
    <pivotField showAll="0">
      <items count="4">
        <item x="0"/>
        <item x="2"/>
        <item x="1"/>
        <item t="default"/>
      </items>
    </pivotField>
    <pivotField showAll="0"/>
    <pivotField showAll="0"/>
    <pivotField showAll="0"/>
    <pivotField showAll="0"/>
    <pivotField numFmtId="164" showAll="0"/>
    <pivotField showAll="0"/>
    <pivotField showAll="0"/>
    <pivotField showAll="0"/>
    <pivotField showAll="0"/>
    <pivotField showAll="0"/>
    <pivotField showAll="0"/>
  </pivotFields>
  <rowItems count="1">
    <i/>
  </rowItems>
  <colItems count="1">
    <i/>
  </colItems>
  <dataFields count="1">
    <dataField name="Average of Age (Years)" fld="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E43D18-0EB4-4D18-A9FF-0F585C2F5AC1}"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A12" firstHeaderRow="1" firstDataRow="1" firstDataCol="0"/>
  <pivotFields count="14">
    <pivotField showAll="0"/>
    <pivotField numFmtId="1" showAll="0"/>
    <pivotField showAll="0">
      <items count="4">
        <item x="0"/>
        <item x="2"/>
        <item x="1"/>
        <item t="default"/>
      </items>
    </pivotField>
    <pivotField showAll="0"/>
    <pivotField showAll="0"/>
    <pivotField showAll="0"/>
    <pivotField dataField="1" showAll="0"/>
    <pivotField numFmtId="164" showAll="0"/>
    <pivotField showAll="0"/>
    <pivotField showAll="0"/>
    <pivotField showAll="0"/>
    <pivotField showAll="0"/>
    <pivotField showAll="0"/>
    <pivotField showAll="0"/>
  </pivotFields>
  <rowItems count="1">
    <i/>
  </rowItems>
  <colItems count="1">
    <i/>
  </colItems>
  <dataFields count="1">
    <dataField name="Average of Length_of_Stay (Days)" fld="6"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37A6D6-D23F-4CB4-AE96-75A7400F04D6}"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14">
    <pivotField showAll="0"/>
    <pivotField numFmtId="1" showAll="0"/>
    <pivotField showAll="0">
      <items count="4">
        <item x="0"/>
        <item x="2"/>
        <item x="1"/>
        <item t="default"/>
      </items>
    </pivotField>
    <pivotField showAll="0"/>
    <pivotField showAll="0"/>
    <pivotField showAll="0"/>
    <pivotField showAll="0"/>
    <pivotField dataField="1" numFmtId="164" showAll="0"/>
    <pivotField showAll="0"/>
    <pivotField showAll="0"/>
    <pivotField showAll="0"/>
    <pivotField showAll="0"/>
    <pivotField showAll="0"/>
    <pivotField showAll="0"/>
  </pivotFields>
  <rowItems count="1">
    <i/>
  </rowItems>
  <colItems count="1">
    <i/>
  </colItems>
  <dataFields count="1">
    <dataField name="Sum of Drug_Cost_GBP"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FAC4CE-4D07-47ED-BAA6-21E21716D0D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numFmtId="1" showAll="0"/>
    <pivotField showAll="0">
      <items count="4">
        <item x="0"/>
        <item x="2"/>
        <item x="1"/>
        <item t="default"/>
      </items>
    </pivotField>
    <pivotField showAll="0"/>
    <pivotField showAll="0"/>
    <pivotField showAll="0"/>
    <pivotField showAll="0"/>
    <pivotField numFmtId="164" showAll="0"/>
    <pivotField showAll="0"/>
    <pivotField showAll="0"/>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68482B-43D5-4840-9B24-448D3DE07BD6}" autoFormatId="16" applyNumberFormats="0" applyBorderFormats="0" applyFontFormats="0" applyPatternFormats="0" applyAlignmentFormats="0" applyWidthHeightFormats="0">
  <queryTableRefresh nextId="10">
    <queryTableFields count="9">
      <queryTableField id="1" name="Patient_ID" tableColumnId="1"/>
      <queryTableField id="2" name="Age" tableColumnId="2"/>
      <queryTableField id="3" name="Gender" tableColumnId="3"/>
      <queryTableField id="4" name="Condition" tableColumnId="4"/>
      <queryTableField id="5" name="Hospital" tableColumnId="5"/>
      <queryTableField id="6" name="Admission_Date" tableColumnId="6"/>
      <queryTableField id="7" name="Length_of_Stay" tableColumnId="7"/>
      <queryTableField id="8" name="Drug_Cost_GBP" tableColumnId="8"/>
      <queryTableField id="9" name="Outcom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5705BA-38C8-4A47-89C0-FA42F4EF52ED}" sourceName="Gender">
  <pivotTables>
    <pivotTable tabId="6" name="PivotTable11"/>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8" name="PivotTable16"/>
    <pivotTable tabId="8" name="PivotTable17"/>
    <pivotTable tabId="8" name="PivotTable18"/>
    <pivotTable tabId="8" name="PivotTable19"/>
  </pivotTables>
  <data>
    <tabular pivotCacheId="127698149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BC0CE715-C37C-4B42-A6DF-E9E89C411100}" sourceName="Condition">
  <pivotTables>
    <pivotTable tabId="6" name="PivotTable11"/>
  </pivotTables>
  <data>
    <tabular pivotCacheId="1276981498">
      <items count="8">
        <i x="4" s="1"/>
        <i x="3" s="1"/>
        <i x="0" s="1"/>
        <i x="5" s="1"/>
        <i x="6" s="1"/>
        <i x="1"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A8890737-D6B1-4FA5-A508-BCDA4A21BC91}" sourceName="Hospital Name">
  <pivotTables>
    <pivotTable tabId="6" name="PivotTable11"/>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s>
  <data>
    <tabular pivotCacheId="1276981498">
      <items count="6">
        <i x="1" s="1"/>
        <i x="4" s="1"/>
        <i x="2" s="1"/>
        <i x="0"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E189C8E-F059-4141-8036-202AA7D6D2C9}" cache="Slicer_Gender" caption="Gender" columnCount="2" style="SlicerStyleDark1" rowHeight="247650"/>
  <slicer name="Condition" xr10:uid="{45CFC7D7-E398-4E01-8AFC-6B139798CD74}" cache="Slicer_Condition" caption="Condition" columnCount="2" style="SlicerStyleOther2" rowHeight="247650"/>
  <slicer name="Hospital Name" xr10:uid="{89EE8E69-CB2D-4858-95E4-379D97DA30EE}" cache="Slicer_Hospital_Name" caption="Hospital Name"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6CF34A-51AC-4366-887A-24005D20167E}" name="Sheet1" displayName="Sheet1" ref="A1:I1501" tableType="queryTable" totalsRowShown="0">
  <autoFilter ref="A1:I1501" xr:uid="{116CF34A-51AC-4366-887A-24005D20167E}"/>
  <tableColumns count="9">
    <tableColumn id="1" xr3:uid="{6FAA269D-F83B-455C-B4BB-AD1884DCBE5F}" uniqueName="1" name="Patient_ID" queryTableFieldId="1" dataDxfId="23"/>
    <tableColumn id="2" xr3:uid="{D0B95E90-AFCF-4D64-B51F-33BEB2535518}" uniqueName="2" name="Age" queryTableFieldId="2"/>
    <tableColumn id="3" xr3:uid="{2E45A84C-99DB-4C22-ACBF-D07104C0E614}" uniqueName="3" name="Gender" queryTableFieldId="3" dataDxfId="22"/>
    <tableColumn id="4" xr3:uid="{E28467C8-3B07-4613-A60E-AA0213065CBD}" uniqueName="4" name="Condition" queryTableFieldId="4" dataDxfId="21"/>
    <tableColumn id="5" xr3:uid="{73FF18FC-C39F-4F51-BB29-6EDC5BFDCE6A}" uniqueName="5" name="Hospital" queryTableFieldId="5" dataDxfId="20"/>
    <tableColumn id="6" xr3:uid="{34A92483-4F3A-49AE-A42E-E945D3BB89AA}" uniqueName="6" name="Admission_Date" queryTableFieldId="6"/>
    <tableColumn id="7" xr3:uid="{8F0C7C47-904E-4BE5-9D2F-A5A49684A3C0}" uniqueName="7" name="Length_of_Stay" queryTableFieldId="7"/>
    <tableColumn id="8" xr3:uid="{BEA6FC2D-5467-4AFB-989D-9490CB75C8B8}" uniqueName="8" name="Drug_Cost_GBP" queryTableFieldId="8"/>
    <tableColumn id="9" xr3:uid="{E2673D03-9130-4837-BB65-53F8C5A359D4}" uniqueName="9" name="Outcome" queryTableFieldId="9"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065E1E-3FDF-4B58-897C-7FB894A53311}" name="Table3" displayName="Table3" ref="A1:N865" totalsRowShown="0" headerRowDxfId="18" dataDxfId="17" tableBorderDxfId="16">
  <autoFilter ref="A1:N865" xr:uid="{6D065E1E-3FDF-4B58-897C-7FB894A53311}"/>
  <sortState xmlns:xlrd2="http://schemas.microsoft.com/office/spreadsheetml/2017/richdata2" ref="A2:L865">
    <sortCondition descending="1" ref="B2:B865"/>
  </sortState>
  <tableColumns count="14">
    <tableColumn id="1" xr3:uid="{623A60F7-5231-4D9F-9D9F-9E030CF33339}" name="Patient_ID" dataDxfId="15"/>
    <tableColumn id="2" xr3:uid="{92C5B2BC-78F8-42A8-8B7D-16BA7440697D}" name="Age (Years)" dataDxfId="14"/>
    <tableColumn id="3" xr3:uid="{3AA89B99-640A-4C6F-86BA-07EF10FFB12E}" name="Gender" dataDxfId="13"/>
    <tableColumn id="4" xr3:uid="{9943A1DA-D001-4EEE-BBCC-B8470B2D570C}" name="Condition" dataDxfId="12"/>
    <tableColumn id="5" xr3:uid="{41AF1F4D-0BAD-4EAF-B121-99A0FFCE056F}" name="Hospital Name" dataDxfId="11"/>
    <tableColumn id="6" xr3:uid="{0843A106-7AA8-4883-97BD-D2CC802CA6C2}" name="Admission_Date" dataDxfId="10"/>
    <tableColumn id="7" xr3:uid="{D4CC8F35-BF32-4C38-92F4-494980509E3A}" name="Length_of_Stay (Days)" dataDxfId="9"/>
    <tableColumn id="8" xr3:uid="{39C0D67E-9AE7-48D0-806B-8504A171E9A9}" name="Drug_Cost_GBP" dataDxfId="8"/>
    <tableColumn id="9" xr3:uid="{8DC04656-5953-444A-8F7A-8E9D9FF7527C}" name="Outcome" dataDxfId="7"/>
    <tableColumn id="10" xr3:uid="{712F4343-6937-4A3E-A1D7-FAC6AD32C8A7}" name="Age Group" dataDxfId="6">
      <calculatedColumnFormula array="1">_xlfn.IFS(Table3[[#This Row],[Age (Years)]] &lt; 40, "Young", Table3[[#This Row],[Age (Years)]] &gt;= 40, "Middle", Table3[[#This Row],[Age (Years)]] &gt; 60, "Senior")</calculatedColumnFormula>
    </tableColumn>
    <tableColumn id="11" xr3:uid="{E06B45A1-5E0E-4090-B275-165C33D9B723}" name="High Cost Case" dataDxfId="5">
      <calculatedColumnFormula array="1">_xlfn.IFS(Table3[[#This Row],[Drug_Cost_GBP]] &gt; 1200, "High Cost", Table3[[#This Row],[Drug_Cost_GBP]] &lt; 1200, "Normal")</calculatedColumnFormula>
    </tableColumn>
    <tableColumn id="12" xr3:uid="{2861CF93-3393-4460-8F00-4C1D4F55AB74}" name="Age &gt; 75" dataDxfId="4">
      <calculatedColumnFormula array="1">IFERROR(_xlfn.IFS(Table3[[#This Row],[Age (Years)]]  &gt; 75, "YES", Table3[[#This Row],[Age (Years)]] &lt; 75, "NO"), "UNKNOWN")</calculatedColumnFormula>
    </tableColumn>
    <tableColumn id="13" xr3:uid="{3B56C786-4AB3-4FE7-89A8-1E73304B4195}" name="&gt; AverageCost" dataDxfId="3">
      <calculatedColumnFormula>IF(Table3[[#This Row],[Drug_Cost_GBP]] &gt; Analysis_Sheet!$B$21, "Above Average", "Within Average")</calculatedColumnFormula>
    </tableColumn>
    <tableColumn id="14" xr3:uid="{EBC51EBF-3BB9-4785-BBBC-C6F9B332D093}" name="Admission Month" dataDxfId="2">
      <calculatedColumnFormula>IF(ISNUMBER(F2),TEXT(F2,"MMMM YYYY"),"Unknown")</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C6537-4133-4275-A246-8EF0B0C81F14}">
  <sheetPr>
    <tabColor theme="4" tint="0.39997558519241921"/>
  </sheetPr>
  <dimension ref="A1:I1501"/>
  <sheetViews>
    <sheetView workbookViewId="0">
      <pane ySplit="1" topLeftCell="A2" activePane="bottomLeft" state="frozen"/>
      <selection pane="bottomLeft" sqref="A1:I1"/>
    </sheetView>
  </sheetViews>
  <sheetFormatPr defaultRowHeight="14.4" x14ac:dyDescent="0.3"/>
  <cols>
    <col min="1" max="1" width="11.77734375" bestFit="1" customWidth="1"/>
    <col min="2" max="2" width="6.21875" bestFit="1" customWidth="1"/>
    <col min="3" max="3" width="9.33203125" bestFit="1" customWidth="1"/>
    <col min="4" max="4" width="13.109375" bestFit="1" customWidth="1"/>
    <col min="5" max="5" width="18.44140625" bestFit="1" customWidth="1"/>
    <col min="6" max="6" width="16.77734375" bestFit="1" customWidth="1"/>
    <col min="7" max="7" width="15.5546875" bestFit="1" customWidth="1"/>
    <col min="8" max="8" width="16" bestFit="1" customWidth="1"/>
    <col min="9" max="9" width="10.88671875" bestFit="1" customWidth="1"/>
  </cols>
  <sheetData>
    <row r="1" spans="1:9" x14ac:dyDescent="0.3">
      <c r="A1" t="s">
        <v>0</v>
      </c>
      <c r="B1" t="s">
        <v>1</v>
      </c>
      <c r="C1" t="s">
        <v>2</v>
      </c>
      <c r="D1" t="s">
        <v>3</v>
      </c>
      <c r="E1" t="s">
        <v>4</v>
      </c>
      <c r="F1" t="s">
        <v>5</v>
      </c>
      <c r="G1" t="s">
        <v>6</v>
      </c>
      <c r="H1" t="s">
        <v>7</v>
      </c>
      <c r="I1" t="s">
        <v>8</v>
      </c>
    </row>
    <row r="2" spans="1:9" x14ac:dyDescent="0.3">
      <c r="A2" t="s">
        <v>9</v>
      </c>
      <c r="D2" t="s">
        <v>10</v>
      </c>
      <c r="E2" t="s">
        <v>11</v>
      </c>
      <c r="H2">
        <v>1715.89</v>
      </c>
      <c r="I2" t="s">
        <v>12</v>
      </c>
    </row>
    <row r="3" spans="1:9" x14ac:dyDescent="0.3">
      <c r="A3" t="s">
        <v>13</v>
      </c>
      <c r="D3" t="s">
        <v>14</v>
      </c>
      <c r="E3" t="s">
        <v>15</v>
      </c>
      <c r="I3" t="s">
        <v>16</v>
      </c>
    </row>
    <row r="4" spans="1:9" x14ac:dyDescent="0.3">
      <c r="A4" t="s">
        <v>17</v>
      </c>
      <c r="B4">
        <v>94</v>
      </c>
      <c r="C4" t="s">
        <v>18</v>
      </c>
      <c r="D4" t="s">
        <v>19</v>
      </c>
      <c r="E4" t="s">
        <v>20</v>
      </c>
      <c r="H4">
        <v>903.44</v>
      </c>
      <c r="I4" t="s">
        <v>21</v>
      </c>
    </row>
    <row r="5" spans="1:9" x14ac:dyDescent="0.3">
      <c r="A5" t="s">
        <v>22</v>
      </c>
      <c r="D5" t="s">
        <v>19</v>
      </c>
      <c r="E5" t="s">
        <v>23</v>
      </c>
      <c r="G5">
        <v>18</v>
      </c>
      <c r="I5" t="s">
        <v>21</v>
      </c>
    </row>
    <row r="6" spans="1:9" x14ac:dyDescent="0.3">
      <c r="A6" t="s">
        <v>24</v>
      </c>
      <c r="C6" t="s">
        <v>18</v>
      </c>
      <c r="D6" t="s">
        <v>25</v>
      </c>
      <c r="E6" t="s">
        <v>23</v>
      </c>
      <c r="F6">
        <v>45497</v>
      </c>
      <c r="G6">
        <v>13</v>
      </c>
      <c r="I6" t="s">
        <v>26</v>
      </c>
    </row>
    <row r="7" spans="1:9" x14ac:dyDescent="0.3">
      <c r="A7" t="s">
        <v>27</v>
      </c>
      <c r="C7" t="s">
        <v>28</v>
      </c>
      <c r="D7" t="s">
        <v>14</v>
      </c>
      <c r="E7" t="s">
        <v>29</v>
      </c>
      <c r="F7">
        <v>45506</v>
      </c>
      <c r="H7">
        <v>568.76</v>
      </c>
      <c r="I7" t="s">
        <v>21</v>
      </c>
    </row>
    <row r="8" spans="1:9" x14ac:dyDescent="0.3">
      <c r="A8" t="s">
        <v>30</v>
      </c>
      <c r="D8" t="s">
        <v>25</v>
      </c>
      <c r="E8" t="s">
        <v>20</v>
      </c>
      <c r="F8">
        <v>45360</v>
      </c>
      <c r="G8">
        <v>4</v>
      </c>
      <c r="I8" t="s">
        <v>16</v>
      </c>
    </row>
    <row r="9" spans="1:9" x14ac:dyDescent="0.3">
      <c r="A9" t="s">
        <v>31</v>
      </c>
      <c r="B9">
        <v>67</v>
      </c>
      <c r="D9" t="s">
        <v>19</v>
      </c>
      <c r="E9" t="s">
        <v>23</v>
      </c>
      <c r="F9">
        <v>45506</v>
      </c>
      <c r="H9">
        <v>1980.5</v>
      </c>
      <c r="I9" t="s">
        <v>26</v>
      </c>
    </row>
    <row r="10" spans="1:9" x14ac:dyDescent="0.3">
      <c r="A10" t="s">
        <v>32</v>
      </c>
      <c r="B10">
        <v>91</v>
      </c>
      <c r="D10" t="s">
        <v>33</v>
      </c>
      <c r="E10" t="s">
        <v>34</v>
      </c>
      <c r="F10">
        <v>45600</v>
      </c>
      <c r="G10">
        <v>2</v>
      </c>
      <c r="I10" t="s">
        <v>21</v>
      </c>
    </row>
    <row r="11" spans="1:9" x14ac:dyDescent="0.3">
      <c r="A11" t="s">
        <v>35</v>
      </c>
      <c r="C11" t="s">
        <v>18</v>
      </c>
      <c r="D11" t="s">
        <v>10</v>
      </c>
      <c r="E11" t="s">
        <v>11</v>
      </c>
      <c r="F11">
        <v>45338</v>
      </c>
      <c r="G11">
        <v>8</v>
      </c>
      <c r="I11" t="s">
        <v>16</v>
      </c>
    </row>
    <row r="12" spans="1:9" x14ac:dyDescent="0.3">
      <c r="A12" t="s">
        <v>36</v>
      </c>
      <c r="D12" t="s">
        <v>25</v>
      </c>
      <c r="E12" t="s">
        <v>29</v>
      </c>
      <c r="F12">
        <v>45613</v>
      </c>
      <c r="H12">
        <v>529.02</v>
      </c>
    </row>
    <row r="13" spans="1:9" x14ac:dyDescent="0.3">
      <c r="A13" t="s">
        <v>37</v>
      </c>
      <c r="B13">
        <v>71</v>
      </c>
      <c r="C13" t="s">
        <v>38</v>
      </c>
      <c r="D13" t="s">
        <v>19</v>
      </c>
      <c r="E13" t="s">
        <v>29</v>
      </c>
      <c r="F13">
        <v>45332</v>
      </c>
      <c r="G13">
        <v>4</v>
      </c>
    </row>
    <row r="14" spans="1:9" x14ac:dyDescent="0.3">
      <c r="A14" t="s">
        <v>39</v>
      </c>
      <c r="C14" t="s">
        <v>38</v>
      </c>
      <c r="E14" t="s">
        <v>15</v>
      </c>
      <c r="F14">
        <v>45543</v>
      </c>
      <c r="H14">
        <v>1955.27</v>
      </c>
      <c r="I14" t="s">
        <v>16</v>
      </c>
    </row>
    <row r="15" spans="1:9" x14ac:dyDescent="0.3">
      <c r="A15" t="s">
        <v>40</v>
      </c>
      <c r="C15" t="s">
        <v>28</v>
      </c>
      <c r="D15" t="s">
        <v>33</v>
      </c>
      <c r="E15" t="s">
        <v>11</v>
      </c>
      <c r="H15">
        <v>528.16999999999996</v>
      </c>
      <c r="I15" t="s">
        <v>16</v>
      </c>
    </row>
    <row r="16" spans="1:9" x14ac:dyDescent="0.3">
      <c r="A16" t="s">
        <v>41</v>
      </c>
      <c r="C16" t="s">
        <v>42</v>
      </c>
      <c r="D16" t="s">
        <v>10</v>
      </c>
      <c r="E16" t="s">
        <v>43</v>
      </c>
      <c r="F16">
        <v>45522</v>
      </c>
      <c r="I16" t="s">
        <v>21</v>
      </c>
    </row>
    <row r="17" spans="1:9" x14ac:dyDescent="0.3">
      <c r="A17" t="s">
        <v>44</v>
      </c>
      <c r="C17" t="s">
        <v>18</v>
      </c>
      <c r="D17" t="s">
        <v>45</v>
      </c>
      <c r="E17" t="s">
        <v>15</v>
      </c>
      <c r="F17">
        <v>45302</v>
      </c>
      <c r="I17" t="s">
        <v>12</v>
      </c>
    </row>
    <row r="18" spans="1:9" x14ac:dyDescent="0.3">
      <c r="A18" t="s">
        <v>46</v>
      </c>
      <c r="C18" t="s">
        <v>42</v>
      </c>
      <c r="D18" t="s">
        <v>10</v>
      </c>
      <c r="E18" t="s">
        <v>23</v>
      </c>
      <c r="F18">
        <v>45314</v>
      </c>
      <c r="G18">
        <v>12</v>
      </c>
      <c r="H18">
        <v>1382.89</v>
      </c>
      <c r="I18" t="s">
        <v>26</v>
      </c>
    </row>
    <row r="19" spans="1:9" x14ac:dyDescent="0.3">
      <c r="A19" t="s">
        <v>47</v>
      </c>
      <c r="B19">
        <v>92</v>
      </c>
      <c r="C19" t="s">
        <v>28</v>
      </c>
      <c r="D19" t="s">
        <v>48</v>
      </c>
      <c r="E19" t="s">
        <v>43</v>
      </c>
      <c r="F19">
        <v>45486</v>
      </c>
      <c r="G19">
        <v>20</v>
      </c>
    </row>
    <row r="20" spans="1:9" x14ac:dyDescent="0.3">
      <c r="A20" t="s">
        <v>49</v>
      </c>
      <c r="C20" t="s">
        <v>28</v>
      </c>
      <c r="D20" t="s">
        <v>45</v>
      </c>
      <c r="E20" t="s">
        <v>20</v>
      </c>
      <c r="G20">
        <v>18</v>
      </c>
      <c r="I20" t="s">
        <v>21</v>
      </c>
    </row>
    <row r="21" spans="1:9" x14ac:dyDescent="0.3">
      <c r="A21" t="s">
        <v>50</v>
      </c>
      <c r="D21" t="s">
        <v>51</v>
      </c>
      <c r="E21" t="s">
        <v>43</v>
      </c>
      <c r="F21">
        <v>45546</v>
      </c>
      <c r="I21" t="s">
        <v>26</v>
      </c>
    </row>
    <row r="22" spans="1:9" x14ac:dyDescent="0.3">
      <c r="A22" t="s">
        <v>52</v>
      </c>
      <c r="C22" t="s">
        <v>18</v>
      </c>
      <c r="D22" t="s">
        <v>25</v>
      </c>
      <c r="E22" t="s">
        <v>29</v>
      </c>
      <c r="F22">
        <v>45547</v>
      </c>
      <c r="I22" t="s">
        <v>12</v>
      </c>
    </row>
    <row r="23" spans="1:9" x14ac:dyDescent="0.3">
      <c r="A23" t="s">
        <v>53</v>
      </c>
      <c r="B23">
        <v>35</v>
      </c>
      <c r="C23" t="s">
        <v>28</v>
      </c>
      <c r="D23" t="s">
        <v>51</v>
      </c>
      <c r="E23" t="s">
        <v>15</v>
      </c>
      <c r="F23">
        <v>45399</v>
      </c>
      <c r="H23">
        <v>1680.71</v>
      </c>
      <c r="I23" t="s">
        <v>12</v>
      </c>
    </row>
    <row r="24" spans="1:9" x14ac:dyDescent="0.3">
      <c r="A24" t="s">
        <v>54</v>
      </c>
      <c r="C24" t="s">
        <v>28</v>
      </c>
      <c r="D24" t="s">
        <v>45</v>
      </c>
      <c r="E24" t="s">
        <v>23</v>
      </c>
      <c r="F24">
        <v>45401</v>
      </c>
    </row>
    <row r="25" spans="1:9" x14ac:dyDescent="0.3">
      <c r="A25" t="s">
        <v>55</v>
      </c>
      <c r="C25" t="s">
        <v>18</v>
      </c>
      <c r="D25" t="s">
        <v>48</v>
      </c>
      <c r="E25" t="s">
        <v>20</v>
      </c>
      <c r="I25" t="s">
        <v>12</v>
      </c>
    </row>
    <row r="26" spans="1:9" x14ac:dyDescent="0.3">
      <c r="A26" t="s">
        <v>56</v>
      </c>
      <c r="B26">
        <v>36</v>
      </c>
      <c r="C26" t="s">
        <v>42</v>
      </c>
      <c r="D26" t="s">
        <v>25</v>
      </c>
      <c r="E26" t="s">
        <v>57</v>
      </c>
      <c r="F26">
        <v>45413</v>
      </c>
      <c r="I26" t="s">
        <v>12</v>
      </c>
    </row>
    <row r="27" spans="1:9" x14ac:dyDescent="0.3">
      <c r="A27" t="s">
        <v>58</v>
      </c>
      <c r="C27" t="s">
        <v>28</v>
      </c>
      <c r="E27" t="s">
        <v>11</v>
      </c>
      <c r="F27">
        <v>45383</v>
      </c>
      <c r="H27">
        <v>110.9</v>
      </c>
      <c r="I27" t="s">
        <v>16</v>
      </c>
    </row>
    <row r="28" spans="1:9" x14ac:dyDescent="0.3">
      <c r="A28" t="s">
        <v>59</v>
      </c>
      <c r="C28" t="s">
        <v>38</v>
      </c>
      <c r="E28" t="s">
        <v>43</v>
      </c>
      <c r="F28">
        <v>45336</v>
      </c>
      <c r="G28">
        <v>13</v>
      </c>
      <c r="H28">
        <v>922.99</v>
      </c>
      <c r="I28" t="s">
        <v>16</v>
      </c>
    </row>
    <row r="29" spans="1:9" x14ac:dyDescent="0.3">
      <c r="A29" t="s">
        <v>60</v>
      </c>
      <c r="B29">
        <v>33</v>
      </c>
      <c r="C29" t="s">
        <v>28</v>
      </c>
      <c r="D29" t="s">
        <v>19</v>
      </c>
      <c r="E29" t="s">
        <v>23</v>
      </c>
      <c r="F29">
        <v>45342</v>
      </c>
      <c r="I29" t="s">
        <v>21</v>
      </c>
    </row>
    <row r="30" spans="1:9" x14ac:dyDescent="0.3">
      <c r="A30" t="s">
        <v>61</v>
      </c>
      <c r="C30" t="s">
        <v>18</v>
      </c>
      <c r="D30" t="s">
        <v>45</v>
      </c>
      <c r="E30" t="s">
        <v>29</v>
      </c>
      <c r="F30">
        <v>45311</v>
      </c>
      <c r="I30" t="s">
        <v>16</v>
      </c>
    </row>
    <row r="31" spans="1:9" x14ac:dyDescent="0.3">
      <c r="A31" t="s">
        <v>62</v>
      </c>
      <c r="C31" t="s">
        <v>38</v>
      </c>
      <c r="D31" t="s">
        <v>10</v>
      </c>
      <c r="E31" t="s">
        <v>15</v>
      </c>
      <c r="F31">
        <v>45564</v>
      </c>
      <c r="I31" t="s">
        <v>26</v>
      </c>
    </row>
    <row r="32" spans="1:9" x14ac:dyDescent="0.3">
      <c r="A32" t="s">
        <v>63</v>
      </c>
      <c r="C32" t="s">
        <v>28</v>
      </c>
      <c r="D32" t="s">
        <v>19</v>
      </c>
      <c r="E32" t="s">
        <v>29</v>
      </c>
      <c r="F32">
        <v>45561</v>
      </c>
    </row>
    <row r="33" spans="1:9" x14ac:dyDescent="0.3">
      <c r="A33" t="s">
        <v>64</v>
      </c>
      <c r="B33">
        <v>56</v>
      </c>
      <c r="C33" t="s">
        <v>38</v>
      </c>
      <c r="E33" t="s">
        <v>15</v>
      </c>
      <c r="F33">
        <v>45398</v>
      </c>
    </row>
    <row r="34" spans="1:9" x14ac:dyDescent="0.3">
      <c r="A34" t="s">
        <v>65</v>
      </c>
      <c r="C34" t="s">
        <v>42</v>
      </c>
      <c r="D34" t="s">
        <v>10</v>
      </c>
      <c r="E34" t="s">
        <v>15</v>
      </c>
      <c r="F34">
        <v>45485</v>
      </c>
      <c r="I34" t="s">
        <v>21</v>
      </c>
    </row>
    <row r="35" spans="1:9" x14ac:dyDescent="0.3">
      <c r="A35" t="s">
        <v>66</v>
      </c>
      <c r="C35" t="s">
        <v>28</v>
      </c>
      <c r="D35" t="s">
        <v>48</v>
      </c>
      <c r="E35" t="s">
        <v>20</v>
      </c>
      <c r="F35">
        <v>45567</v>
      </c>
      <c r="I35" t="s">
        <v>21</v>
      </c>
    </row>
    <row r="36" spans="1:9" x14ac:dyDescent="0.3">
      <c r="A36" t="s">
        <v>67</v>
      </c>
      <c r="C36" t="s">
        <v>18</v>
      </c>
      <c r="D36" t="s">
        <v>51</v>
      </c>
      <c r="E36" t="s">
        <v>57</v>
      </c>
      <c r="H36">
        <v>293.74</v>
      </c>
      <c r="I36" t="s">
        <v>12</v>
      </c>
    </row>
    <row r="37" spans="1:9" x14ac:dyDescent="0.3">
      <c r="A37" t="s">
        <v>68</v>
      </c>
      <c r="B37">
        <v>63</v>
      </c>
      <c r="C37" t="s">
        <v>42</v>
      </c>
      <c r="E37" t="s">
        <v>34</v>
      </c>
      <c r="F37">
        <v>45456</v>
      </c>
    </row>
    <row r="38" spans="1:9" x14ac:dyDescent="0.3">
      <c r="A38" t="s">
        <v>69</v>
      </c>
      <c r="D38" t="s">
        <v>25</v>
      </c>
      <c r="E38" t="s">
        <v>57</v>
      </c>
      <c r="F38">
        <v>45515</v>
      </c>
    </row>
    <row r="39" spans="1:9" x14ac:dyDescent="0.3">
      <c r="A39" t="s">
        <v>70</v>
      </c>
      <c r="B39">
        <v>35</v>
      </c>
      <c r="C39" t="s">
        <v>18</v>
      </c>
      <c r="D39" t="s">
        <v>25</v>
      </c>
      <c r="E39" t="s">
        <v>15</v>
      </c>
      <c r="G39">
        <v>12</v>
      </c>
      <c r="I39" t="s">
        <v>16</v>
      </c>
    </row>
    <row r="40" spans="1:9" x14ac:dyDescent="0.3">
      <c r="A40" t="s">
        <v>71</v>
      </c>
      <c r="C40" t="s">
        <v>18</v>
      </c>
      <c r="D40" t="s">
        <v>25</v>
      </c>
      <c r="E40" t="s">
        <v>29</v>
      </c>
      <c r="F40">
        <v>45359</v>
      </c>
      <c r="G40">
        <v>13</v>
      </c>
      <c r="I40" t="s">
        <v>21</v>
      </c>
    </row>
    <row r="41" spans="1:9" x14ac:dyDescent="0.3">
      <c r="A41" t="s">
        <v>72</v>
      </c>
      <c r="D41" t="s">
        <v>25</v>
      </c>
      <c r="E41" t="s">
        <v>15</v>
      </c>
      <c r="F41">
        <v>45341</v>
      </c>
      <c r="I41" t="s">
        <v>21</v>
      </c>
    </row>
    <row r="42" spans="1:9" x14ac:dyDescent="0.3">
      <c r="A42" t="s">
        <v>73</v>
      </c>
      <c r="C42" t="s">
        <v>42</v>
      </c>
      <c r="D42" t="s">
        <v>25</v>
      </c>
      <c r="E42" t="s">
        <v>11</v>
      </c>
      <c r="F42">
        <v>45311</v>
      </c>
      <c r="H42">
        <v>983.3</v>
      </c>
      <c r="I42" t="s">
        <v>12</v>
      </c>
    </row>
    <row r="43" spans="1:9" x14ac:dyDescent="0.3">
      <c r="A43" t="s">
        <v>74</v>
      </c>
      <c r="C43" t="s">
        <v>42</v>
      </c>
      <c r="D43" t="s">
        <v>33</v>
      </c>
      <c r="E43" t="s">
        <v>29</v>
      </c>
      <c r="F43">
        <v>45636</v>
      </c>
      <c r="G43">
        <v>2</v>
      </c>
    </row>
    <row r="44" spans="1:9" x14ac:dyDescent="0.3">
      <c r="A44" t="s">
        <v>75</v>
      </c>
      <c r="B44">
        <v>73</v>
      </c>
      <c r="C44" t="s">
        <v>18</v>
      </c>
      <c r="D44" t="s">
        <v>51</v>
      </c>
      <c r="E44" t="s">
        <v>29</v>
      </c>
      <c r="F44">
        <v>45473</v>
      </c>
      <c r="I44" t="s">
        <v>12</v>
      </c>
    </row>
    <row r="45" spans="1:9" x14ac:dyDescent="0.3">
      <c r="A45" t="s">
        <v>76</v>
      </c>
      <c r="C45" t="s">
        <v>42</v>
      </c>
      <c r="D45" t="s">
        <v>48</v>
      </c>
      <c r="E45" t="s">
        <v>57</v>
      </c>
      <c r="F45">
        <v>45499</v>
      </c>
      <c r="G45">
        <v>6</v>
      </c>
      <c r="H45">
        <v>1044.6199999999999</v>
      </c>
      <c r="I45" t="s">
        <v>12</v>
      </c>
    </row>
    <row r="46" spans="1:9" x14ac:dyDescent="0.3">
      <c r="A46" t="s">
        <v>77</v>
      </c>
      <c r="B46">
        <v>53</v>
      </c>
      <c r="C46" t="s">
        <v>28</v>
      </c>
      <c r="D46" t="s">
        <v>48</v>
      </c>
      <c r="E46" t="s">
        <v>11</v>
      </c>
      <c r="F46">
        <v>45424</v>
      </c>
      <c r="I46" t="s">
        <v>16</v>
      </c>
    </row>
    <row r="47" spans="1:9" x14ac:dyDescent="0.3">
      <c r="A47" t="s">
        <v>78</v>
      </c>
      <c r="C47" t="s">
        <v>18</v>
      </c>
      <c r="D47" t="s">
        <v>19</v>
      </c>
      <c r="E47" t="s">
        <v>34</v>
      </c>
      <c r="F47">
        <v>45328</v>
      </c>
      <c r="G47">
        <v>16</v>
      </c>
      <c r="I47" t="s">
        <v>26</v>
      </c>
    </row>
    <row r="48" spans="1:9" x14ac:dyDescent="0.3">
      <c r="A48" t="s">
        <v>79</v>
      </c>
      <c r="C48" t="s">
        <v>42</v>
      </c>
      <c r="D48" t="s">
        <v>48</v>
      </c>
      <c r="E48" t="s">
        <v>23</v>
      </c>
      <c r="I48" t="s">
        <v>21</v>
      </c>
    </row>
    <row r="49" spans="1:9" x14ac:dyDescent="0.3">
      <c r="A49" t="s">
        <v>80</v>
      </c>
      <c r="C49" t="s">
        <v>42</v>
      </c>
      <c r="D49" t="s">
        <v>45</v>
      </c>
      <c r="E49" t="s">
        <v>34</v>
      </c>
      <c r="F49">
        <v>45413</v>
      </c>
      <c r="H49">
        <v>138.9</v>
      </c>
      <c r="I49" t="s">
        <v>12</v>
      </c>
    </row>
    <row r="50" spans="1:9" x14ac:dyDescent="0.3">
      <c r="A50" t="s">
        <v>81</v>
      </c>
      <c r="C50" t="s">
        <v>42</v>
      </c>
      <c r="E50" t="s">
        <v>23</v>
      </c>
      <c r="F50">
        <v>45573</v>
      </c>
      <c r="H50">
        <v>1153.24</v>
      </c>
      <c r="I50" t="s">
        <v>16</v>
      </c>
    </row>
    <row r="51" spans="1:9" x14ac:dyDescent="0.3">
      <c r="A51" t="s">
        <v>82</v>
      </c>
      <c r="B51">
        <v>78</v>
      </c>
      <c r="C51" t="s">
        <v>38</v>
      </c>
      <c r="D51" t="s">
        <v>48</v>
      </c>
      <c r="E51" t="s">
        <v>34</v>
      </c>
      <c r="F51">
        <v>45489</v>
      </c>
      <c r="H51">
        <v>1237.9000000000001</v>
      </c>
    </row>
    <row r="52" spans="1:9" x14ac:dyDescent="0.3">
      <c r="A52" t="s">
        <v>83</v>
      </c>
      <c r="C52" t="s">
        <v>28</v>
      </c>
      <c r="D52" t="s">
        <v>14</v>
      </c>
      <c r="E52" t="s">
        <v>23</v>
      </c>
      <c r="F52">
        <v>45451</v>
      </c>
    </row>
    <row r="53" spans="1:9" x14ac:dyDescent="0.3">
      <c r="A53" t="s">
        <v>84</v>
      </c>
      <c r="C53" t="s">
        <v>42</v>
      </c>
      <c r="D53" t="s">
        <v>33</v>
      </c>
      <c r="E53" t="s">
        <v>15</v>
      </c>
      <c r="F53">
        <v>45313</v>
      </c>
      <c r="G53">
        <v>13</v>
      </c>
      <c r="I53" t="s">
        <v>16</v>
      </c>
    </row>
    <row r="54" spans="1:9" x14ac:dyDescent="0.3">
      <c r="A54" t="s">
        <v>85</v>
      </c>
      <c r="C54" t="s">
        <v>18</v>
      </c>
      <c r="D54" t="s">
        <v>25</v>
      </c>
      <c r="E54" t="s">
        <v>15</v>
      </c>
      <c r="G54">
        <v>8</v>
      </c>
      <c r="I54" t="s">
        <v>26</v>
      </c>
    </row>
    <row r="55" spans="1:9" x14ac:dyDescent="0.3">
      <c r="A55" t="s">
        <v>86</v>
      </c>
      <c r="B55">
        <v>33</v>
      </c>
      <c r="C55" t="s">
        <v>38</v>
      </c>
      <c r="D55" t="s">
        <v>51</v>
      </c>
      <c r="E55" t="s">
        <v>29</v>
      </c>
      <c r="F55">
        <v>45525</v>
      </c>
      <c r="H55">
        <v>1075.08</v>
      </c>
      <c r="I55" t="s">
        <v>12</v>
      </c>
    </row>
    <row r="56" spans="1:9" x14ac:dyDescent="0.3">
      <c r="A56" t="s">
        <v>87</v>
      </c>
      <c r="C56" t="s">
        <v>28</v>
      </c>
      <c r="D56" t="s">
        <v>51</v>
      </c>
      <c r="E56" t="s">
        <v>57</v>
      </c>
      <c r="F56">
        <v>45619</v>
      </c>
    </row>
    <row r="57" spans="1:9" x14ac:dyDescent="0.3">
      <c r="A57" t="s">
        <v>88</v>
      </c>
      <c r="D57" t="s">
        <v>25</v>
      </c>
      <c r="E57" t="s">
        <v>34</v>
      </c>
      <c r="F57">
        <v>45450</v>
      </c>
      <c r="I57" t="s">
        <v>16</v>
      </c>
    </row>
    <row r="58" spans="1:9" x14ac:dyDescent="0.3">
      <c r="A58" t="s">
        <v>32</v>
      </c>
      <c r="C58" t="s">
        <v>28</v>
      </c>
      <c r="D58" t="s">
        <v>19</v>
      </c>
      <c r="E58" t="s">
        <v>29</v>
      </c>
      <c r="H58">
        <v>117.44</v>
      </c>
      <c r="I58" t="s">
        <v>21</v>
      </c>
    </row>
    <row r="59" spans="1:9" x14ac:dyDescent="0.3">
      <c r="A59" t="s">
        <v>89</v>
      </c>
      <c r="D59" t="s">
        <v>25</v>
      </c>
      <c r="E59" t="s">
        <v>43</v>
      </c>
      <c r="F59">
        <v>45344</v>
      </c>
      <c r="G59">
        <v>9</v>
      </c>
      <c r="I59" t="s">
        <v>12</v>
      </c>
    </row>
    <row r="60" spans="1:9" x14ac:dyDescent="0.3">
      <c r="A60" t="s">
        <v>90</v>
      </c>
      <c r="C60" t="s">
        <v>38</v>
      </c>
      <c r="D60" t="s">
        <v>25</v>
      </c>
      <c r="E60" t="s">
        <v>20</v>
      </c>
      <c r="F60">
        <v>45399</v>
      </c>
      <c r="H60">
        <v>301.39</v>
      </c>
      <c r="I60" t="s">
        <v>12</v>
      </c>
    </row>
    <row r="61" spans="1:9" x14ac:dyDescent="0.3">
      <c r="A61" t="s">
        <v>91</v>
      </c>
      <c r="C61" t="s">
        <v>28</v>
      </c>
      <c r="E61" t="s">
        <v>11</v>
      </c>
      <c r="F61">
        <v>45491</v>
      </c>
      <c r="I61" t="s">
        <v>12</v>
      </c>
    </row>
    <row r="62" spans="1:9" x14ac:dyDescent="0.3">
      <c r="A62" t="s">
        <v>92</v>
      </c>
      <c r="D62" t="s">
        <v>10</v>
      </c>
      <c r="E62" t="s">
        <v>20</v>
      </c>
      <c r="F62">
        <v>45589</v>
      </c>
      <c r="G62">
        <v>11</v>
      </c>
      <c r="I62" t="s">
        <v>21</v>
      </c>
    </row>
    <row r="63" spans="1:9" x14ac:dyDescent="0.3">
      <c r="A63" t="s">
        <v>93</v>
      </c>
      <c r="B63">
        <v>57</v>
      </c>
      <c r="C63" t="s">
        <v>28</v>
      </c>
      <c r="D63" t="s">
        <v>51</v>
      </c>
      <c r="E63" t="s">
        <v>57</v>
      </c>
      <c r="F63">
        <v>45330</v>
      </c>
      <c r="G63">
        <v>20</v>
      </c>
      <c r="I63" t="s">
        <v>12</v>
      </c>
    </row>
    <row r="64" spans="1:9" x14ac:dyDescent="0.3">
      <c r="A64" t="s">
        <v>94</v>
      </c>
      <c r="C64" t="s">
        <v>38</v>
      </c>
      <c r="E64" t="s">
        <v>34</v>
      </c>
      <c r="F64">
        <v>45479</v>
      </c>
      <c r="I64" t="s">
        <v>16</v>
      </c>
    </row>
    <row r="65" spans="1:9" x14ac:dyDescent="0.3">
      <c r="A65" t="s">
        <v>86</v>
      </c>
      <c r="B65">
        <v>84</v>
      </c>
      <c r="C65" t="s">
        <v>38</v>
      </c>
      <c r="D65" t="s">
        <v>48</v>
      </c>
      <c r="E65" t="s">
        <v>57</v>
      </c>
      <c r="F65">
        <v>45496</v>
      </c>
      <c r="H65">
        <v>1663.91</v>
      </c>
      <c r="I65" t="s">
        <v>12</v>
      </c>
    </row>
    <row r="66" spans="1:9" x14ac:dyDescent="0.3">
      <c r="A66" t="s">
        <v>95</v>
      </c>
      <c r="B66">
        <v>87</v>
      </c>
      <c r="C66" t="s">
        <v>28</v>
      </c>
      <c r="D66" t="s">
        <v>14</v>
      </c>
      <c r="E66" t="s">
        <v>57</v>
      </c>
      <c r="F66">
        <v>45491</v>
      </c>
      <c r="H66">
        <v>387.49</v>
      </c>
    </row>
    <row r="67" spans="1:9" x14ac:dyDescent="0.3">
      <c r="A67" t="s">
        <v>53</v>
      </c>
      <c r="E67" t="s">
        <v>34</v>
      </c>
      <c r="F67">
        <v>45373</v>
      </c>
      <c r="I67" t="s">
        <v>21</v>
      </c>
    </row>
    <row r="68" spans="1:9" x14ac:dyDescent="0.3">
      <c r="A68" t="s">
        <v>96</v>
      </c>
      <c r="C68" t="s">
        <v>42</v>
      </c>
      <c r="D68" t="s">
        <v>48</v>
      </c>
      <c r="E68" t="s">
        <v>57</v>
      </c>
      <c r="F68">
        <v>45463</v>
      </c>
      <c r="I68" t="s">
        <v>26</v>
      </c>
    </row>
    <row r="69" spans="1:9" x14ac:dyDescent="0.3">
      <c r="A69" t="s">
        <v>97</v>
      </c>
      <c r="C69" t="s">
        <v>38</v>
      </c>
      <c r="D69" t="s">
        <v>10</v>
      </c>
      <c r="E69" t="s">
        <v>15</v>
      </c>
      <c r="F69">
        <v>45559</v>
      </c>
      <c r="I69" t="s">
        <v>21</v>
      </c>
    </row>
    <row r="70" spans="1:9" x14ac:dyDescent="0.3">
      <c r="A70" t="s">
        <v>98</v>
      </c>
      <c r="B70">
        <v>62</v>
      </c>
      <c r="D70" t="s">
        <v>33</v>
      </c>
      <c r="E70" t="s">
        <v>23</v>
      </c>
      <c r="F70">
        <v>45502</v>
      </c>
      <c r="G70">
        <v>13</v>
      </c>
      <c r="I70" t="s">
        <v>26</v>
      </c>
    </row>
    <row r="71" spans="1:9" x14ac:dyDescent="0.3">
      <c r="A71" t="s">
        <v>99</v>
      </c>
      <c r="B71">
        <v>36</v>
      </c>
      <c r="C71" t="s">
        <v>18</v>
      </c>
      <c r="D71" t="s">
        <v>48</v>
      </c>
      <c r="E71" t="s">
        <v>29</v>
      </c>
      <c r="F71">
        <v>45507</v>
      </c>
      <c r="H71">
        <v>776.02</v>
      </c>
      <c r="I71" t="s">
        <v>12</v>
      </c>
    </row>
    <row r="72" spans="1:9" x14ac:dyDescent="0.3">
      <c r="A72" t="s">
        <v>100</v>
      </c>
      <c r="C72" t="s">
        <v>38</v>
      </c>
      <c r="D72" t="s">
        <v>14</v>
      </c>
      <c r="E72" t="s">
        <v>20</v>
      </c>
      <c r="F72">
        <v>45322</v>
      </c>
      <c r="H72">
        <v>1310.04</v>
      </c>
      <c r="I72" t="s">
        <v>21</v>
      </c>
    </row>
    <row r="73" spans="1:9" x14ac:dyDescent="0.3">
      <c r="A73" t="s">
        <v>101</v>
      </c>
      <c r="B73">
        <v>31</v>
      </c>
      <c r="E73" t="s">
        <v>57</v>
      </c>
      <c r="F73">
        <v>45452</v>
      </c>
      <c r="H73">
        <v>466.03</v>
      </c>
      <c r="I73" t="s">
        <v>12</v>
      </c>
    </row>
    <row r="74" spans="1:9" x14ac:dyDescent="0.3">
      <c r="A74" t="s">
        <v>102</v>
      </c>
      <c r="C74" t="s">
        <v>38</v>
      </c>
      <c r="D74" t="s">
        <v>33</v>
      </c>
      <c r="E74" t="s">
        <v>15</v>
      </c>
      <c r="F74">
        <v>45498</v>
      </c>
      <c r="I74" t="s">
        <v>16</v>
      </c>
    </row>
    <row r="75" spans="1:9" x14ac:dyDescent="0.3">
      <c r="A75" t="s">
        <v>103</v>
      </c>
      <c r="B75">
        <v>24</v>
      </c>
      <c r="C75" t="s">
        <v>42</v>
      </c>
      <c r="D75" t="s">
        <v>25</v>
      </c>
      <c r="E75" t="s">
        <v>23</v>
      </c>
      <c r="F75">
        <v>45496</v>
      </c>
      <c r="I75" t="s">
        <v>12</v>
      </c>
    </row>
    <row r="76" spans="1:9" x14ac:dyDescent="0.3">
      <c r="A76" t="s">
        <v>104</v>
      </c>
      <c r="C76" t="s">
        <v>28</v>
      </c>
      <c r="D76" t="s">
        <v>51</v>
      </c>
      <c r="E76" t="s">
        <v>34</v>
      </c>
      <c r="F76">
        <v>45522</v>
      </c>
    </row>
    <row r="77" spans="1:9" x14ac:dyDescent="0.3">
      <c r="A77" t="s">
        <v>105</v>
      </c>
      <c r="C77" t="s">
        <v>18</v>
      </c>
      <c r="D77" t="s">
        <v>51</v>
      </c>
      <c r="E77" t="s">
        <v>11</v>
      </c>
      <c r="G77">
        <v>18</v>
      </c>
      <c r="H77">
        <v>335.28</v>
      </c>
      <c r="I77" t="s">
        <v>12</v>
      </c>
    </row>
    <row r="78" spans="1:9" x14ac:dyDescent="0.3">
      <c r="A78" t="s">
        <v>71</v>
      </c>
      <c r="B78">
        <v>85</v>
      </c>
      <c r="D78" t="s">
        <v>19</v>
      </c>
      <c r="E78" t="s">
        <v>23</v>
      </c>
      <c r="F78">
        <v>45606</v>
      </c>
      <c r="I78" t="s">
        <v>26</v>
      </c>
    </row>
    <row r="79" spans="1:9" x14ac:dyDescent="0.3">
      <c r="A79" t="s">
        <v>106</v>
      </c>
      <c r="C79" t="s">
        <v>18</v>
      </c>
      <c r="D79" t="s">
        <v>19</v>
      </c>
      <c r="E79" t="s">
        <v>43</v>
      </c>
      <c r="F79">
        <v>45390</v>
      </c>
      <c r="G79">
        <v>7</v>
      </c>
      <c r="I79" t="s">
        <v>21</v>
      </c>
    </row>
    <row r="80" spans="1:9" x14ac:dyDescent="0.3">
      <c r="A80" t="s">
        <v>107</v>
      </c>
      <c r="C80" t="s">
        <v>38</v>
      </c>
      <c r="D80" t="s">
        <v>10</v>
      </c>
      <c r="E80" t="s">
        <v>15</v>
      </c>
      <c r="F80">
        <v>45576</v>
      </c>
      <c r="H80">
        <v>185.72</v>
      </c>
      <c r="I80" t="s">
        <v>21</v>
      </c>
    </row>
    <row r="81" spans="1:9" x14ac:dyDescent="0.3">
      <c r="A81" t="s">
        <v>108</v>
      </c>
      <c r="B81">
        <v>78</v>
      </c>
      <c r="D81" t="s">
        <v>51</v>
      </c>
      <c r="E81" t="s">
        <v>34</v>
      </c>
      <c r="F81">
        <v>45485</v>
      </c>
      <c r="H81">
        <v>262.12</v>
      </c>
    </row>
    <row r="82" spans="1:9" x14ac:dyDescent="0.3">
      <c r="A82" t="s">
        <v>109</v>
      </c>
      <c r="C82" t="s">
        <v>38</v>
      </c>
      <c r="D82" t="s">
        <v>45</v>
      </c>
      <c r="E82" t="s">
        <v>43</v>
      </c>
      <c r="F82">
        <v>45444</v>
      </c>
      <c r="H82">
        <v>210.37</v>
      </c>
      <c r="I82" t="s">
        <v>12</v>
      </c>
    </row>
    <row r="83" spans="1:9" x14ac:dyDescent="0.3">
      <c r="A83" t="s">
        <v>110</v>
      </c>
      <c r="C83" t="s">
        <v>18</v>
      </c>
      <c r="D83" t="s">
        <v>45</v>
      </c>
      <c r="E83" t="s">
        <v>11</v>
      </c>
      <c r="F83">
        <v>45580</v>
      </c>
      <c r="H83">
        <v>1660.69</v>
      </c>
      <c r="I83" t="s">
        <v>16</v>
      </c>
    </row>
    <row r="84" spans="1:9" x14ac:dyDescent="0.3">
      <c r="A84" t="s">
        <v>111</v>
      </c>
      <c r="C84" t="s">
        <v>18</v>
      </c>
      <c r="D84" t="s">
        <v>14</v>
      </c>
      <c r="E84" t="s">
        <v>11</v>
      </c>
      <c r="F84">
        <v>45384</v>
      </c>
      <c r="H84">
        <v>1201.77</v>
      </c>
      <c r="I84" t="s">
        <v>26</v>
      </c>
    </row>
    <row r="85" spans="1:9" x14ac:dyDescent="0.3">
      <c r="A85" t="s">
        <v>112</v>
      </c>
      <c r="C85" t="s">
        <v>38</v>
      </c>
      <c r="D85" t="s">
        <v>10</v>
      </c>
      <c r="E85" t="s">
        <v>43</v>
      </c>
      <c r="F85">
        <v>45500</v>
      </c>
      <c r="H85">
        <v>312.55</v>
      </c>
    </row>
    <row r="86" spans="1:9" x14ac:dyDescent="0.3">
      <c r="A86" t="s">
        <v>113</v>
      </c>
      <c r="C86" t="s">
        <v>42</v>
      </c>
      <c r="D86" t="s">
        <v>19</v>
      </c>
      <c r="E86" t="s">
        <v>43</v>
      </c>
      <c r="G86">
        <v>11</v>
      </c>
      <c r="I86" t="s">
        <v>12</v>
      </c>
    </row>
    <row r="87" spans="1:9" x14ac:dyDescent="0.3">
      <c r="A87" t="s">
        <v>114</v>
      </c>
      <c r="B87">
        <v>74</v>
      </c>
      <c r="C87" t="s">
        <v>42</v>
      </c>
      <c r="D87" t="s">
        <v>51</v>
      </c>
      <c r="E87" t="s">
        <v>34</v>
      </c>
      <c r="F87">
        <v>45625</v>
      </c>
      <c r="I87" t="s">
        <v>12</v>
      </c>
    </row>
    <row r="88" spans="1:9" x14ac:dyDescent="0.3">
      <c r="A88" t="s">
        <v>115</v>
      </c>
      <c r="D88" t="s">
        <v>25</v>
      </c>
      <c r="E88" t="s">
        <v>23</v>
      </c>
      <c r="F88">
        <v>45572</v>
      </c>
      <c r="I88" t="s">
        <v>16</v>
      </c>
    </row>
    <row r="89" spans="1:9" x14ac:dyDescent="0.3">
      <c r="A89" t="s">
        <v>116</v>
      </c>
      <c r="B89">
        <v>35</v>
      </c>
      <c r="C89" t="s">
        <v>42</v>
      </c>
      <c r="D89" t="s">
        <v>33</v>
      </c>
      <c r="E89" t="s">
        <v>34</v>
      </c>
      <c r="F89">
        <v>45334</v>
      </c>
      <c r="I89" t="s">
        <v>21</v>
      </c>
    </row>
    <row r="90" spans="1:9" x14ac:dyDescent="0.3">
      <c r="A90" t="s">
        <v>117</v>
      </c>
      <c r="B90">
        <v>35</v>
      </c>
      <c r="C90" t="s">
        <v>28</v>
      </c>
      <c r="D90" t="s">
        <v>51</v>
      </c>
      <c r="E90" t="s">
        <v>43</v>
      </c>
      <c r="F90">
        <v>45523</v>
      </c>
      <c r="H90">
        <v>1110.45</v>
      </c>
      <c r="I90" t="s">
        <v>21</v>
      </c>
    </row>
    <row r="91" spans="1:9" x14ac:dyDescent="0.3">
      <c r="A91" t="s">
        <v>118</v>
      </c>
      <c r="C91" t="s">
        <v>18</v>
      </c>
      <c r="E91" t="s">
        <v>15</v>
      </c>
      <c r="F91">
        <v>45293</v>
      </c>
      <c r="G91">
        <v>12</v>
      </c>
      <c r="I91" t="s">
        <v>26</v>
      </c>
    </row>
    <row r="92" spans="1:9" x14ac:dyDescent="0.3">
      <c r="A92" t="s">
        <v>36</v>
      </c>
      <c r="C92" t="s">
        <v>18</v>
      </c>
      <c r="D92" t="s">
        <v>48</v>
      </c>
      <c r="E92" t="s">
        <v>20</v>
      </c>
      <c r="H92">
        <v>1200.1199999999999</v>
      </c>
    </row>
    <row r="93" spans="1:9" x14ac:dyDescent="0.3">
      <c r="A93" t="s">
        <v>119</v>
      </c>
      <c r="C93" t="s">
        <v>18</v>
      </c>
      <c r="D93" t="s">
        <v>33</v>
      </c>
      <c r="E93" t="s">
        <v>23</v>
      </c>
      <c r="F93">
        <v>45489</v>
      </c>
      <c r="G93">
        <v>13</v>
      </c>
      <c r="H93">
        <v>699.03</v>
      </c>
      <c r="I93" t="s">
        <v>21</v>
      </c>
    </row>
    <row r="94" spans="1:9" x14ac:dyDescent="0.3">
      <c r="A94" t="s">
        <v>120</v>
      </c>
      <c r="D94" t="s">
        <v>48</v>
      </c>
      <c r="E94" t="s">
        <v>34</v>
      </c>
      <c r="F94">
        <v>45635</v>
      </c>
      <c r="I94" t="s">
        <v>26</v>
      </c>
    </row>
    <row r="95" spans="1:9" x14ac:dyDescent="0.3">
      <c r="A95" t="s">
        <v>121</v>
      </c>
      <c r="E95" t="s">
        <v>29</v>
      </c>
      <c r="F95">
        <v>45645</v>
      </c>
      <c r="I95" t="s">
        <v>21</v>
      </c>
    </row>
    <row r="96" spans="1:9" x14ac:dyDescent="0.3">
      <c r="A96" t="s">
        <v>122</v>
      </c>
      <c r="C96" t="s">
        <v>28</v>
      </c>
      <c r="D96" t="s">
        <v>45</v>
      </c>
      <c r="E96" t="s">
        <v>57</v>
      </c>
      <c r="I96" t="s">
        <v>26</v>
      </c>
    </row>
    <row r="97" spans="1:9" x14ac:dyDescent="0.3">
      <c r="A97" t="s">
        <v>123</v>
      </c>
      <c r="D97" t="s">
        <v>19</v>
      </c>
      <c r="E97" t="s">
        <v>29</v>
      </c>
      <c r="F97">
        <v>45416</v>
      </c>
      <c r="I97" t="s">
        <v>21</v>
      </c>
    </row>
    <row r="98" spans="1:9" x14ac:dyDescent="0.3">
      <c r="A98" t="s">
        <v>124</v>
      </c>
      <c r="D98" t="s">
        <v>45</v>
      </c>
      <c r="E98" t="s">
        <v>15</v>
      </c>
      <c r="H98">
        <v>1618.3</v>
      </c>
      <c r="I98" t="s">
        <v>16</v>
      </c>
    </row>
    <row r="99" spans="1:9" x14ac:dyDescent="0.3">
      <c r="A99" t="s">
        <v>125</v>
      </c>
      <c r="C99" t="s">
        <v>42</v>
      </c>
      <c r="D99" t="s">
        <v>33</v>
      </c>
      <c r="E99" t="s">
        <v>11</v>
      </c>
      <c r="G99">
        <v>15</v>
      </c>
      <c r="I99" t="s">
        <v>26</v>
      </c>
    </row>
    <row r="100" spans="1:9" x14ac:dyDescent="0.3">
      <c r="A100" t="s">
        <v>126</v>
      </c>
      <c r="B100">
        <v>68</v>
      </c>
      <c r="C100" t="s">
        <v>42</v>
      </c>
      <c r="D100" t="s">
        <v>10</v>
      </c>
      <c r="E100" t="s">
        <v>43</v>
      </c>
      <c r="F100">
        <v>45563</v>
      </c>
      <c r="H100">
        <v>1187.5999999999999</v>
      </c>
      <c r="I100" t="s">
        <v>26</v>
      </c>
    </row>
    <row r="101" spans="1:9" x14ac:dyDescent="0.3">
      <c r="A101" t="s">
        <v>127</v>
      </c>
      <c r="B101">
        <v>78</v>
      </c>
      <c r="C101" t="s">
        <v>18</v>
      </c>
      <c r="D101" t="s">
        <v>33</v>
      </c>
      <c r="E101" t="s">
        <v>43</v>
      </c>
      <c r="F101">
        <v>45365</v>
      </c>
      <c r="I101" t="s">
        <v>21</v>
      </c>
    </row>
    <row r="102" spans="1:9" x14ac:dyDescent="0.3">
      <c r="A102" t="s">
        <v>128</v>
      </c>
      <c r="B102">
        <v>89</v>
      </c>
      <c r="C102" t="s">
        <v>28</v>
      </c>
      <c r="D102" t="s">
        <v>33</v>
      </c>
      <c r="E102" t="s">
        <v>34</v>
      </c>
      <c r="F102">
        <v>45380</v>
      </c>
      <c r="H102">
        <v>502.99</v>
      </c>
      <c r="I102" t="s">
        <v>16</v>
      </c>
    </row>
    <row r="103" spans="1:9" x14ac:dyDescent="0.3">
      <c r="A103" t="s">
        <v>129</v>
      </c>
      <c r="C103" t="s">
        <v>18</v>
      </c>
      <c r="D103" t="s">
        <v>19</v>
      </c>
      <c r="E103" t="s">
        <v>11</v>
      </c>
      <c r="F103">
        <v>45463</v>
      </c>
      <c r="G103">
        <v>3</v>
      </c>
    </row>
    <row r="104" spans="1:9" x14ac:dyDescent="0.3">
      <c r="A104" t="s">
        <v>130</v>
      </c>
      <c r="C104" t="s">
        <v>18</v>
      </c>
      <c r="D104" t="s">
        <v>19</v>
      </c>
      <c r="E104" t="s">
        <v>11</v>
      </c>
      <c r="F104">
        <v>45632</v>
      </c>
      <c r="H104">
        <v>1067.8399999999999</v>
      </c>
      <c r="I104" t="s">
        <v>12</v>
      </c>
    </row>
    <row r="105" spans="1:9" x14ac:dyDescent="0.3">
      <c r="A105" t="s">
        <v>131</v>
      </c>
      <c r="C105" t="s">
        <v>42</v>
      </c>
      <c r="D105" t="s">
        <v>14</v>
      </c>
      <c r="E105" t="s">
        <v>34</v>
      </c>
      <c r="F105">
        <v>45359</v>
      </c>
      <c r="H105">
        <v>1837.64</v>
      </c>
      <c r="I105" t="s">
        <v>26</v>
      </c>
    </row>
    <row r="106" spans="1:9" x14ac:dyDescent="0.3">
      <c r="A106" t="s">
        <v>132</v>
      </c>
      <c r="B106">
        <v>29</v>
      </c>
      <c r="C106" t="s">
        <v>42</v>
      </c>
      <c r="D106" t="s">
        <v>51</v>
      </c>
      <c r="E106" t="s">
        <v>11</v>
      </c>
      <c r="F106">
        <v>45583</v>
      </c>
      <c r="G106">
        <v>10</v>
      </c>
      <c r="I106" t="s">
        <v>21</v>
      </c>
    </row>
    <row r="107" spans="1:9" x14ac:dyDescent="0.3">
      <c r="A107" t="s">
        <v>133</v>
      </c>
      <c r="C107" t="s">
        <v>18</v>
      </c>
      <c r="D107" t="s">
        <v>45</v>
      </c>
      <c r="E107" t="s">
        <v>43</v>
      </c>
      <c r="F107">
        <v>45610</v>
      </c>
      <c r="G107">
        <v>13</v>
      </c>
      <c r="I107" t="s">
        <v>26</v>
      </c>
    </row>
    <row r="108" spans="1:9" x14ac:dyDescent="0.3">
      <c r="A108" t="s">
        <v>134</v>
      </c>
      <c r="C108" t="s">
        <v>18</v>
      </c>
      <c r="D108" t="s">
        <v>51</v>
      </c>
      <c r="E108" t="s">
        <v>15</v>
      </c>
      <c r="F108">
        <v>45308</v>
      </c>
      <c r="I108" t="s">
        <v>16</v>
      </c>
    </row>
    <row r="109" spans="1:9" x14ac:dyDescent="0.3">
      <c r="A109" t="s">
        <v>135</v>
      </c>
      <c r="C109" t="s">
        <v>38</v>
      </c>
      <c r="E109" t="s">
        <v>57</v>
      </c>
      <c r="F109">
        <v>45634</v>
      </c>
      <c r="H109">
        <v>1590.62</v>
      </c>
    </row>
    <row r="110" spans="1:9" x14ac:dyDescent="0.3">
      <c r="A110" t="s">
        <v>136</v>
      </c>
      <c r="B110">
        <v>51</v>
      </c>
      <c r="C110" t="s">
        <v>38</v>
      </c>
      <c r="D110" t="s">
        <v>51</v>
      </c>
      <c r="E110" t="s">
        <v>43</v>
      </c>
      <c r="H110">
        <v>1942.44</v>
      </c>
      <c r="I110" t="s">
        <v>21</v>
      </c>
    </row>
    <row r="111" spans="1:9" x14ac:dyDescent="0.3">
      <c r="A111" t="s">
        <v>137</v>
      </c>
      <c r="C111" t="s">
        <v>42</v>
      </c>
      <c r="D111" t="s">
        <v>51</v>
      </c>
      <c r="E111" t="s">
        <v>57</v>
      </c>
      <c r="F111">
        <v>45603</v>
      </c>
      <c r="H111">
        <v>1457.35</v>
      </c>
      <c r="I111" t="s">
        <v>21</v>
      </c>
    </row>
    <row r="112" spans="1:9" x14ac:dyDescent="0.3">
      <c r="A112" t="s">
        <v>138</v>
      </c>
      <c r="B112">
        <v>72</v>
      </c>
      <c r="C112" t="s">
        <v>42</v>
      </c>
      <c r="E112" t="s">
        <v>11</v>
      </c>
      <c r="F112">
        <v>45451</v>
      </c>
      <c r="I112" t="s">
        <v>16</v>
      </c>
    </row>
    <row r="113" spans="1:9" x14ac:dyDescent="0.3">
      <c r="A113" t="s">
        <v>139</v>
      </c>
      <c r="C113" t="s">
        <v>28</v>
      </c>
      <c r="D113" t="s">
        <v>25</v>
      </c>
      <c r="E113" t="s">
        <v>23</v>
      </c>
    </row>
    <row r="114" spans="1:9" x14ac:dyDescent="0.3">
      <c r="A114" t="s">
        <v>140</v>
      </c>
      <c r="C114" t="s">
        <v>18</v>
      </c>
      <c r="D114" t="s">
        <v>48</v>
      </c>
      <c r="E114" t="s">
        <v>11</v>
      </c>
      <c r="H114">
        <v>1500.08</v>
      </c>
    </row>
    <row r="115" spans="1:9" x14ac:dyDescent="0.3">
      <c r="A115" t="s">
        <v>22</v>
      </c>
      <c r="C115" t="s">
        <v>28</v>
      </c>
      <c r="D115" t="s">
        <v>19</v>
      </c>
      <c r="E115" t="s">
        <v>15</v>
      </c>
      <c r="F115">
        <v>45444</v>
      </c>
      <c r="G115">
        <v>3</v>
      </c>
      <c r="I115" t="s">
        <v>16</v>
      </c>
    </row>
    <row r="116" spans="1:9" x14ac:dyDescent="0.3">
      <c r="A116" t="s">
        <v>141</v>
      </c>
      <c r="B116">
        <v>77</v>
      </c>
      <c r="C116" t="s">
        <v>42</v>
      </c>
      <c r="D116" t="s">
        <v>51</v>
      </c>
      <c r="E116" t="s">
        <v>29</v>
      </c>
      <c r="F116">
        <v>45506</v>
      </c>
      <c r="I116" t="s">
        <v>21</v>
      </c>
    </row>
    <row r="117" spans="1:9" x14ac:dyDescent="0.3">
      <c r="A117" t="s">
        <v>79</v>
      </c>
      <c r="C117" t="s">
        <v>38</v>
      </c>
      <c r="D117" t="s">
        <v>48</v>
      </c>
      <c r="E117" t="s">
        <v>23</v>
      </c>
      <c r="F117">
        <v>45467</v>
      </c>
      <c r="G117">
        <v>19</v>
      </c>
      <c r="I117" t="s">
        <v>12</v>
      </c>
    </row>
    <row r="118" spans="1:9" x14ac:dyDescent="0.3">
      <c r="A118" t="s">
        <v>142</v>
      </c>
      <c r="C118" t="s">
        <v>28</v>
      </c>
      <c r="D118" t="s">
        <v>10</v>
      </c>
      <c r="E118" t="s">
        <v>20</v>
      </c>
      <c r="F118">
        <v>45418</v>
      </c>
      <c r="H118">
        <v>439.14</v>
      </c>
      <c r="I118" t="s">
        <v>16</v>
      </c>
    </row>
    <row r="119" spans="1:9" x14ac:dyDescent="0.3">
      <c r="A119" t="s">
        <v>143</v>
      </c>
      <c r="C119" t="s">
        <v>28</v>
      </c>
      <c r="D119" t="s">
        <v>19</v>
      </c>
      <c r="E119" t="s">
        <v>23</v>
      </c>
      <c r="F119">
        <v>45541</v>
      </c>
      <c r="I119" t="s">
        <v>12</v>
      </c>
    </row>
    <row r="120" spans="1:9" x14ac:dyDescent="0.3">
      <c r="A120" t="s">
        <v>144</v>
      </c>
      <c r="C120" t="s">
        <v>28</v>
      </c>
      <c r="D120" t="s">
        <v>51</v>
      </c>
      <c r="E120" t="s">
        <v>57</v>
      </c>
      <c r="F120">
        <v>45554</v>
      </c>
      <c r="H120">
        <v>242.68</v>
      </c>
      <c r="I120" t="s">
        <v>21</v>
      </c>
    </row>
    <row r="121" spans="1:9" x14ac:dyDescent="0.3">
      <c r="A121" t="s">
        <v>91</v>
      </c>
      <c r="C121" t="s">
        <v>28</v>
      </c>
      <c r="E121" t="s">
        <v>23</v>
      </c>
      <c r="F121">
        <v>45302</v>
      </c>
      <c r="G121">
        <v>15</v>
      </c>
    </row>
    <row r="122" spans="1:9" x14ac:dyDescent="0.3">
      <c r="A122" t="s">
        <v>145</v>
      </c>
      <c r="B122">
        <v>80</v>
      </c>
      <c r="C122" t="s">
        <v>18</v>
      </c>
      <c r="D122" t="s">
        <v>19</v>
      </c>
      <c r="E122" t="s">
        <v>29</v>
      </c>
      <c r="F122">
        <v>45414</v>
      </c>
      <c r="G122">
        <v>7</v>
      </c>
      <c r="H122">
        <v>1047.24</v>
      </c>
    </row>
    <row r="123" spans="1:9" x14ac:dyDescent="0.3">
      <c r="A123" t="s">
        <v>146</v>
      </c>
      <c r="C123" t="s">
        <v>18</v>
      </c>
      <c r="D123" t="s">
        <v>25</v>
      </c>
      <c r="E123" t="s">
        <v>34</v>
      </c>
      <c r="F123">
        <v>45647</v>
      </c>
      <c r="I123" t="s">
        <v>26</v>
      </c>
    </row>
    <row r="124" spans="1:9" x14ac:dyDescent="0.3">
      <c r="A124" t="s">
        <v>147</v>
      </c>
      <c r="C124" t="s">
        <v>28</v>
      </c>
      <c r="D124" t="s">
        <v>25</v>
      </c>
      <c r="E124" t="s">
        <v>11</v>
      </c>
      <c r="I124" t="s">
        <v>21</v>
      </c>
    </row>
    <row r="125" spans="1:9" x14ac:dyDescent="0.3">
      <c r="A125" t="s">
        <v>148</v>
      </c>
      <c r="C125" t="s">
        <v>18</v>
      </c>
      <c r="E125" t="s">
        <v>43</v>
      </c>
      <c r="F125">
        <v>45614</v>
      </c>
      <c r="I125" t="s">
        <v>12</v>
      </c>
    </row>
    <row r="126" spans="1:9" x14ac:dyDescent="0.3">
      <c r="A126" t="s">
        <v>149</v>
      </c>
      <c r="B126">
        <v>51</v>
      </c>
      <c r="C126" t="s">
        <v>38</v>
      </c>
      <c r="D126" t="s">
        <v>33</v>
      </c>
      <c r="E126" t="s">
        <v>34</v>
      </c>
      <c r="F126">
        <v>45412</v>
      </c>
      <c r="G126">
        <v>14</v>
      </c>
      <c r="H126">
        <v>809.18</v>
      </c>
      <c r="I126" t="s">
        <v>12</v>
      </c>
    </row>
    <row r="127" spans="1:9" x14ac:dyDescent="0.3">
      <c r="A127" t="s">
        <v>150</v>
      </c>
      <c r="D127" t="s">
        <v>45</v>
      </c>
      <c r="E127" t="s">
        <v>43</v>
      </c>
      <c r="F127">
        <v>45405</v>
      </c>
      <c r="I127" t="s">
        <v>16</v>
      </c>
    </row>
    <row r="128" spans="1:9" x14ac:dyDescent="0.3">
      <c r="A128" t="s">
        <v>151</v>
      </c>
      <c r="C128" t="s">
        <v>42</v>
      </c>
      <c r="D128" t="s">
        <v>33</v>
      </c>
      <c r="E128" t="s">
        <v>15</v>
      </c>
      <c r="F128">
        <v>45536</v>
      </c>
      <c r="H128">
        <v>1412.36</v>
      </c>
      <c r="I128" t="s">
        <v>12</v>
      </c>
    </row>
    <row r="129" spans="1:9" x14ac:dyDescent="0.3">
      <c r="A129" t="s">
        <v>152</v>
      </c>
      <c r="C129" t="s">
        <v>42</v>
      </c>
      <c r="D129" t="s">
        <v>14</v>
      </c>
      <c r="E129" t="s">
        <v>23</v>
      </c>
      <c r="F129">
        <v>45319</v>
      </c>
      <c r="I129" t="s">
        <v>12</v>
      </c>
    </row>
    <row r="130" spans="1:9" x14ac:dyDescent="0.3">
      <c r="A130" t="s">
        <v>153</v>
      </c>
      <c r="C130" t="s">
        <v>28</v>
      </c>
      <c r="D130" t="s">
        <v>14</v>
      </c>
      <c r="E130" t="s">
        <v>57</v>
      </c>
      <c r="F130">
        <v>45581</v>
      </c>
      <c r="I130" t="s">
        <v>21</v>
      </c>
    </row>
    <row r="131" spans="1:9" x14ac:dyDescent="0.3">
      <c r="A131" t="s">
        <v>154</v>
      </c>
      <c r="C131" t="s">
        <v>38</v>
      </c>
      <c r="D131" t="s">
        <v>48</v>
      </c>
      <c r="E131" t="s">
        <v>29</v>
      </c>
      <c r="H131">
        <v>164.71</v>
      </c>
      <c r="I131" t="s">
        <v>16</v>
      </c>
    </row>
    <row r="132" spans="1:9" x14ac:dyDescent="0.3">
      <c r="A132" t="s">
        <v>155</v>
      </c>
      <c r="D132" t="s">
        <v>25</v>
      </c>
      <c r="E132" t="s">
        <v>34</v>
      </c>
      <c r="F132">
        <v>45641</v>
      </c>
      <c r="H132">
        <v>746.38</v>
      </c>
      <c r="I132" t="s">
        <v>16</v>
      </c>
    </row>
    <row r="133" spans="1:9" x14ac:dyDescent="0.3">
      <c r="A133" t="s">
        <v>156</v>
      </c>
      <c r="B133">
        <v>84</v>
      </c>
      <c r="D133" t="s">
        <v>45</v>
      </c>
      <c r="E133" t="s">
        <v>43</v>
      </c>
      <c r="F133">
        <v>45412</v>
      </c>
      <c r="I133" t="s">
        <v>21</v>
      </c>
    </row>
    <row r="134" spans="1:9" x14ac:dyDescent="0.3">
      <c r="A134" t="s">
        <v>157</v>
      </c>
      <c r="C134" t="s">
        <v>18</v>
      </c>
      <c r="D134" t="s">
        <v>51</v>
      </c>
      <c r="E134" t="s">
        <v>43</v>
      </c>
      <c r="F134">
        <v>45301</v>
      </c>
      <c r="H134">
        <v>816.61</v>
      </c>
      <c r="I134" t="s">
        <v>26</v>
      </c>
    </row>
    <row r="135" spans="1:9" x14ac:dyDescent="0.3">
      <c r="A135" t="s">
        <v>158</v>
      </c>
      <c r="C135" t="s">
        <v>38</v>
      </c>
      <c r="D135" t="s">
        <v>25</v>
      </c>
      <c r="E135" t="s">
        <v>57</v>
      </c>
      <c r="F135">
        <v>45580</v>
      </c>
      <c r="I135" t="s">
        <v>16</v>
      </c>
    </row>
    <row r="136" spans="1:9" x14ac:dyDescent="0.3">
      <c r="A136" t="s">
        <v>159</v>
      </c>
      <c r="B136">
        <v>34</v>
      </c>
      <c r="C136" t="s">
        <v>38</v>
      </c>
      <c r="E136" t="s">
        <v>20</v>
      </c>
      <c r="G136">
        <v>3</v>
      </c>
    </row>
    <row r="137" spans="1:9" x14ac:dyDescent="0.3">
      <c r="A137" t="s">
        <v>160</v>
      </c>
      <c r="B137">
        <v>79</v>
      </c>
      <c r="C137" t="s">
        <v>28</v>
      </c>
      <c r="D137" t="s">
        <v>19</v>
      </c>
      <c r="E137" t="s">
        <v>43</v>
      </c>
      <c r="F137">
        <v>45503</v>
      </c>
      <c r="I137" t="s">
        <v>12</v>
      </c>
    </row>
    <row r="138" spans="1:9" x14ac:dyDescent="0.3">
      <c r="A138" t="s">
        <v>161</v>
      </c>
      <c r="B138">
        <v>60</v>
      </c>
      <c r="D138" t="s">
        <v>19</v>
      </c>
      <c r="E138" t="s">
        <v>11</v>
      </c>
      <c r="G138">
        <v>19</v>
      </c>
      <c r="I138" t="s">
        <v>26</v>
      </c>
    </row>
    <row r="139" spans="1:9" x14ac:dyDescent="0.3">
      <c r="A139" t="s">
        <v>162</v>
      </c>
      <c r="B139">
        <v>55</v>
      </c>
      <c r="C139" t="s">
        <v>28</v>
      </c>
      <c r="D139" t="s">
        <v>19</v>
      </c>
      <c r="E139" t="s">
        <v>29</v>
      </c>
      <c r="F139">
        <v>45610</v>
      </c>
      <c r="G139">
        <v>6</v>
      </c>
      <c r="I139" t="s">
        <v>26</v>
      </c>
    </row>
    <row r="140" spans="1:9" x14ac:dyDescent="0.3">
      <c r="A140" t="s">
        <v>163</v>
      </c>
      <c r="B140">
        <v>35</v>
      </c>
      <c r="C140" t="s">
        <v>28</v>
      </c>
      <c r="D140" t="s">
        <v>33</v>
      </c>
      <c r="E140" t="s">
        <v>15</v>
      </c>
      <c r="F140">
        <v>45489</v>
      </c>
      <c r="H140">
        <v>1994.79</v>
      </c>
      <c r="I140" t="s">
        <v>21</v>
      </c>
    </row>
    <row r="141" spans="1:9" x14ac:dyDescent="0.3">
      <c r="A141" t="s">
        <v>164</v>
      </c>
      <c r="B141">
        <v>79</v>
      </c>
      <c r="C141" t="s">
        <v>18</v>
      </c>
      <c r="D141" t="s">
        <v>48</v>
      </c>
      <c r="E141" t="s">
        <v>29</v>
      </c>
      <c r="F141">
        <v>45569</v>
      </c>
      <c r="G141">
        <v>12</v>
      </c>
    </row>
    <row r="142" spans="1:9" x14ac:dyDescent="0.3">
      <c r="A142" t="s">
        <v>165</v>
      </c>
      <c r="C142" t="s">
        <v>28</v>
      </c>
      <c r="D142" t="s">
        <v>10</v>
      </c>
      <c r="E142" t="s">
        <v>29</v>
      </c>
      <c r="G142">
        <v>10</v>
      </c>
      <c r="H142">
        <v>906.8</v>
      </c>
      <c r="I142" t="s">
        <v>12</v>
      </c>
    </row>
    <row r="143" spans="1:9" x14ac:dyDescent="0.3">
      <c r="A143" t="s">
        <v>166</v>
      </c>
      <c r="C143" t="s">
        <v>28</v>
      </c>
      <c r="D143" t="s">
        <v>25</v>
      </c>
      <c r="E143" t="s">
        <v>15</v>
      </c>
      <c r="F143">
        <v>45301</v>
      </c>
      <c r="G143">
        <v>19</v>
      </c>
      <c r="I143" t="s">
        <v>12</v>
      </c>
    </row>
    <row r="144" spans="1:9" x14ac:dyDescent="0.3">
      <c r="A144" t="s">
        <v>167</v>
      </c>
      <c r="C144" t="s">
        <v>42</v>
      </c>
      <c r="D144" t="s">
        <v>51</v>
      </c>
      <c r="E144" t="s">
        <v>43</v>
      </c>
      <c r="F144">
        <v>45574</v>
      </c>
      <c r="G144">
        <v>2</v>
      </c>
      <c r="I144" t="s">
        <v>16</v>
      </c>
    </row>
    <row r="145" spans="1:9" x14ac:dyDescent="0.3">
      <c r="A145" t="s">
        <v>168</v>
      </c>
      <c r="B145">
        <v>79</v>
      </c>
      <c r="C145" t="s">
        <v>42</v>
      </c>
      <c r="D145" t="s">
        <v>25</v>
      </c>
      <c r="E145" t="s">
        <v>34</v>
      </c>
      <c r="F145">
        <v>45501</v>
      </c>
      <c r="I145" t="s">
        <v>12</v>
      </c>
    </row>
    <row r="146" spans="1:9" x14ac:dyDescent="0.3">
      <c r="A146" t="s">
        <v>77</v>
      </c>
      <c r="C146" t="s">
        <v>42</v>
      </c>
      <c r="D146" t="s">
        <v>45</v>
      </c>
      <c r="E146" t="s">
        <v>34</v>
      </c>
      <c r="F146">
        <v>45419</v>
      </c>
      <c r="G146">
        <v>2</v>
      </c>
      <c r="H146">
        <v>1720.26</v>
      </c>
    </row>
    <row r="147" spans="1:9" x14ac:dyDescent="0.3">
      <c r="A147" t="s">
        <v>169</v>
      </c>
      <c r="C147" t="s">
        <v>42</v>
      </c>
      <c r="E147" t="s">
        <v>34</v>
      </c>
      <c r="F147">
        <v>45450</v>
      </c>
      <c r="G147">
        <v>15</v>
      </c>
      <c r="H147">
        <v>1777.47</v>
      </c>
      <c r="I147" t="s">
        <v>26</v>
      </c>
    </row>
    <row r="148" spans="1:9" x14ac:dyDescent="0.3">
      <c r="A148" t="s">
        <v>170</v>
      </c>
      <c r="C148" t="s">
        <v>28</v>
      </c>
      <c r="D148" t="s">
        <v>14</v>
      </c>
      <c r="E148" t="s">
        <v>23</v>
      </c>
      <c r="F148">
        <v>45496</v>
      </c>
      <c r="I148" t="s">
        <v>16</v>
      </c>
    </row>
    <row r="149" spans="1:9" x14ac:dyDescent="0.3">
      <c r="A149" t="s">
        <v>171</v>
      </c>
      <c r="C149" t="s">
        <v>28</v>
      </c>
      <c r="D149" t="s">
        <v>19</v>
      </c>
      <c r="E149" t="s">
        <v>34</v>
      </c>
      <c r="I149" t="s">
        <v>12</v>
      </c>
    </row>
    <row r="150" spans="1:9" x14ac:dyDescent="0.3">
      <c r="A150" t="s">
        <v>172</v>
      </c>
      <c r="C150" t="s">
        <v>18</v>
      </c>
      <c r="E150" t="s">
        <v>34</v>
      </c>
      <c r="F150">
        <v>45596</v>
      </c>
      <c r="G150">
        <v>11</v>
      </c>
      <c r="H150">
        <v>1493.6</v>
      </c>
      <c r="I150" t="s">
        <v>16</v>
      </c>
    </row>
    <row r="151" spans="1:9" x14ac:dyDescent="0.3">
      <c r="A151" t="s">
        <v>173</v>
      </c>
      <c r="B151">
        <v>31</v>
      </c>
      <c r="C151" t="s">
        <v>42</v>
      </c>
      <c r="D151" t="s">
        <v>48</v>
      </c>
      <c r="E151" t="s">
        <v>23</v>
      </c>
      <c r="F151">
        <v>45469</v>
      </c>
      <c r="I151" t="s">
        <v>12</v>
      </c>
    </row>
    <row r="152" spans="1:9" x14ac:dyDescent="0.3">
      <c r="A152" t="s">
        <v>174</v>
      </c>
      <c r="B152">
        <v>44</v>
      </c>
      <c r="D152" t="s">
        <v>33</v>
      </c>
      <c r="E152" t="s">
        <v>29</v>
      </c>
      <c r="F152">
        <v>45567</v>
      </c>
      <c r="I152" t="s">
        <v>16</v>
      </c>
    </row>
    <row r="153" spans="1:9" x14ac:dyDescent="0.3">
      <c r="A153" t="s">
        <v>122</v>
      </c>
      <c r="C153" t="s">
        <v>18</v>
      </c>
      <c r="D153" t="s">
        <v>33</v>
      </c>
      <c r="E153" t="s">
        <v>23</v>
      </c>
      <c r="I153" t="s">
        <v>26</v>
      </c>
    </row>
    <row r="154" spans="1:9" x14ac:dyDescent="0.3">
      <c r="A154" t="s">
        <v>175</v>
      </c>
      <c r="B154">
        <v>25</v>
      </c>
      <c r="D154" t="s">
        <v>45</v>
      </c>
      <c r="E154" t="s">
        <v>15</v>
      </c>
      <c r="F154">
        <v>45621</v>
      </c>
      <c r="I154" t="s">
        <v>26</v>
      </c>
    </row>
    <row r="155" spans="1:9" x14ac:dyDescent="0.3">
      <c r="A155" t="s">
        <v>176</v>
      </c>
      <c r="D155" t="s">
        <v>14</v>
      </c>
      <c r="E155" t="s">
        <v>23</v>
      </c>
      <c r="F155">
        <v>45515</v>
      </c>
      <c r="I155" t="s">
        <v>26</v>
      </c>
    </row>
    <row r="156" spans="1:9" x14ac:dyDescent="0.3">
      <c r="A156" t="s">
        <v>177</v>
      </c>
      <c r="D156" t="s">
        <v>10</v>
      </c>
      <c r="E156" t="s">
        <v>43</v>
      </c>
      <c r="F156">
        <v>45520</v>
      </c>
    </row>
    <row r="157" spans="1:9" x14ac:dyDescent="0.3">
      <c r="A157" t="s">
        <v>178</v>
      </c>
      <c r="C157" t="s">
        <v>42</v>
      </c>
      <c r="D157" t="s">
        <v>25</v>
      </c>
      <c r="E157" t="s">
        <v>11</v>
      </c>
      <c r="F157">
        <v>45452</v>
      </c>
      <c r="H157">
        <v>828.11</v>
      </c>
      <c r="I157" t="s">
        <v>16</v>
      </c>
    </row>
    <row r="158" spans="1:9" x14ac:dyDescent="0.3">
      <c r="A158" t="s">
        <v>179</v>
      </c>
      <c r="C158" t="s">
        <v>28</v>
      </c>
      <c r="E158" t="s">
        <v>43</v>
      </c>
      <c r="F158">
        <v>45350</v>
      </c>
      <c r="H158">
        <v>167.05</v>
      </c>
    </row>
    <row r="159" spans="1:9" x14ac:dyDescent="0.3">
      <c r="A159" t="s">
        <v>180</v>
      </c>
      <c r="B159">
        <v>72</v>
      </c>
      <c r="C159" t="s">
        <v>42</v>
      </c>
      <c r="E159" t="s">
        <v>20</v>
      </c>
      <c r="F159">
        <v>45299</v>
      </c>
      <c r="H159">
        <v>1925</v>
      </c>
      <c r="I159" t="s">
        <v>26</v>
      </c>
    </row>
    <row r="160" spans="1:9" x14ac:dyDescent="0.3">
      <c r="A160" t="s">
        <v>181</v>
      </c>
      <c r="C160" t="s">
        <v>28</v>
      </c>
      <c r="D160" t="s">
        <v>51</v>
      </c>
      <c r="E160" t="s">
        <v>15</v>
      </c>
      <c r="F160">
        <v>45415</v>
      </c>
      <c r="H160">
        <v>1946.51</v>
      </c>
      <c r="I160" t="s">
        <v>12</v>
      </c>
    </row>
    <row r="161" spans="1:9" x14ac:dyDescent="0.3">
      <c r="A161" t="s">
        <v>182</v>
      </c>
      <c r="B161">
        <v>54</v>
      </c>
      <c r="C161" t="s">
        <v>38</v>
      </c>
      <c r="D161" t="s">
        <v>45</v>
      </c>
      <c r="E161" t="s">
        <v>15</v>
      </c>
      <c r="F161">
        <v>45404</v>
      </c>
      <c r="G161">
        <v>14</v>
      </c>
      <c r="H161">
        <v>1244.18</v>
      </c>
      <c r="I161" t="s">
        <v>16</v>
      </c>
    </row>
    <row r="162" spans="1:9" x14ac:dyDescent="0.3">
      <c r="A162" t="s">
        <v>183</v>
      </c>
      <c r="C162" t="s">
        <v>42</v>
      </c>
      <c r="D162" t="s">
        <v>33</v>
      </c>
      <c r="E162" t="s">
        <v>43</v>
      </c>
      <c r="F162">
        <v>45564</v>
      </c>
      <c r="I162" t="s">
        <v>12</v>
      </c>
    </row>
    <row r="163" spans="1:9" x14ac:dyDescent="0.3">
      <c r="A163" t="s">
        <v>184</v>
      </c>
      <c r="B163">
        <v>95</v>
      </c>
      <c r="C163" t="s">
        <v>38</v>
      </c>
      <c r="D163" t="s">
        <v>14</v>
      </c>
      <c r="E163" t="s">
        <v>11</v>
      </c>
      <c r="F163">
        <v>45629</v>
      </c>
      <c r="G163">
        <v>7</v>
      </c>
      <c r="H163">
        <v>1542.11</v>
      </c>
      <c r="I163" t="s">
        <v>12</v>
      </c>
    </row>
    <row r="164" spans="1:9" x14ac:dyDescent="0.3">
      <c r="A164" t="s">
        <v>185</v>
      </c>
      <c r="C164" t="s">
        <v>28</v>
      </c>
      <c r="D164" t="s">
        <v>19</v>
      </c>
      <c r="E164" t="s">
        <v>29</v>
      </c>
      <c r="F164">
        <v>45468</v>
      </c>
      <c r="G164">
        <v>7</v>
      </c>
      <c r="I164" t="s">
        <v>21</v>
      </c>
    </row>
    <row r="165" spans="1:9" x14ac:dyDescent="0.3">
      <c r="A165" t="s">
        <v>162</v>
      </c>
      <c r="D165" t="s">
        <v>45</v>
      </c>
      <c r="E165" t="s">
        <v>15</v>
      </c>
      <c r="F165">
        <v>45615</v>
      </c>
      <c r="I165" t="s">
        <v>26</v>
      </c>
    </row>
    <row r="166" spans="1:9" x14ac:dyDescent="0.3">
      <c r="A166" t="s">
        <v>167</v>
      </c>
      <c r="C166" t="s">
        <v>38</v>
      </c>
      <c r="D166" t="s">
        <v>25</v>
      </c>
      <c r="E166" t="s">
        <v>20</v>
      </c>
      <c r="F166">
        <v>45412</v>
      </c>
      <c r="I166" t="s">
        <v>26</v>
      </c>
    </row>
    <row r="167" spans="1:9" x14ac:dyDescent="0.3">
      <c r="A167" t="s">
        <v>186</v>
      </c>
      <c r="C167" t="s">
        <v>38</v>
      </c>
      <c r="D167" t="s">
        <v>19</v>
      </c>
      <c r="E167" t="s">
        <v>34</v>
      </c>
      <c r="F167">
        <v>45599</v>
      </c>
      <c r="I167" t="s">
        <v>21</v>
      </c>
    </row>
    <row r="168" spans="1:9" x14ac:dyDescent="0.3">
      <c r="A168" t="s">
        <v>187</v>
      </c>
      <c r="B168">
        <v>49</v>
      </c>
      <c r="C168" t="s">
        <v>38</v>
      </c>
      <c r="D168" t="s">
        <v>19</v>
      </c>
      <c r="E168" t="s">
        <v>43</v>
      </c>
    </row>
    <row r="169" spans="1:9" x14ac:dyDescent="0.3">
      <c r="A169" t="s">
        <v>86</v>
      </c>
      <c r="C169" t="s">
        <v>42</v>
      </c>
      <c r="D169" t="s">
        <v>33</v>
      </c>
      <c r="E169" t="s">
        <v>23</v>
      </c>
      <c r="F169">
        <v>45345</v>
      </c>
      <c r="H169">
        <v>1797.18</v>
      </c>
      <c r="I169" t="s">
        <v>12</v>
      </c>
    </row>
    <row r="170" spans="1:9" x14ac:dyDescent="0.3">
      <c r="A170" t="s">
        <v>188</v>
      </c>
      <c r="C170" t="s">
        <v>38</v>
      </c>
      <c r="D170" t="s">
        <v>14</v>
      </c>
      <c r="E170" t="s">
        <v>57</v>
      </c>
      <c r="F170">
        <v>45303</v>
      </c>
      <c r="I170" t="s">
        <v>26</v>
      </c>
    </row>
    <row r="171" spans="1:9" x14ac:dyDescent="0.3">
      <c r="A171" t="s">
        <v>189</v>
      </c>
      <c r="C171" t="s">
        <v>38</v>
      </c>
      <c r="D171" t="s">
        <v>48</v>
      </c>
      <c r="E171" t="s">
        <v>57</v>
      </c>
      <c r="F171">
        <v>45513</v>
      </c>
      <c r="H171">
        <v>255.63</v>
      </c>
    </row>
    <row r="172" spans="1:9" x14ac:dyDescent="0.3">
      <c r="A172" t="s">
        <v>190</v>
      </c>
      <c r="C172" t="s">
        <v>42</v>
      </c>
      <c r="D172" t="s">
        <v>51</v>
      </c>
      <c r="E172" t="s">
        <v>34</v>
      </c>
      <c r="F172">
        <v>45399</v>
      </c>
      <c r="I172" t="s">
        <v>26</v>
      </c>
    </row>
    <row r="173" spans="1:9" x14ac:dyDescent="0.3">
      <c r="A173" t="s">
        <v>98</v>
      </c>
      <c r="C173" t="s">
        <v>42</v>
      </c>
      <c r="D173" t="s">
        <v>33</v>
      </c>
      <c r="E173" t="s">
        <v>29</v>
      </c>
      <c r="F173">
        <v>45353</v>
      </c>
      <c r="G173">
        <v>5</v>
      </c>
    </row>
    <row r="174" spans="1:9" x14ac:dyDescent="0.3">
      <c r="A174" t="s">
        <v>191</v>
      </c>
      <c r="C174" t="s">
        <v>18</v>
      </c>
      <c r="D174" t="s">
        <v>45</v>
      </c>
      <c r="E174" t="s">
        <v>34</v>
      </c>
      <c r="F174">
        <v>45348</v>
      </c>
      <c r="I174" t="s">
        <v>16</v>
      </c>
    </row>
    <row r="175" spans="1:9" x14ac:dyDescent="0.3">
      <c r="A175" t="s">
        <v>192</v>
      </c>
      <c r="C175" t="s">
        <v>18</v>
      </c>
      <c r="E175" t="s">
        <v>15</v>
      </c>
      <c r="F175">
        <v>45418</v>
      </c>
      <c r="G175">
        <v>15</v>
      </c>
      <c r="I175" t="s">
        <v>21</v>
      </c>
    </row>
    <row r="176" spans="1:9" x14ac:dyDescent="0.3">
      <c r="A176" t="s">
        <v>193</v>
      </c>
      <c r="B176">
        <v>37</v>
      </c>
      <c r="C176" t="s">
        <v>38</v>
      </c>
      <c r="D176" t="s">
        <v>14</v>
      </c>
      <c r="E176" t="s">
        <v>57</v>
      </c>
      <c r="I176" t="s">
        <v>21</v>
      </c>
    </row>
    <row r="177" spans="1:9" x14ac:dyDescent="0.3">
      <c r="A177" t="s">
        <v>194</v>
      </c>
      <c r="B177">
        <v>66</v>
      </c>
      <c r="C177" t="s">
        <v>38</v>
      </c>
      <c r="D177" t="s">
        <v>19</v>
      </c>
      <c r="E177" t="s">
        <v>23</v>
      </c>
      <c r="F177">
        <v>45656</v>
      </c>
      <c r="I177" t="s">
        <v>12</v>
      </c>
    </row>
    <row r="178" spans="1:9" x14ac:dyDescent="0.3">
      <c r="A178" t="s">
        <v>195</v>
      </c>
      <c r="C178" t="s">
        <v>38</v>
      </c>
      <c r="D178" t="s">
        <v>25</v>
      </c>
      <c r="E178" t="s">
        <v>11</v>
      </c>
      <c r="F178">
        <v>45332</v>
      </c>
      <c r="G178">
        <v>18</v>
      </c>
    </row>
    <row r="179" spans="1:9" x14ac:dyDescent="0.3">
      <c r="A179" t="s">
        <v>196</v>
      </c>
      <c r="C179" t="s">
        <v>28</v>
      </c>
      <c r="D179" t="s">
        <v>45</v>
      </c>
      <c r="E179" t="s">
        <v>29</v>
      </c>
      <c r="F179">
        <v>45341</v>
      </c>
      <c r="I179" t="s">
        <v>26</v>
      </c>
    </row>
    <row r="180" spans="1:9" x14ac:dyDescent="0.3">
      <c r="A180" t="s">
        <v>197</v>
      </c>
      <c r="C180" t="s">
        <v>18</v>
      </c>
      <c r="E180" t="s">
        <v>29</v>
      </c>
      <c r="F180">
        <v>45475</v>
      </c>
      <c r="G180">
        <v>15</v>
      </c>
      <c r="I180" t="s">
        <v>26</v>
      </c>
    </row>
    <row r="181" spans="1:9" x14ac:dyDescent="0.3">
      <c r="A181" t="s">
        <v>198</v>
      </c>
      <c r="E181" t="s">
        <v>20</v>
      </c>
      <c r="F181">
        <v>45406</v>
      </c>
      <c r="G181">
        <v>12</v>
      </c>
      <c r="I181" t="s">
        <v>12</v>
      </c>
    </row>
    <row r="182" spans="1:9" x14ac:dyDescent="0.3">
      <c r="A182" t="s">
        <v>199</v>
      </c>
      <c r="B182">
        <v>93</v>
      </c>
      <c r="D182" t="s">
        <v>33</v>
      </c>
      <c r="E182" t="s">
        <v>34</v>
      </c>
      <c r="F182">
        <v>45500</v>
      </c>
      <c r="H182">
        <v>1202.99</v>
      </c>
    </row>
    <row r="183" spans="1:9" x14ac:dyDescent="0.3">
      <c r="A183" t="s">
        <v>200</v>
      </c>
      <c r="B183">
        <v>58</v>
      </c>
      <c r="C183" t="s">
        <v>42</v>
      </c>
      <c r="D183" t="s">
        <v>25</v>
      </c>
      <c r="E183" t="s">
        <v>34</v>
      </c>
      <c r="F183">
        <v>45320</v>
      </c>
      <c r="G183">
        <v>16</v>
      </c>
      <c r="I183" t="s">
        <v>26</v>
      </c>
    </row>
    <row r="184" spans="1:9" x14ac:dyDescent="0.3">
      <c r="A184" t="s">
        <v>201</v>
      </c>
      <c r="C184" t="s">
        <v>38</v>
      </c>
      <c r="D184" t="s">
        <v>25</v>
      </c>
      <c r="E184" t="s">
        <v>34</v>
      </c>
      <c r="F184">
        <v>45623</v>
      </c>
      <c r="H184">
        <v>1161.52</v>
      </c>
      <c r="I184" t="s">
        <v>12</v>
      </c>
    </row>
    <row r="185" spans="1:9" x14ac:dyDescent="0.3">
      <c r="A185" t="s">
        <v>202</v>
      </c>
      <c r="C185" t="s">
        <v>38</v>
      </c>
      <c r="D185" t="s">
        <v>45</v>
      </c>
      <c r="E185" t="s">
        <v>11</v>
      </c>
      <c r="F185">
        <v>45368</v>
      </c>
      <c r="G185">
        <v>10</v>
      </c>
      <c r="I185" t="s">
        <v>21</v>
      </c>
    </row>
    <row r="186" spans="1:9" x14ac:dyDescent="0.3">
      <c r="A186" t="s">
        <v>203</v>
      </c>
      <c r="C186" t="s">
        <v>28</v>
      </c>
      <c r="D186" t="s">
        <v>45</v>
      </c>
      <c r="E186" t="s">
        <v>11</v>
      </c>
      <c r="F186">
        <v>45607</v>
      </c>
      <c r="G186">
        <v>18</v>
      </c>
      <c r="I186" t="s">
        <v>26</v>
      </c>
    </row>
    <row r="187" spans="1:9" x14ac:dyDescent="0.3">
      <c r="A187" t="s">
        <v>204</v>
      </c>
      <c r="C187" t="s">
        <v>28</v>
      </c>
      <c r="D187" t="s">
        <v>45</v>
      </c>
      <c r="E187" t="s">
        <v>15</v>
      </c>
      <c r="F187">
        <v>45642</v>
      </c>
      <c r="H187">
        <v>896.28</v>
      </c>
      <c r="I187" t="s">
        <v>12</v>
      </c>
    </row>
    <row r="188" spans="1:9" x14ac:dyDescent="0.3">
      <c r="A188" t="s">
        <v>117</v>
      </c>
      <c r="C188" t="s">
        <v>42</v>
      </c>
      <c r="D188" t="s">
        <v>25</v>
      </c>
      <c r="E188" t="s">
        <v>15</v>
      </c>
      <c r="F188">
        <v>45633</v>
      </c>
    </row>
    <row r="189" spans="1:9" x14ac:dyDescent="0.3">
      <c r="A189" t="s">
        <v>205</v>
      </c>
      <c r="B189">
        <v>33</v>
      </c>
      <c r="C189" t="s">
        <v>18</v>
      </c>
      <c r="D189" t="s">
        <v>10</v>
      </c>
      <c r="E189" t="s">
        <v>20</v>
      </c>
      <c r="F189">
        <v>45363</v>
      </c>
      <c r="I189" t="s">
        <v>26</v>
      </c>
    </row>
    <row r="190" spans="1:9" x14ac:dyDescent="0.3">
      <c r="A190" t="s">
        <v>206</v>
      </c>
      <c r="B190">
        <v>79</v>
      </c>
      <c r="C190" t="s">
        <v>18</v>
      </c>
      <c r="D190" t="s">
        <v>14</v>
      </c>
      <c r="E190" t="s">
        <v>43</v>
      </c>
      <c r="F190">
        <v>45553</v>
      </c>
      <c r="I190" t="s">
        <v>12</v>
      </c>
    </row>
    <row r="191" spans="1:9" x14ac:dyDescent="0.3">
      <c r="A191" t="s">
        <v>207</v>
      </c>
      <c r="D191" t="s">
        <v>51</v>
      </c>
      <c r="E191" t="s">
        <v>20</v>
      </c>
      <c r="F191">
        <v>45485</v>
      </c>
      <c r="I191" t="s">
        <v>26</v>
      </c>
    </row>
    <row r="192" spans="1:9" x14ac:dyDescent="0.3">
      <c r="A192" t="s">
        <v>208</v>
      </c>
      <c r="D192" t="s">
        <v>14</v>
      </c>
      <c r="E192" t="s">
        <v>34</v>
      </c>
      <c r="F192">
        <v>45459</v>
      </c>
      <c r="G192">
        <v>16</v>
      </c>
      <c r="I192" t="s">
        <v>12</v>
      </c>
    </row>
    <row r="193" spans="1:9" x14ac:dyDescent="0.3">
      <c r="A193" t="s">
        <v>209</v>
      </c>
      <c r="C193" t="s">
        <v>18</v>
      </c>
      <c r="D193" t="s">
        <v>48</v>
      </c>
      <c r="E193" t="s">
        <v>20</v>
      </c>
      <c r="F193">
        <v>45485</v>
      </c>
      <c r="H193">
        <v>1819.82</v>
      </c>
      <c r="I193" t="s">
        <v>21</v>
      </c>
    </row>
    <row r="194" spans="1:9" x14ac:dyDescent="0.3">
      <c r="A194" t="s">
        <v>41</v>
      </c>
      <c r="C194" t="s">
        <v>28</v>
      </c>
      <c r="D194" t="s">
        <v>51</v>
      </c>
      <c r="E194" t="s">
        <v>20</v>
      </c>
      <c r="F194">
        <v>45410</v>
      </c>
      <c r="H194">
        <v>640.84</v>
      </c>
      <c r="I194" t="s">
        <v>16</v>
      </c>
    </row>
    <row r="195" spans="1:9" x14ac:dyDescent="0.3">
      <c r="A195" t="s">
        <v>210</v>
      </c>
      <c r="D195" t="s">
        <v>33</v>
      </c>
      <c r="E195" t="s">
        <v>15</v>
      </c>
      <c r="G195">
        <v>4</v>
      </c>
      <c r="H195">
        <v>1576.8</v>
      </c>
      <c r="I195" t="s">
        <v>16</v>
      </c>
    </row>
    <row r="196" spans="1:9" x14ac:dyDescent="0.3">
      <c r="A196" t="s">
        <v>211</v>
      </c>
      <c r="D196" t="s">
        <v>19</v>
      </c>
      <c r="E196" t="s">
        <v>15</v>
      </c>
      <c r="F196">
        <v>45590</v>
      </c>
      <c r="I196" t="s">
        <v>21</v>
      </c>
    </row>
    <row r="197" spans="1:9" x14ac:dyDescent="0.3">
      <c r="A197" t="s">
        <v>212</v>
      </c>
      <c r="C197" t="s">
        <v>38</v>
      </c>
      <c r="D197" t="s">
        <v>45</v>
      </c>
      <c r="E197" t="s">
        <v>34</v>
      </c>
      <c r="H197">
        <v>535.62</v>
      </c>
      <c r="I197" t="s">
        <v>12</v>
      </c>
    </row>
    <row r="198" spans="1:9" x14ac:dyDescent="0.3">
      <c r="A198" t="s">
        <v>213</v>
      </c>
      <c r="D198" t="s">
        <v>51</v>
      </c>
      <c r="E198" t="s">
        <v>34</v>
      </c>
      <c r="F198">
        <v>45552</v>
      </c>
      <c r="I198" t="s">
        <v>26</v>
      </c>
    </row>
    <row r="199" spans="1:9" x14ac:dyDescent="0.3">
      <c r="A199" t="s">
        <v>214</v>
      </c>
      <c r="B199">
        <v>87</v>
      </c>
      <c r="D199" t="s">
        <v>19</v>
      </c>
      <c r="E199" t="s">
        <v>43</v>
      </c>
      <c r="F199">
        <v>45477</v>
      </c>
      <c r="I199" t="s">
        <v>21</v>
      </c>
    </row>
    <row r="200" spans="1:9" x14ac:dyDescent="0.3">
      <c r="A200" t="s">
        <v>215</v>
      </c>
      <c r="C200" t="s">
        <v>42</v>
      </c>
      <c r="D200" t="s">
        <v>25</v>
      </c>
      <c r="E200" t="s">
        <v>43</v>
      </c>
      <c r="F200">
        <v>45573</v>
      </c>
      <c r="H200">
        <v>1807.39</v>
      </c>
      <c r="I200" t="s">
        <v>16</v>
      </c>
    </row>
    <row r="201" spans="1:9" x14ac:dyDescent="0.3">
      <c r="A201" t="s">
        <v>216</v>
      </c>
      <c r="B201">
        <v>26</v>
      </c>
      <c r="D201" t="s">
        <v>45</v>
      </c>
      <c r="E201" t="s">
        <v>29</v>
      </c>
      <c r="F201">
        <v>45323</v>
      </c>
      <c r="I201" t="s">
        <v>16</v>
      </c>
    </row>
    <row r="202" spans="1:9" x14ac:dyDescent="0.3">
      <c r="A202" t="s">
        <v>110</v>
      </c>
      <c r="C202" t="s">
        <v>38</v>
      </c>
      <c r="D202" t="s">
        <v>51</v>
      </c>
      <c r="E202" t="s">
        <v>20</v>
      </c>
      <c r="H202">
        <v>1018.03</v>
      </c>
      <c r="I202" t="s">
        <v>26</v>
      </c>
    </row>
    <row r="203" spans="1:9" x14ac:dyDescent="0.3">
      <c r="A203" t="s">
        <v>217</v>
      </c>
      <c r="C203" t="s">
        <v>18</v>
      </c>
      <c r="D203" t="s">
        <v>19</v>
      </c>
      <c r="E203" t="s">
        <v>11</v>
      </c>
      <c r="F203">
        <v>45307</v>
      </c>
      <c r="G203">
        <v>3</v>
      </c>
      <c r="I203" t="s">
        <v>16</v>
      </c>
    </row>
    <row r="204" spans="1:9" x14ac:dyDescent="0.3">
      <c r="A204" t="s">
        <v>188</v>
      </c>
      <c r="C204" t="s">
        <v>18</v>
      </c>
      <c r="D204" t="s">
        <v>45</v>
      </c>
      <c r="E204" t="s">
        <v>11</v>
      </c>
      <c r="F204">
        <v>45510</v>
      </c>
      <c r="I204" t="s">
        <v>21</v>
      </c>
    </row>
    <row r="205" spans="1:9" x14ac:dyDescent="0.3">
      <c r="A205" t="s">
        <v>218</v>
      </c>
      <c r="E205" t="s">
        <v>15</v>
      </c>
      <c r="G205">
        <v>10</v>
      </c>
      <c r="H205">
        <v>851.84</v>
      </c>
      <c r="I205" t="s">
        <v>21</v>
      </c>
    </row>
    <row r="206" spans="1:9" x14ac:dyDescent="0.3">
      <c r="A206" t="s">
        <v>219</v>
      </c>
      <c r="B206">
        <v>68</v>
      </c>
      <c r="C206" t="s">
        <v>42</v>
      </c>
      <c r="D206" t="s">
        <v>25</v>
      </c>
      <c r="E206" t="s">
        <v>34</v>
      </c>
      <c r="I206" t="s">
        <v>12</v>
      </c>
    </row>
    <row r="207" spans="1:9" x14ac:dyDescent="0.3">
      <c r="A207" t="s">
        <v>220</v>
      </c>
      <c r="C207" t="s">
        <v>18</v>
      </c>
      <c r="D207" t="s">
        <v>51</v>
      </c>
      <c r="E207" t="s">
        <v>57</v>
      </c>
      <c r="F207">
        <v>45561</v>
      </c>
      <c r="I207" t="s">
        <v>26</v>
      </c>
    </row>
    <row r="208" spans="1:9" x14ac:dyDescent="0.3">
      <c r="A208" t="s">
        <v>221</v>
      </c>
      <c r="B208">
        <v>60</v>
      </c>
      <c r="D208" t="s">
        <v>19</v>
      </c>
      <c r="E208" t="s">
        <v>23</v>
      </c>
      <c r="I208" t="s">
        <v>16</v>
      </c>
    </row>
    <row r="209" spans="1:9" x14ac:dyDescent="0.3">
      <c r="A209" t="s">
        <v>222</v>
      </c>
      <c r="C209" t="s">
        <v>18</v>
      </c>
      <c r="E209" t="s">
        <v>15</v>
      </c>
    </row>
    <row r="210" spans="1:9" x14ac:dyDescent="0.3">
      <c r="A210" t="s">
        <v>223</v>
      </c>
      <c r="B210">
        <v>74</v>
      </c>
      <c r="C210" t="s">
        <v>28</v>
      </c>
      <c r="D210" t="s">
        <v>45</v>
      </c>
      <c r="E210" t="s">
        <v>15</v>
      </c>
      <c r="F210">
        <v>45417</v>
      </c>
      <c r="H210">
        <v>1131.96</v>
      </c>
      <c r="I210" t="s">
        <v>26</v>
      </c>
    </row>
    <row r="211" spans="1:9" x14ac:dyDescent="0.3">
      <c r="A211" t="s">
        <v>224</v>
      </c>
      <c r="C211" t="s">
        <v>28</v>
      </c>
      <c r="E211" t="s">
        <v>15</v>
      </c>
      <c r="F211">
        <v>45361</v>
      </c>
      <c r="H211">
        <v>1985.44</v>
      </c>
      <c r="I211" t="s">
        <v>21</v>
      </c>
    </row>
    <row r="212" spans="1:9" x14ac:dyDescent="0.3">
      <c r="A212" t="s">
        <v>225</v>
      </c>
      <c r="B212">
        <v>81</v>
      </c>
      <c r="C212" t="s">
        <v>42</v>
      </c>
      <c r="D212" t="s">
        <v>25</v>
      </c>
      <c r="E212" t="s">
        <v>11</v>
      </c>
      <c r="F212">
        <v>45318</v>
      </c>
      <c r="G212">
        <v>13</v>
      </c>
      <c r="H212">
        <v>872.71</v>
      </c>
      <c r="I212" t="s">
        <v>16</v>
      </c>
    </row>
    <row r="213" spans="1:9" x14ac:dyDescent="0.3">
      <c r="A213" t="s">
        <v>226</v>
      </c>
      <c r="B213">
        <v>61</v>
      </c>
      <c r="C213" t="s">
        <v>18</v>
      </c>
      <c r="D213" t="s">
        <v>25</v>
      </c>
      <c r="E213" t="s">
        <v>11</v>
      </c>
      <c r="F213">
        <v>45455</v>
      </c>
      <c r="G213">
        <v>5</v>
      </c>
      <c r="I213" t="s">
        <v>16</v>
      </c>
    </row>
    <row r="214" spans="1:9" x14ac:dyDescent="0.3">
      <c r="A214" t="s">
        <v>227</v>
      </c>
      <c r="C214" t="s">
        <v>42</v>
      </c>
      <c r="D214" t="s">
        <v>51</v>
      </c>
      <c r="E214" t="s">
        <v>43</v>
      </c>
      <c r="F214">
        <v>45634</v>
      </c>
      <c r="I214" t="s">
        <v>21</v>
      </c>
    </row>
    <row r="215" spans="1:9" x14ac:dyDescent="0.3">
      <c r="A215" t="s">
        <v>228</v>
      </c>
      <c r="B215">
        <v>59</v>
      </c>
      <c r="D215" t="s">
        <v>10</v>
      </c>
      <c r="E215" t="s">
        <v>34</v>
      </c>
      <c r="F215">
        <v>45449</v>
      </c>
      <c r="G215">
        <v>19</v>
      </c>
      <c r="I215" t="s">
        <v>21</v>
      </c>
    </row>
    <row r="216" spans="1:9" x14ac:dyDescent="0.3">
      <c r="A216" t="s">
        <v>229</v>
      </c>
      <c r="B216">
        <v>46</v>
      </c>
      <c r="C216" t="s">
        <v>18</v>
      </c>
      <c r="D216" t="s">
        <v>51</v>
      </c>
      <c r="E216" t="s">
        <v>43</v>
      </c>
      <c r="F216">
        <v>45626</v>
      </c>
      <c r="I216" t="s">
        <v>21</v>
      </c>
    </row>
    <row r="217" spans="1:9" x14ac:dyDescent="0.3">
      <c r="A217" t="s">
        <v>230</v>
      </c>
      <c r="C217" t="s">
        <v>42</v>
      </c>
      <c r="D217" t="s">
        <v>25</v>
      </c>
      <c r="E217" t="s">
        <v>11</v>
      </c>
      <c r="F217">
        <v>45442</v>
      </c>
      <c r="I217" t="s">
        <v>21</v>
      </c>
    </row>
    <row r="218" spans="1:9" x14ac:dyDescent="0.3">
      <c r="A218" t="s">
        <v>231</v>
      </c>
      <c r="C218" t="s">
        <v>38</v>
      </c>
      <c r="D218" t="s">
        <v>25</v>
      </c>
      <c r="E218" t="s">
        <v>23</v>
      </c>
      <c r="G218">
        <v>18</v>
      </c>
      <c r="H218">
        <v>592.25</v>
      </c>
      <c r="I218" t="s">
        <v>26</v>
      </c>
    </row>
    <row r="219" spans="1:9" x14ac:dyDescent="0.3">
      <c r="A219" t="s">
        <v>232</v>
      </c>
      <c r="C219" t="s">
        <v>42</v>
      </c>
      <c r="D219" t="s">
        <v>33</v>
      </c>
      <c r="E219" t="s">
        <v>34</v>
      </c>
      <c r="F219">
        <v>45547</v>
      </c>
      <c r="G219">
        <v>1</v>
      </c>
      <c r="H219">
        <v>710.36</v>
      </c>
    </row>
    <row r="220" spans="1:9" x14ac:dyDescent="0.3">
      <c r="A220" t="s">
        <v>96</v>
      </c>
      <c r="D220" t="s">
        <v>48</v>
      </c>
      <c r="E220" t="s">
        <v>29</v>
      </c>
      <c r="F220">
        <v>45481</v>
      </c>
      <c r="I220" t="s">
        <v>26</v>
      </c>
    </row>
    <row r="221" spans="1:9" x14ac:dyDescent="0.3">
      <c r="A221" t="s">
        <v>233</v>
      </c>
      <c r="C221" t="s">
        <v>38</v>
      </c>
      <c r="E221" t="s">
        <v>34</v>
      </c>
      <c r="F221">
        <v>45423</v>
      </c>
      <c r="I221" t="s">
        <v>12</v>
      </c>
    </row>
    <row r="222" spans="1:9" x14ac:dyDescent="0.3">
      <c r="A222" t="s">
        <v>164</v>
      </c>
      <c r="C222" t="s">
        <v>42</v>
      </c>
      <c r="D222" t="s">
        <v>14</v>
      </c>
      <c r="E222" t="s">
        <v>43</v>
      </c>
      <c r="F222">
        <v>45412</v>
      </c>
      <c r="G222">
        <v>13</v>
      </c>
      <c r="I222" t="s">
        <v>21</v>
      </c>
    </row>
    <row r="223" spans="1:9" x14ac:dyDescent="0.3">
      <c r="A223" t="s">
        <v>234</v>
      </c>
      <c r="C223" t="s">
        <v>28</v>
      </c>
      <c r="D223" t="s">
        <v>10</v>
      </c>
      <c r="E223" t="s">
        <v>20</v>
      </c>
      <c r="I223" t="s">
        <v>12</v>
      </c>
    </row>
    <row r="224" spans="1:9" x14ac:dyDescent="0.3">
      <c r="A224" t="s">
        <v>235</v>
      </c>
      <c r="B224">
        <v>79</v>
      </c>
      <c r="C224" t="s">
        <v>42</v>
      </c>
      <c r="D224" t="s">
        <v>19</v>
      </c>
      <c r="E224" t="s">
        <v>23</v>
      </c>
      <c r="F224">
        <v>45546</v>
      </c>
      <c r="G224">
        <v>5</v>
      </c>
      <c r="I224" t="s">
        <v>26</v>
      </c>
    </row>
    <row r="225" spans="1:9" x14ac:dyDescent="0.3">
      <c r="A225" t="s">
        <v>236</v>
      </c>
      <c r="B225">
        <v>50</v>
      </c>
      <c r="C225" t="s">
        <v>42</v>
      </c>
      <c r="D225" t="s">
        <v>10</v>
      </c>
      <c r="E225" t="s">
        <v>20</v>
      </c>
      <c r="G225">
        <v>17</v>
      </c>
      <c r="I225" t="s">
        <v>12</v>
      </c>
    </row>
    <row r="226" spans="1:9" x14ac:dyDescent="0.3">
      <c r="A226" t="s">
        <v>237</v>
      </c>
      <c r="C226" t="s">
        <v>28</v>
      </c>
      <c r="D226" t="s">
        <v>51</v>
      </c>
      <c r="E226" t="s">
        <v>57</v>
      </c>
      <c r="F226">
        <v>45632</v>
      </c>
      <c r="G226">
        <v>11</v>
      </c>
      <c r="I226" t="s">
        <v>12</v>
      </c>
    </row>
    <row r="227" spans="1:9" x14ac:dyDescent="0.3">
      <c r="A227" t="s">
        <v>238</v>
      </c>
      <c r="B227">
        <v>40</v>
      </c>
      <c r="D227" t="s">
        <v>33</v>
      </c>
      <c r="E227" t="s">
        <v>20</v>
      </c>
      <c r="F227">
        <v>45444</v>
      </c>
      <c r="H227">
        <v>1440.13</v>
      </c>
    </row>
    <row r="228" spans="1:9" x14ac:dyDescent="0.3">
      <c r="A228" t="s">
        <v>239</v>
      </c>
      <c r="C228" t="s">
        <v>38</v>
      </c>
      <c r="D228" t="s">
        <v>19</v>
      </c>
      <c r="E228" t="s">
        <v>34</v>
      </c>
      <c r="I228" t="s">
        <v>12</v>
      </c>
    </row>
    <row r="229" spans="1:9" x14ac:dyDescent="0.3">
      <c r="A229" t="s">
        <v>240</v>
      </c>
      <c r="D229" t="s">
        <v>19</v>
      </c>
      <c r="E229" t="s">
        <v>20</v>
      </c>
      <c r="F229">
        <v>45654</v>
      </c>
      <c r="I229" t="s">
        <v>26</v>
      </c>
    </row>
    <row r="230" spans="1:9" x14ac:dyDescent="0.3">
      <c r="A230" t="s">
        <v>241</v>
      </c>
      <c r="C230" t="s">
        <v>18</v>
      </c>
      <c r="D230" t="s">
        <v>25</v>
      </c>
      <c r="E230" t="s">
        <v>15</v>
      </c>
      <c r="F230">
        <v>45407</v>
      </c>
      <c r="G230">
        <v>12</v>
      </c>
      <c r="H230">
        <v>84.86</v>
      </c>
    </row>
    <row r="231" spans="1:9" x14ac:dyDescent="0.3">
      <c r="A231" t="s">
        <v>242</v>
      </c>
      <c r="C231" t="s">
        <v>42</v>
      </c>
      <c r="D231" t="s">
        <v>33</v>
      </c>
      <c r="E231" t="s">
        <v>43</v>
      </c>
      <c r="F231">
        <v>45512</v>
      </c>
      <c r="I231" t="s">
        <v>21</v>
      </c>
    </row>
    <row r="232" spans="1:9" x14ac:dyDescent="0.3">
      <c r="A232" t="s">
        <v>243</v>
      </c>
      <c r="C232" t="s">
        <v>42</v>
      </c>
      <c r="D232" t="s">
        <v>19</v>
      </c>
      <c r="E232" t="s">
        <v>57</v>
      </c>
      <c r="F232">
        <v>45440</v>
      </c>
      <c r="H232">
        <v>1926.6</v>
      </c>
      <c r="I232" t="s">
        <v>26</v>
      </c>
    </row>
    <row r="233" spans="1:9" x14ac:dyDescent="0.3">
      <c r="A233" t="s">
        <v>244</v>
      </c>
      <c r="B233">
        <v>22</v>
      </c>
      <c r="C233" t="s">
        <v>18</v>
      </c>
      <c r="D233" t="s">
        <v>19</v>
      </c>
      <c r="E233" t="s">
        <v>57</v>
      </c>
      <c r="F233">
        <v>45325</v>
      </c>
      <c r="G233">
        <v>18</v>
      </c>
      <c r="I233" t="s">
        <v>12</v>
      </c>
    </row>
    <row r="234" spans="1:9" x14ac:dyDescent="0.3">
      <c r="A234" t="s">
        <v>245</v>
      </c>
      <c r="E234" t="s">
        <v>29</v>
      </c>
      <c r="F234">
        <v>45415</v>
      </c>
      <c r="G234">
        <v>13</v>
      </c>
      <c r="I234" t="s">
        <v>16</v>
      </c>
    </row>
    <row r="235" spans="1:9" x14ac:dyDescent="0.3">
      <c r="A235" t="s">
        <v>246</v>
      </c>
      <c r="B235">
        <v>28</v>
      </c>
      <c r="D235" t="s">
        <v>19</v>
      </c>
      <c r="E235" t="s">
        <v>29</v>
      </c>
      <c r="F235">
        <v>45534</v>
      </c>
    </row>
    <row r="236" spans="1:9" x14ac:dyDescent="0.3">
      <c r="A236" t="s">
        <v>247</v>
      </c>
      <c r="B236">
        <v>42</v>
      </c>
      <c r="D236" t="s">
        <v>33</v>
      </c>
      <c r="E236" t="s">
        <v>34</v>
      </c>
      <c r="F236">
        <v>45336</v>
      </c>
      <c r="I236" t="s">
        <v>21</v>
      </c>
    </row>
    <row r="237" spans="1:9" x14ac:dyDescent="0.3">
      <c r="A237" t="s">
        <v>163</v>
      </c>
      <c r="C237" t="s">
        <v>28</v>
      </c>
      <c r="D237" t="s">
        <v>14</v>
      </c>
      <c r="E237" t="s">
        <v>15</v>
      </c>
      <c r="I237" t="s">
        <v>26</v>
      </c>
    </row>
    <row r="238" spans="1:9" x14ac:dyDescent="0.3">
      <c r="A238" t="s">
        <v>248</v>
      </c>
      <c r="B238">
        <v>74</v>
      </c>
      <c r="C238" t="s">
        <v>38</v>
      </c>
      <c r="D238" t="s">
        <v>25</v>
      </c>
      <c r="E238" t="s">
        <v>29</v>
      </c>
    </row>
    <row r="239" spans="1:9" x14ac:dyDescent="0.3">
      <c r="A239" t="s">
        <v>249</v>
      </c>
      <c r="B239">
        <v>49</v>
      </c>
      <c r="C239" t="s">
        <v>38</v>
      </c>
      <c r="D239" t="s">
        <v>10</v>
      </c>
      <c r="E239" t="s">
        <v>15</v>
      </c>
      <c r="F239">
        <v>45357</v>
      </c>
      <c r="I239" t="s">
        <v>16</v>
      </c>
    </row>
    <row r="240" spans="1:9" x14ac:dyDescent="0.3">
      <c r="A240" t="s">
        <v>250</v>
      </c>
      <c r="D240" t="s">
        <v>48</v>
      </c>
      <c r="E240" t="s">
        <v>29</v>
      </c>
      <c r="F240">
        <v>45541</v>
      </c>
      <c r="H240">
        <v>636.16999999999996</v>
      </c>
      <c r="I240" t="s">
        <v>16</v>
      </c>
    </row>
    <row r="241" spans="1:9" x14ac:dyDescent="0.3">
      <c r="A241" t="s">
        <v>251</v>
      </c>
      <c r="B241">
        <v>22</v>
      </c>
      <c r="C241" t="s">
        <v>18</v>
      </c>
      <c r="D241" t="s">
        <v>10</v>
      </c>
      <c r="E241" t="s">
        <v>29</v>
      </c>
      <c r="F241">
        <v>45423</v>
      </c>
    </row>
    <row r="242" spans="1:9" x14ac:dyDescent="0.3">
      <c r="A242" t="s">
        <v>252</v>
      </c>
      <c r="C242" t="s">
        <v>38</v>
      </c>
      <c r="D242" t="s">
        <v>48</v>
      </c>
      <c r="E242" t="s">
        <v>29</v>
      </c>
      <c r="F242">
        <v>45303</v>
      </c>
      <c r="G242">
        <v>20</v>
      </c>
      <c r="I242" t="s">
        <v>21</v>
      </c>
    </row>
    <row r="243" spans="1:9" x14ac:dyDescent="0.3">
      <c r="A243" t="s">
        <v>253</v>
      </c>
      <c r="B243">
        <v>55</v>
      </c>
      <c r="C243" t="s">
        <v>38</v>
      </c>
      <c r="D243" t="s">
        <v>25</v>
      </c>
      <c r="E243" t="s">
        <v>34</v>
      </c>
      <c r="F243">
        <v>45408</v>
      </c>
      <c r="I243" t="s">
        <v>21</v>
      </c>
    </row>
    <row r="244" spans="1:9" x14ac:dyDescent="0.3">
      <c r="A244" t="s">
        <v>254</v>
      </c>
      <c r="C244" t="s">
        <v>28</v>
      </c>
      <c r="D244" t="s">
        <v>48</v>
      </c>
      <c r="E244" t="s">
        <v>34</v>
      </c>
      <c r="H244">
        <v>1434.88</v>
      </c>
      <c r="I244" t="s">
        <v>26</v>
      </c>
    </row>
    <row r="245" spans="1:9" x14ac:dyDescent="0.3">
      <c r="A245" t="s">
        <v>138</v>
      </c>
      <c r="D245" t="s">
        <v>14</v>
      </c>
      <c r="E245" t="s">
        <v>57</v>
      </c>
      <c r="F245">
        <v>45405</v>
      </c>
      <c r="H245">
        <v>1828.99</v>
      </c>
      <c r="I245" t="s">
        <v>26</v>
      </c>
    </row>
    <row r="246" spans="1:9" x14ac:dyDescent="0.3">
      <c r="A246" t="s">
        <v>255</v>
      </c>
      <c r="C246" t="s">
        <v>28</v>
      </c>
      <c r="E246" t="s">
        <v>29</v>
      </c>
      <c r="F246">
        <v>45326</v>
      </c>
      <c r="I246" t="s">
        <v>21</v>
      </c>
    </row>
    <row r="247" spans="1:9" x14ac:dyDescent="0.3">
      <c r="A247" t="s">
        <v>256</v>
      </c>
      <c r="D247" t="s">
        <v>10</v>
      </c>
      <c r="E247" t="s">
        <v>43</v>
      </c>
      <c r="G247">
        <v>17</v>
      </c>
      <c r="I247" t="s">
        <v>26</v>
      </c>
    </row>
    <row r="248" spans="1:9" x14ac:dyDescent="0.3">
      <c r="A248" t="s">
        <v>202</v>
      </c>
      <c r="C248" t="s">
        <v>38</v>
      </c>
      <c r="D248" t="s">
        <v>10</v>
      </c>
      <c r="E248" t="s">
        <v>20</v>
      </c>
      <c r="F248">
        <v>45631</v>
      </c>
      <c r="I248" t="s">
        <v>12</v>
      </c>
    </row>
    <row r="249" spans="1:9" x14ac:dyDescent="0.3">
      <c r="A249" t="s">
        <v>257</v>
      </c>
      <c r="B249">
        <v>73</v>
      </c>
      <c r="C249" t="s">
        <v>28</v>
      </c>
      <c r="D249" t="s">
        <v>25</v>
      </c>
      <c r="E249" t="s">
        <v>29</v>
      </c>
      <c r="F249">
        <v>45472</v>
      </c>
      <c r="G249">
        <v>3</v>
      </c>
      <c r="I249" t="s">
        <v>16</v>
      </c>
    </row>
    <row r="250" spans="1:9" x14ac:dyDescent="0.3">
      <c r="A250" t="s">
        <v>258</v>
      </c>
      <c r="C250" t="s">
        <v>18</v>
      </c>
      <c r="D250" t="s">
        <v>19</v>
      </c>
      <c r="E250" t="s">
        <v>57</v>
      </c>
      <c r="F250">
        <v>45475</v>
      </c>
      <c r="G250">
        <v>17</v>
      </c>
      <c r="I250" t="s">
        <v>21</v>
      </c>
    </row>
    <row r="251" spans="1:9" x14ac:dyDescent="0.3">
      <c r="A251" t="s">
        <v>259</v>
      </c>
      <c r="C251" t="s">
        <v>42</v>
      </c>
      <c r="D251" t="s">
        <v>14</v>
      </c>
      <c r="E251" t="s">
        <v>34</v>
      </c>
      <c r="F251">
        <v>45352</v>
      </c>
      <c r="H251">
        <v>414.95</v>
      </c>
      <c r="I251" t="s">
        <v>16</v>
      </c>
    </row>
    <row r="252" spans="1:9" x14ac:dyDescent="0.3">
      <c r="A252" t="s">
        <v>260</v>
      </c>
      <c r="C252" t="s">
        <v>28</v>
      </c>
      <c r="D252" t="s">
        <v>14</v>
      </c>
      <c r="E252" t="s">
        <v>20</v>
      </c>
      <c r="F252">
        <v>45611</v>
      </c>
      <c r="H252">
        <v>1630.61</v>
      </c>
    </row>
    <row r="253" spans="1:9" x14ac:dyDescent="0.3">
      <c r="A253" t="s">
        <v>261</v>
      </c>
      <c r="C253" t="s">
        <v>18</v>
      </c>
      <c r="D253" t="s">
        <v>33</v>
      </c>
      <c r="E253" t="s">
        <v>20</v>
      </c>
      <c r="F253">
        <v>45436</v>
      </c>
      <c r="G253">
        <v>12</v>
      </c>
      <c r="I253" t="s">
        <v>16</v>
      </c>
    </row>
    <row r="254" spans="1:9" x14ac:dyDescent="0.3">
      <c r="A254" t="s">
        <v>262</v>
      </c>
      <c r="C254" t="s">
        <v>18</v>
      </c>
      <c r="D254" t="s">
        <v>33</v>
      </c>
      <c r="E254" t="s">
        <v>57</v>
      </c>
      <c r="F254">
        <v>45385</v>
      </c>
      <c r="I254" t="s">
        <v>21</v>
      </c>
    </row>
    <row r="255" spans="1:9" x14ac:dyDescent="0.3">
      <c r="A255" t="s">
        <v>71</v>
      </c>
      <c r="D255" t="s">
        <v>14</v>
      </c>
      <c r="E255" t="s">
        <v>15</v>
      </c>
      <c r="F255">
        <v>45409</v>
      </c>
    </row>
    <row r="256" spans="1:9" x14ac:dyDescent="0.3">
      <c r="A256" t="s">
        <v>263</v>
      </c>
      <c r="C256" t="s">
        <v>42</v>
      </c>
      <c r="D256" t="s">
        <v>51</v>
      </c>
      <c r="E256" t="s">
        <v>34</v>
      </c>
      <c r="H256">
        <v>162.79</v>
      </c>
      <c r="I256" t="s">
        <v>16</v>
      </c>
    </row>
    <row r="257" spans="1:9" x14ac:dyDescent="0.3">
      <c r="A257" t="s">
        <v>264</v>
      </c>
      <c r="B257">
        <v>59</v>
      </c>
      <c r="C257" t="s">
        <v>18</v>
      </c>
      <c r="D257" t="s">
        <v>33</v>
      </c>
      <c r="E257" t="s">
        <v>23</v>
      </c>
      <c r="F257">
        <v>45648</v>
      </c>
      <c r="H257">
        <v>473.25</v>
      </c>
      <c r="I257" t="s">
        <v>12</v>
      </c>
    </row>
    <row r="258" spans="1:9" x14ac:dyDescent="0.3">
      <c r="A258" t="s">
        <v>265</v>
      </c>
      <c r="B258">
        <v>51</v>
      </c>
      <c r="C258" t="s">
        <v>28</v>
      </c>
      <c r="D258" t="s">
        <v>51</v>
      </c>
      <c r="E258" t="s">
        <v>15</v>
      </c>
      <c r="I258" t="s">
        <v>21</v>
      </c>
    </row>
    <row r="259" spans="1:9" x14ac:dyDescent="0.3">
      <c r="A259" t="s">
        <v>266</v>
      </c>
      <c r="B259">
        <v>83</v>
      </c>
      <c r="D259" t="s">
        <v>25</v>
      </c>
      <c r="E259" t="s">
        <v>29</v>
      </c>
      <c r="F259">
        <v>45532</v>
      </c>
      <c r="I259" t="s">
        <v>12</v>
      </c>
    </row>
    <row r="260" spans="1:9" x14ac:dyDescent="0.3">
      <c r="A260" t="s">
        <v>267</v>
      </c>
      <c r="C260" t="s">
        <v>42</v>
      </c>
      <c r="D260" t="s">
        <v>19</v>
      </c>
      <c r="E260" t="s">
        <v>34</v>
      </c>
      <c r="F260">
        <v>45550</v>
      </c>
      <c r="H260">
        <v>1167.6199999999999</v>
      </c>
      <c r="I260" t="s">
        <v>21</v>
      </c>
    </row>
    <row r="261" spans="1:9" x14ac:dyDescent="0.3">
      <c r="A261" t="s">
        <v>268</v>
      </c>
      <c r="C261" t="s">
        <v>28</v>
      </c>
      <c r="D261" t="s">
        <v>10</v>
      </c>
      <c r="E261" t="s">
        <v>15</v>
      </c>
      <c r="F261">
        <v>45609</v>
      </c>
      <c r="G261">
        <v>17</v>
      </c>
    </row>
    <row r="262" spans="1:9" x14ac:dyDescent="0.3">
      <c r="A262" t="s">
        <v>217</v>
      </c>
      <c r="D262" t="s">
        <v>48</v>
      </c>
      <c r="E262" t="s">
        <v>34</v>
      </c>
      <c r="G262">
        <v>7</v>
      </c>
      <c r="I262" t="s">
        <v>12</v>
      </c>
    </row>
    <row r="263" spans="1:9" x14ac:dyDescent="0.3">
      <c r="A263" t="s">
        <v>269</v>
      </c>
      <c r="B263">
        <v>63</v>
      </c>
      <c r="C263" t="s">
        <v>42</v>
      </c>
      <c r="D263" t="s">
        <v>10</v>
      </c>
      <c r="E263" t="s">
        <v>29</v>
      </c>
      <c r="F263">
        <v>45556</v>
      </c>
      <c r="G263">
        <v>18</v>
      </c>
      <c r="H263">
        <v>66.239999999999995</v>
      </c>
    </row>
    <row r="264" spans="1:9" x14ac:dyDescent="0.3">
      <c r="A264" t="s">
        <v>270</v>
      </c>
      <c r="C264" t="s">
        <v>18</v>
      </c>
      <c r="D264" t="s">
        <v>10</v>
      </c>
      <c r="E264" t="s">
        <v>43</v>
      </c>
      <c r="F264">
        <v>45595</v>
      </c>
      <c r="G264">
        <v>6</v>
      </c>
      <c r="H264">
        <v>949.41</v>
      </c>
    </row>
    <row r="265" spans="1:9" x14ac:dyDescent="0.3">
      <c r="A265" t="s">
        <v>271</v>
      </c>
      <c r="B265">
        <v>19</v>
      </c>
      <c r="C265" t="s">
        <v>18</v>
      </c>
      <c r="E265" t="s">
        <v>15</v>
      </c>
      <c r="F265">
        <v>45301</v>
      </c>
      <c r="I265" t="s">
        <v>16</v>
      </c>
    </row>
    <row r="266" spans="1:9" x14ac:dyDescent="0.3">
      <c r="A266" t="s">
        <v>272</v>
      </c>
      <c r="C266" t="s">
        <v>18</v>
      </c>
      <c r="D266" t="s">
        <v>14</v>
      </c>
      <c r="E266" t="s">
        <v>11</v>
      </c>
      <c r="F266">
        <v>45426</v>
      </c>
      <c r="G266">
        <v>8</v>
      </c>
      <c r="H266">
        <v>152.15</v>
      </c>
      <c r="I266" t="s">
        <v>12</v>
      </c>
    </row>
    <row r="267" spans="1:9" x14ac:dyDescent="0.3">
      <c r="A267" t="s">
        <v>273</v>
      </c>
      <c r="D267" t="s">
        <v>19</v>
      </c>
      <c r="E267" t="s">
        <v>29</v>
      </c>
      <c r="F267">
        <v>45424</v>
      </c>
      <c r="I267" t="s">
        <v>12</v>
      </c>
    </row>
    <row r="268" spans="1:9" x14ac:dyDescent="0.3">
      <c r="A268" t="s">
        <v>94</v>
      </c>
      <c r="C268" t="s">
        <v>28</v>
      </c>
      <c r="D268" t="s">
        <v>25</v>
      </c>
      <c r="E268" t="s">
        <v>15</v>
      </c>
      <c r="H268">
        <v>1937.94</v>
      </c>
      <c r="I268" t="s">
        <v>16</v>
      </c>
    </row>
    <row r="269" spans="1:9" x14ac:dyDescent="0.3">
      <c r="A269" t="s">
        <v>274</v>
      </c>
      <c r="C269" t="s">
        <v>28</v>
      </c>
      <c r="D269" t="s">
        <v>10</v>
      </c>
      <c r="E269" t="s">
        <v>23</v>
      </c>
      <c r="I269" t="s">
        <v>26</v>
      </c>
    </row>
    <row r="270" spans="1:9" x14ac:dyDescent="0.3">
      <c r="A270" t="s">
        <v>275</v>
      </c>
      <c r="B270">
        <v>67</v>
      </c>
      <c r="D270" t="s">
        <v>33</v>
      </c>
      <c r="E270" t="s">
        <v>43</v>
      </c>
      <c r="F270">
        <v>45593</v>
      </c>
      <c r="H270">
        <v>135.55000000000001</v>
      </c>
    </row>
    <row r="271" spans="1:9" x14ac:dyDescent="0.3">
      <c r="A271" t="s">
        <v>276</v>
      </c>
      <c r="B271">
        <v>95</v>
      </c>
      <c r="C271" t="s">
        <v>18</v>
      </c>
      <c r="D271" t="s">
        <v>10</v>
      </c>
      <c r="E271" t="s">
        <v>57</v>
      </c>
      <c r="F271">
        <v>45621</v>
      </c>
      <c r="I271" t="s">
        <v>21</v>
      </c>
    </row>
    <row r="272" spans="1:9" x14ac:dyDescent="0.3">
      <c r="A272" t="s">
        <v>277</v>
      </c>
      <c r="B272">
        <v>87</v>
      </c>
      <c r="D272" t="s">
        <v>48</v>
      </c>
      <c r="E272" t="s">
        <v>11</v>
      </c>
      <c r="F272">
        <v>45331</v>
      </c>
      <c r="G272">
        <v>5</v>
      </c>
      <c r="H272">
        <v>791.73</v>
      </c>
      <c r="I272" t="s">
        <v>21</v>
      </c>
    </row>
    <row r="273" spans="1:9" x14ac:dyDescent="0.3">
      <c r="A273" t="s">
        <v>278</v>
      </c>
      <c r="B273">
        <v>26</v>
      </c>
      <c r="C273" t="s">
        <v>38</v>
      </c>
      <c r="D273" t="s">
        <v>51</v>
      </c>
      <c r="E273" t="s">
        <v>15</v>
      </c>
      <c r="F273">
        <v>45471</v>
      </c>
      <c r="G273">
        <v>9</v>
      </c>
      <c r="H273">
        <v>1245.69</v>
      </c>
      <c r="I273" t="s">
        <v>16</v>
      </c>
    </row>
    <row r="274" spans="1:9" x14ac:dyDescent="0.3">
      <c r="A274" t="s">
        <v>279</v>
      </c>
      <c r="B274">
        <v>95</v>
      </c>
      <c r="C274" t="s">
        <v>38</v>
      </c>
      <c r="D274" t="s">
        <v>45</v>
      </c>
      <c r="E274" t="s">
        <v>29</v>
      </c>
      <c r="F274">
        <v>45467</v>
      </c>
      <c r="G274">
        <v>19</v>
      </c>
      <c r="H274">
        <v>490.75</v>
      </c>
    </row>
    <row r="275" spans="1:9" x14ac:dyDescent="0.3">
      <c r="A275" t="s">
        <v>280</v>
      </c>
      <c r="B275">
        <v>27</v>
      </c>
      <c r="D275" t="s">
        <v>45</v>
      </c>
      <c r="E275" t="s">
        <v>29</v>
      </c>
      <c r="I275" t="s">
        <v>12</v>
      </c>
    </row>
    <row r="276" spans="1:9" x14ac:dyDescent="0.3">
      <c r="A276" t="s">
        <v>160</v>
      </c>
      <c r="B276">
        <v>21</v>
      </c>
      <c r="C276" t="s">
        <v>28</v>
      </c>
      <c r="E276" t="s">
        <v>34</v>
      </c>
      <c r="F276">
        <v>45312</v>
      </c>
      <c r="G276">
        <v>11</v>
      </c>
      <c r="I276" t="s">
        <v>16</v>
      </c>
    </row>
    <row r="277" spans="1:9" x14ac:dyDescent="0.3">
      <c r="A277" t="s">
        <v>75</v>
      </c>
      <c r="C277" t="s">
        <v>28</v>
      </c>
      <c r="D277" t="s">
        <v>19</v>
      </c>
      <c r="E277" t="s">
        <v>34</v>
      </c>
      <c r="F277">
        <v>45374</v>
      </c>
      <c r="I277" t="s">
        <v>21</v>
      </c>
    </row>
    <row r="278" spans="1:9" x14ac:dyDescent="0.3">
      <c r="A278" t="s">
        <v>168</v>
      </c>
      <c r="C278" t="s">
        <v>42</v>
      </c>
      <c r="D278" t="s">
        <v>48</v>
      </c>
      <c r="E278" t="s">
        <v>43</v>
      </c>
      <c r="F278">
        <v>45650</v>
      </c>
      <c r="H278">
        <v>1540.44</v>
      </c>
    </row>
    <row r="279" spans="1:9" x14ac:dyDescent="0.3">
      <c r="A279" t="s">
        <v>96</v>
      </c>
      <c r="B279">
        <v>53</v>
      </c>
      <c r="C279" t="s">
        <v>28</v>
      </c>
      <c r="D279" t="s">
        <v>48</v>
      </c>
      <c r="E279" t="s">
        <v>20</v>
      </c>
      <c r="F279">
        <v>45587</v>
      </c>
      <c r="I279" t="s">
        <v>16</v>
      </c>
    </row>
    <row r="280" spans="1:9" x14ac:dyDescent="0.3">
      <c r="A280" t="s">
        <v>269</v>
      </c>
      <c r="C280" t="s">
        <v>18</v>
      </c>
      <c r="D280" t="s">
        <v>19</v>
      </c>
      <c r="E280" t="s">
        <v>20</v>
      </c>
      <c r="F280">
        <v>45627</v>
      </c>
      <c r="I280" t="s">
        <v>21</v>
      </c>
    </row>
    <row r="281" spans="1:9" x14ac:dyDescent="0.3">
      <c r="A281" t="s">
        <v>281</v>
      </c>
      <c r="C281" t="s">
        <v>18</v>
      </c>
      <c r="D281" t="s">
        <v>48</v>
      </c>
      <c r="E281" t="s">
        <v>43</v>
      </c>
      <c r="F281">
        <v>45426</v>
      </c>
      <c r="I281" t="s">
        <v>21</v>
      </c>
    </row>
    <row r="282" spans="1:9" x14ac:dyDescent="0.3">
      <c r="A282" t="s">
        <v>282</v>
      </c>
      <c r="C282" t="s">
        <v>42</v>
      </c>
      <c r="D282" t="s">
        <v>48</v>
      </c>
      <c r="E282" t="s">
        <v>57</v>
      </c>
      <c r="F282">
        <v>45292</v>
      </c>
      <c r="I282" t="s">
        <v>16</v>
      </c>
    </row>
    <row r="283" spans="1:9" x14ac:dyDescent="0.3">
      <c r="A283" t="s">
        <v>278</v>
      </c>
      <c r="C283" t="s">
        <v>28</v>
      </c>
      <c r="D283" t="s">
        <v>10</v>
      </c>
      <c r="E283" t="s">
        <v>11</v>
      </c>
      <c r="F283">
        <v>45529</v>
      </c>
      <c r="I283" t="s">
        <v>16</v>
      </c>
    </row>
    <row r="284" spans="1:9" x14ac:dyDescent="0.3">
      <c r="A284" t="s">
        <v>283</v>
      </c>
      <c r="B284">
        <v>94</v>
      </c>
      <c r="C284" t="s">
        <v>18</v>
      </c>
      <c r="D284" t="s">
        <v>33</v>
      </c>
      <c r="E284" t="s">
        <v>23</v>
      </c>
      <c r="F284">
        <v>45356</v>
      </c>
      <c r="H284">
        <v>851.41</v>
      </c>
      <c r="I284" t="s">
        <v>21</v>
      </c>
    </row>
    <row r="285" spans="1:9" x14ac:dyDescent="0.3">
      <c r="A285" t="s">
        <v>284</v>
      </c>
      <c r="C285" t="s">
        <v>42</v>
      </c>
      <c r="D285" t="s">
        <v>14</v>
      </c>
      <c r="E285" t="s">
        <v>23</v>
      </c>
      <c r="F285">
        <v>45363</v>
      </c>
      <c r="I285" t="s">
        <v>21</v>
      </c>
    </row>
    <row r="286" spans="1:9" x14ac:dyDescent="0.3">
      <c r="A286" t="s">
        <v>285</v>
      </c>
      <c r="B286">
        <v>93</v>
      </c>
      <c r="D286" t="s">
        <v>33</v>
      </c>
      <c r="E286" t="s">
        <v>15</v>
      </c>
      <c r="F286">
        <v>45307</v>
      </c>
      <c r="G286">
        <v>3</v>
      </c>
      <c r="H286">
        <v>1081.83</v>
      </c>
      <c r="I286" t="s">
        <v>12</v>
      </c>
    </row>
    <row r="287" spans="1:9" x14ac:dyDescent="0.3">
      <c r="A287" t="s">
        <v>286</v>
      </c>
      <c r="C287" t="s">
        <v>28</v>
      </c>
      <c r="D287" t="s">
        <v>19</v>
      </c>
      <c r="E287" t="s">
        <v>20</v>
      </c>
      <c r="F287">
        <v>45510</v>
      </c>
      <c r="G287">
        <v>19</v>
      </c>
      <c r="I287" t="s">
        <v>26</v>
      </c>
    </row>
    <row r="288" spans="1:9" x14ac:dyDescent="0.3">
      <c r="A288" t="s">
        <v>287</v>
      </c>
      <c r="B288">
        <v>45</v>
      </c>
      <c r="C288" t="s">
        <v>18</v>
      </c>
      <c r="E288" t="s">
        <v>34</v>
      </c>
      <c r="I288" t="s">
        <v>16</v>
      </c>
    </row>
    <row r="289" spans="1:9" x14ac:dyDescent="0.3">
      <c r="A289" t="s">
        <v>288</v>
      </c>
      <c r="C289" t="s">
        <v>38</v>
      </c>
      <c r="D289" t="s">
        <v>19</v>
      </c>
      <c r="E289" t="s">
        <v>29</v>
      </c>
      <c r="F289">
        <v>45476</v>
      </c>
      <c r="I289" t="s">
        <v>26</v>
      </c>
    </row>
    <row r="290" spans="1:9" x14ac:dyDescent="0.3">
      <c r="A290" t="s">
        <v>289</v>
      </c>
      <c r="C290" t="s">
        <v>42</v>
      </c>
      <c r="D290" t="s">
        <v>51</v>
      </c>
      <c r="E290" t="s">
        <v>20</v>
      </c>
      <c r="G290">
        <v>3</v>
      </c>
      <c r="I290" t="s">
        <v>26</v>
      </c>
    </row>
    <row r="291" spans="1:9" x14ac:dyDescent="0.3">
      <c r="A291" t="s">
        <v>290</v>
      </c>
      <c r="B291">
        <v>95</v>
      </c>
      <c r="C291" t="s">
        <v>38</v>
      </c>
      <c r="D291" t="s">
        <v>25</v>
      </c>
      <c r="E291" t="s">
        <v>23</v>
      </c>
      <c r="I291" t="s">
        <v>16</v>
      </c>
    </row>
    <row r="292" spans="1:9" x14ac:dyDescent="0.3">
      <c r="A292" t="s">
        <v>53</v>
      </c>
      <c r="B292">
        <v>36</v>
      </c>
      <c r="D292" t="s">
        <v>51</v>
      </c>
      <c r="E292" t="s">
        <v>57</v>
      </c>
      <c r="F292">
        <v>45539</v>
      </c>
      <c r="G292">
        <v>6</v>
      </c>
      <c r="I292" t="s">
        <v>16</v>
      </c>
    </row>
    <row r="293" spans="1:9" x14ac:dyDescent="0.3">
      <c r="A293" t="s">
        <v>291</v>
      </c>
      <c r="C293" t="s">
        <v>42</v>
      </c>
      <c r="E293" t="s">
        <v>23</v>
      </c>
      <c r="F293">
        <v>45601</v>
      </c>
      <c r="I293" t="s">
        <v>12</v>
      </c>
    </row>
    <row r="294" spans="1:9" x14ac:dyDescent="0.3">
      <c r="A294" t="s">
        <v>292</v>
      </c>
      <c r="B294">
        <v>69</v>
      </c>
      <c r="C294" t="s">
        <v>28</v>
      </c>
      <c r="D294" t="s">
        <v>48</v>
      </c>
      <c r="E294" t="s">
        <v>57</v>
      </c>
      <c r="F294">
        <v>45532</v>
      </c>
      <c r="I294" t="s">
        <v>21</v>
      </c>
    </row>
    <row r="295" spans="1:9" x14ac:dyDescent="0.3">
      <c r="A295" t="s">
        <v>293</v>
      </c>
      <c r="C295" t="s">
        <v>42</v>
      </c>
      <c r="E295" t="s">
        <v>57</v>
      </c>
      <c r="G295">
        <v>20</v>
      </c>
    </row>
    <row r="296" spans="1:9" x14ac:dyDescent="0.3">
      <c r="A296" t="s">
        <v>257</v>
      </c>
      <c r="D296" t="s">
        <v>19</v>
      </c>
      <c r="E296" t="s">
        <v>57</v>
      </c>
      <c r="F296">
        <v>45555</v>
      </c>
      <c r="G296">
        <v>8</v>
      </c>
      <c r="I296" t="s">
        <v>26</v>
      </c>
    </row>
    <row r="297" spans="1:9" x14ac:dyDescent="0.3">
      <c r="A297" t="s">
        <v>294</v>
      </c>
      <c r="C297" t="s">
        <v>18</v>
      </c>
      <c r="D297" t="s">
        <v>48</v>
      </c>
      <c r="E297" t="s">
        <v>20</v>
      </c>
      <c r="F297">
        <v>45648</v>
      </c>
      <c r="G297">
        <v>3</v>
      </c>
      <c r="H297">
        <v>1038.4100000000001</v>
      </c>
      <c r="I297" t="s">
        <v>26</v>
      </c>
    </row>
    <row r="298" spans="1:9" x14ac:dyDescent="0.3">
      <c r="A298" t="s">
        <v>295</v>
      </c>
      <c r="C298" t="s">
        <v>18</v>
      </c>
      <c r="D298" t="s">
        <v>45</v>
      </c>
      <c r="E298" t="s">
        <v>29</v>
      </c>
      <c r="F298">
        <v>45478</v>
      </c>
      <c r="G298">
        <v>3</v>
      </c>
      <c r="I298" t="s">
        <v>12</v>
      </c>
    </row>
    <row r="299" spans="1:9" x14ac:dyDescent="0.3">
      <c r="A299" t="s">
        <v>296</v>
      </c>
      <c r="B299">
        <v>64</v>
      </c>
      <c r="C299" t="s">
        <v>18</v>
      </c>
      <c r="D299" t="s">
        <v>19</v>
      </c>
      <c r="E299" t="s">
        <v>29</v>
      </c>
      <c r="F299">
        <v>45502</v>
      </c>
      <c r="I299" t="s">
        <v>21</v>
      </c>
    </row>
    <row r="300" spans="1:9" x14ac:dyDescent="0.3">
      <c r="A300" t="s">
        <v>297</v>
      </c>
      <c r="D300" t="s">
        <v>48</v>
      </c>
      <c r="E300" t="s">
        <v>15</v>
      </c>
      <c r="F300">
        <v>45420</v>
      </c>
      <c r="G300">
        <v>19</v>
      </c>
      <c r="H300">
        <v>1940.09</v>
      </c>
    </row>
    <row r="301" spans="1:9" x14ac:dyDescent="0.3">
      <c r="A301" t="s">
        <v>298</v>
      </c>
      <c r="C301" t="s">
        <v>38</v>
      </c>
      <c r="D301" t="s">
        <v>25</v>
      </c>
      <c r="E301" t="s">
        <v>34</v>
      </c>
      <c r="F301">
        <v>45614</v>
      </c>
      <c r="H301">
        <v>482.73</v>
      </c>
      <c r="I301" t="s">
        <v>12</v>
      </c>
    </row>
    <row r="302" spans="1:9" x14ac:dyDescent="0.3">
      <c r="A302" t="s">
        <v>299</v>
      </c>
      <c r="B302">
        <v>79</v>
      </c>
      <c r="C302" t="s">
        <v>18</v>
      </c>
      <c r="D302" t="s">
        <v>14</v>
      </c>
      <c r="E302" t="s">
        <v>15</v>
      </c>
      <c r="F302">
        <v>45448</v>
      </c>
      <c r="I302" t="s">
        <v>21</v>
      </c>
    </row>
    <row r="303" spans="1:9" x14ac:dyDescent="0.3">
      <c r="A303" t="s">
        <v>261</v>
      </c>
      <c r="B303">
        <v>88</v>
      </c>
      <c r="C303" t="s">
        <v>28</v>
      </c>
      <c r="D303" t="s">
        <v>14</v>
      </c>
      <c r="E303" t="s">
        <v>29</v>
      </c>
      <c r="F303">
        <v>45600</v>
      </c>
      <c r="I303" t="s">
        <v>12</v>
      </c>
    </row>
    <row r="304" spans="1:9" x14ac:dyDescent="0.3">
      <c r="A304" t="s">
        <v>300</v>
      </c>
      <c r="C304" t="s">
        <v>18</v>
      </c>
      <c r="E304" t="s">
        <v>15</v>
      </c>
      <c r="F304">
        <v>45360</v>
      </c>
      <c r="G304">
        <v>19</v>
      </c>
      <c r="I304" t="s">
        <v>16</v>
      </c>
    </row>
    <row r="305" spans="1:9" x14ac:dyDescent="0.3">
      <c r="A305" t="s">
        <v>167</v>
      </c>
      <c r="C305" t="s">
        <v>38</v>
      </c>
      <c r="D305" t="s">
        <v>14</v>
      </c>
      <c r="E305" t="s">
        <v>20</v>
      </c>
      <c r="I305" t="s">
        <v>12</v>
      </c>
    </row>
    <row r="306" spans="1:9" x14ac:dyDescent="0.3">
      <c r="A306" t="s">
        <v>301</v>
      </c>
      <c r="B306">
        <v>33</v>
      </c>
      <c r="C306" t="s">
        <v>38</v>
      </c>
      <c r="D306" t="s">
        <v>45</v>
      </c>
      <c r="E306" t="s">
        <v>11</v>
      </c>
      <c r="F306">
        <v>45634</v>
      </c>
      <c r="I306" t="s">
        <v>16</v>
      </c>
    </row>
    <row r="307" spans="1:9" x14ac:dyDescent="0.3">
      <c r="A307" t="s">
        <v>302</v>
      </c>
      <c r="D307" t="s">
        <v>33</v>
      </c>
      <c r="E307" t="s">
        <v>15</v>
      </c>
      <c r="F307">
        <v>45450</v>
      </c>
      <c r="I307" t="s">
        <v>26</v>
      </c>
    </row>
    <row r="308" spans="1:9" x14ac:dyDescent="0.3">
      <c r="A308" t="s">
        <v>303</v>
      </c>
      <c r="C308" t="s">
        <v>28</v>
      </c>
      <c r="D308" t="s">
        <v>19</v>
      </c>
      <c r="E308" t="s">
        <v>11</v>
      </c>
      <c r="F308">
        <v>45292</v>
      </c>
      <c r="G308">
        <v>13</v>
      </c>
      <c r="H308">
        <v>1813.49</v>
      </c>
    </row>
    <row r="309" spans="1:9" x14ac:dyDescent="0.3">
      <c r="A309" t="s">
        <v>182</v>
      </c>
      <c r="C309" t="s">
        <v>42</v>
      </c>
      <c r="E309" t="s">
        <v>11</v>
      </c>
      <c r="F309">
        <v>45626</v>
      </c>
      <c r="G309">
        <v>15</v>
      </c>
    </row>
    <row r="310" spans="1:9" x14ac:dyDescent="0.3">
      <c r="A310" t="s">
        <v>224</v>
      </c>
      <c r="C310" t="s">
        <v>18</v>
      </c>
      <c r="D310" t="s">
        <v>10</v>
      </c>
      <c r="E310" t="s">
        <v>20</v>
      </c>
      <c r="G310">
        <v>16</v>
      </c>
      <c r="H310">
        <v>1923.86</v>
      </c>
      <c r="I310" t="s">
        <v>26</v>
      </c>
    </row>
    <row r="311" spans="1:9" x14ac:dyDescent="0.3">
      <c r="A311" t="s">
        <v>304</v>
      </c>
      <c r="C311" t="s">
        <v>42</v>
      </c>
      <c r="D311" t="s">
        <v>10</v>
      </c>
      <c r="E311" t="s">
        <v>11</v>
      </c>
      <c r="F311">
        <v>45591</v>
      </c>
      <c r="H311">
        <v>362.47</v>
      </c>
      <c r="I311" t="s">
        <v>21</v>
      </c>
    </row>
    <row r="312" spans="1:9" x14ac:dyDescent="0.3">
      <c r="A312" t="s">
        <v>282</v>
      </c>
      <c r="C312" t="s">
        <v>38</v>
      </c>
      <c r="D312" t="s">
        <v>33</v>
      </c>
      <c r="E312" t="s">
        <v>20</v>
      </c>
      <c r="F312">
        <v>45415</v>
      </c>
      <c r="I312" t="s">
        <v>12</v>
      </c>
    </row>
    <row r="313" spans="1:9" x14ac:dyDescent="0.3">
      <c r="A313" t="s">
        <v>305</v>
      </c>
      <c r="B313">
        <v>36</v>
      </c>
      <c r="D313" t="s">
        <v>45</v>
      </c>
      <c r="E313" t="s">
        <v>29</v>
      </c>
      <c r="F313">
        <v>45582</v>
      </c>
      <c r="I313" t="s">
        <v>16</v>
      </c>
    </row>
    <row r="314" spans="1:9" x14ac:dyDescent="0.3">
      <c r="A314" t="s">
        <v>87</v>
      </c>
      <c r="B314">
        <v>21</v>
      </c>
      <c r="C314" t="s">
        <v>42</v>
      </c>
      <c r="D314" t="s">
        <v>48</v>
      </c>
      <c r="E314" t="s">
        <v>43</v>
      </c>
      <c r="G314">
        <v>11</v>
      </c>
      <c r="I314" t="s">
        <v>21</v>
      </c>
    </row>
    <row r="315" spans="1:9" x14ac:dyDescent="0.3">
      <c r="A315" t="s">
        <v>109</v>
      </c>
      <c r="C315" t="s">
        <v>18</v>
      </c>
      <c r="D315" t="s">
        <v>48</v>
      </c>
      <c r="E315" t="s">
        <v>43</v>
      </c>
      <c r="F315">
        <v>45466</v>
      </c>
      <c r="G315">
        <v>8</v>
      </c>
      <c r="H315">
        <v>1459.01</v>
      </c>
      <c r="I315" t="s">
        <v>21</v>
      </c>
    </row>
    <row r="316" spans="1:9" x14ac:dyDescent="0.3">
      <c r="A316" t="s">
        <v>306</v>
      </c>
      <c r="C316" t="s">
        <v>42</v>
      </c>
      <c r="D316" t="s">
        <v>19</v>
      </c>
      <c r="E316" t="s">
        <v>43</v>
      </c>
      <c r="F316">
        <v>45447</v>
      </c>
      <c r="H316">
        <v>214.65</v>
      </c>
      <c r="I316" t="s">
        <v>21</v>
      </c>
    </row>
    <row r="317" spans="1:9" x14ac:dyDescent="0.3">
      <c r="A317" t="s">
        <v>307</v>
      </c>
      <c r="B317">
        <v>60</v>
      </c>
      <c r="D317" t="s">
        <v>33</v>
      </c>
      <c r="E317" t="s">
        <v>57</v>
      </c>
      <c r="G317">
        <v>8</v>
      </c>
      <c r="I317" t="s">
        <v>26</v>
      </c>
    </row>
    <row r="318" spans="1:9" x14ac:dyDescent="0.3">
      <c r="A318" t="s">
        <v>308</v>
      </c>
      <c r="B318">
        <v>22</v>
      </c>
      <c r="C318" t="s">
        <v>42</v>
      </c>
      <c r="D318" t="s">
        <v>48</v>
      </c>
      <c r="E318" t="s">
        <v>15</v>
      </c>
      <c r="F318">
        <v>45553</v>
      </c>
      <c r="I318" t="s">
        <v>26</v>
      </c>
    </row>
    <row r="319" spans="1:9" x14ac:dyDescent="0.3">
      <c r="A319" t="s">
        <v>309</v>
      </c>
      <c r="C319" t="s">
        <v>38</v>
      </c>
      <c r="D319" t="s">
        <v>19</v>
      </c>
      <c r="E319" t="s">
        <v>34</v>
      </c>
      <c r="F319">
        <v>45598</v>
      </c>
      <c r="H319">
        <v>163.54</v>
      </c>
    </row>
    <row r="320" spans="1:9" x14ac:dyDescent="0.3">
      <c r="A320" t="s">
        <v>310</v>
      </c>
      <c r="C320" t="s">
        <v>38</v>
      </c>
      <c r="D320" t="s">
        <v>48</v>
      </c>
      <c r="E320" t="s">
        <v>15</v>
      </c>
      <c r="F320">
        <v>45567</v>
      </c>
      <c r="I320" t="s">
        <v>21</v>
      </c>
    </row>
    <row r="321" spans="1:9" x14ac:dyDescent="0.3">
      <c r="A321" t="s">
        <v>311</v>
      </c>
      <c r="C321" t="s">
        <v>42</v>
      </c>
      <c r="D321" t="s">
        <v>33</v>
      </c>
      <c r="E321" t="s">
        <v>23</v>
      </c>
      <c r="F321">
        <v>45295</v>
      </c>
      <c r="G321">
        <v>6</v>
      </c>
    </row>
    <row r="322" spans="1:9" x14ac:dyDescent="0.3">
      <c r="A322" t="s">
        <v>156</v>
      </c>
      <c r="C322" t="s">
        <v>42</v>
      </c>
      <c r="D322" t="s">
        <v>33</v>
      </c>
      <c r="E322" t="s">
        <v>29</v>
      </c>
      <c r="F322">
        <v>45375</v>
      </c>
    </row>
    <row r="323" spans="1:9" x14ac:dyDescent="0.3">
      <c r="A323" t="s">
        <v>312</v>
      </c>
      <c r="D323" t="s">
        <v>14</v>
      </c>
      <c r="E323" t="s">
        <v>23</v>
      </c>
      <c r="F323">
        <v>45491</v>
      </c>
      <c r="I323" t="s">
        <v>16</v>
      </c>
    </row>
    <row r="324" spans="1:9" x14ac:dyDescent="0.3">
      <c r="A324" t="s">
        <v>159</v>
      </c>
      <c r="C324" t="s">
        <v>28</v>
      </c>
      <c r="D324" t="s">
        <v>48</v>
      </c>
      <c r="E324" t="s">
        <v>23</v>
      </c>
      <c r="F324">
        <v>45484</v>
      </c>
      <c r="I324" t="s">
        <v>26</v>
      </c>
    </row>
    <row r="325" spans="1:9" x14ac:dyDescent="0.3">
      <c r="A325" t="s">
        <v>313</v>
      </c>
      <c r="B325">
        <v>53</v>
      </c>
      <c r="C325" t="s">
        <v>42</v>
      </c>
      <c r="D325" t="s">
        <v>14</v>
      </c>
      <c r="E325" t="s">
        <v>20</v>
      </c>
      <c r="F325">
        <v>45646</v>
      </c>
      <c r="H325">
        <v>944.82</v>
      </c>
      <c r="I325" t="s">
        <v>12</v>
      </c>
    </row>
    <row r="326" spans="1:9" x14ac:dyDescent="0.3">
      <c r="A326" t="s">
        <v>161</v>
      </c>
      <c r="C326" t="s">
        <v>28</v>
      </c>
      <c r="E326" t="s">
        <v>15</v>
      </c>
      <c r="I326" t="s">
        <v>26</v>
      </c>
    </row>
    <row r="327" spans="1:9" x14ac:dyDescent="0.3">
      <c r="A327" t="s">
        <v>314</v>
      </c>
      <c r="D327" t="s">
        <v>25</v>
      </c>
      <c r="E327" t="s">
        <v>57</v>
      </c>
      <c r="I327" t="s">
        <v>26</v>
      </c>
    </row>
    <row r="328" spans="1:9" x14ac:dyDescent="0.3">
      <c r="A328" t="s">
        <v>315</v>
      </c>
      <c r="C328" t="s">
        <v>18</v>
      </c>
      <c r="D328" t="s">
        <v>14</v>
      </c>
      <c r="E328" t="s">
        <v>57</v>
      </c>
      <c r="H328">
        <v>1319.94</v>
      </c>
      <c r="I328" t="s">
        <v>21</v>
      </c>
    </row>
    <row r="329" spans="1:9" x14ac:dyDescent="0.3">
      <c r="A329" t="s">
        <v>184</v>
      </c>
      <c r="C329" t="s">
        <v>38</v>
      </c>
      <c r="D329" t="s">
        <v>51</v>
      </c>
      <c r="E329" t="s">
        <v>43</v>
      </c>
      <c r="F329">
        <v>45333</v>
      </c>
    </row>
    <row r="330" spans="1:9" x14ac:dyDescent="0.3">
      <c r="A330" t="s">
        <v>316</v>
      </c>
      <c r="C330" t="s">
        <v>18</v>
      </c>
      <c r="D330" t="s">
        <v>51</v>
      </c>
      <c r="E330" t="s">
        <v>57</v>
      </c>
      <c r="F330">
        <v>45430</v>
      </c>
      <c r="H330">
        <v>1293.02</v>
      </c>
      <c r="I330" t="s">
        <v>21</v>
      </c>
    </row>
    <row r="331" spans="1:9" x14ac:dyDescent="0.3">
      <c r="A331" t="s">
        <v>127</v>
      </c>
      <c r="C331" t="s">
        <v>42</v>
      </c>
      <c r="D331" t="s">
        <v>48</v>
      </c>
      <c r="E331" t="s">
        <v>23</v>
      </c>
      <c r="F331">
        <v>45311</v>
      </c>
      <c r="I331" t="s">
        <v>26</v>
      </c>
    </row>
    <row r="332" spans="1:9" x14ac:dyDescent="0.3">
      <c r="A332" t="s">
        <v>317</v>
      </c>
      <c r="C332" t="s">
        <v>28</v>
      </c>
      <c r="D332" t="s">
        <v>14</v>
      </c>
      <c r="E332" t="s">
        <v>15</v>
      </c>
      <c r="F332">
        <v>45316</v>
      </c>
      <c r="I332" t="s">
        <v>26</v>
      </c>
    </row>
    <row r="333" spans="1:9" x14ac:dyDescent="0.3">
      <c r="A333" t="s">
        <v>318</v>
      </c>
      <c r="B333">
        <v>77</v>
      </c>
      <c r="C333" t="s">
        <v>18</v>
      </c>
      <c r="D333" t="s">
        <v>14</v>
      </c>
      <c r="E333" t="s">
        <v>29</v>
      </c>
      <c r="F333">
        <v>45499</v>
      </c>
      <c r="I333" t="s">
        <v>16</v>
      </c>
    </row>
    <row r="334" spans="1:9" x14ac:dyDescent="0.3">
      <c r="A334" t="s">
        <v>319</v>
      </c>
      <c r="C334" t="s">
        <v>28</v>
      </c>
      <c r="D334" t="s">
        <v>51</v>
      </c>
      <c r="E334" t="s">
        <v>43</v>
      </c>
      <c r="G334">
        <v>19</v>
      </c>
      <c r="H334">
        <v>1366.3</v>
      </c>
      <c r="I334" t="s">
        <v>21</v>
      </c>
    </row>
    <row r="335" spans="1:9" x14ac:dyDescent="0.3">
      <c r="A335" t="s">
        <v>320</v>
      </c>
      <c r="C335" t="s">
        <v>42</v>
      </c>
      <c r="D335" t="s">
        <v>10</v>
      </c>
      <c r="E335" t="s">
        <v>20</v>
      </c>
      <c r="F335">
        <v>45470</v>
      </c>
      <c r="G335">
        <v>18</v>
      </c>
    </row>
    <row r="336" spans="1:9" x14ac:dyDescent="0.3">
      <c r="A336" t="s">
        <v>321</v>
      </c>
      <c r="C336" t="s">
        <v>28</v>
      </c>
      <c r="D336" t="s">
        <v>10</v>
      </c>
      <c r="E336" t="s">
        <v>20</v>
      </c>
      <c r="F336">
        <v>45606</v>
      </c>
      <c r="H336">
        <v>757.19</v>
      </c>
      <c r="I336" t="s">
        <v>21</v>
      </c>
    </row>
    <row r="337" spans="1:9" x14ac:dyDescent="0.3">
      <c r="A337" t="s">
        <v>322</v>
      </c>
      <c r="C337" t="s">
        <v>42</v>
      </c>
      <c r="D337" t="s">
        <v>48</v>
      </c>
      <c r="E337" t="s">
        <v>43</v>
      </c>
      <c r="F337">
        <v>45599</v>
      </c>
      <c r="I337" t="s">
        <v>21</v>
      </c>
    </row>
    <row r="338" spans="1:9" x14ac:dyDescent="0.3">
      <c r="A338" t="s">
        <v>323</v>
      </c>
      <c r="C338" t="s">
        <v>38</v>
      </c>
      <c r="D338" t="s">
        <v>33</v>
      </c>
      <c r="E338" t="s">
        <v>23</v>
      </c>
      <c r="F338">
        <v>45586</v>
      </c>
      <c r="I338" t="s">
        <v>16</v>
      </c>
    </row>
    <row r="339" spans="1:9" x14ac:dyDescent="0.3">
      <c r="A339" t="s">
        <v>293</v>
      </c>
      <c r="C339" t="s">
        <v>28</v>
      </c>
      <c r="D339" t="s">
        <v>33</v>
      </c>
      <c r="E339" t="s">
        <v>20</v>
      </c>
      <c r="F339">
        <v>45587</v>
      </c>
    </row>
    <row r="340" spans="1:9" x14ac:dyDescent="0.3">
      <c r="A340" t="s">
        <v>162</v>
      </c>
      <c r="C340" t="s">
        <v>28</v>
      </c>
      <c r="D340" t="s">
        <v>48</v>
      </c>
      <c r="E340" t="s">
        <v>23</v>
      </c>
      <c r="F340">
        <v>45428</v>
      </c>
      <c r="I340" t="s">
        <v>16</v>
      </c>
    </row>
    <row r="341" spans="1:9" x14ac:dyDescent="0.3">
      <c r="A341" t="s">
        <v>324</v>
      </c>
      <c r="C341" t="s">
        <v>18</v>
      </c>
      <c r="D341" t="s">
        <v>48</v>
      </c>
      <c r="E341" t="s">
        <v>43</v>
      </c>
      <c r="F341">
        <v>45341</v>
      </c>
      <c r="I341" t="s">
        <v>12</v>
      </c>
    </row>
    <row r="342" spans="1:9" x14ac:dyDescent="0.3">
      <c r="A342" t="s">
        <v>325</v>
      </c>
      <c r="C342" t="s">
        <v>18</v>
      </c>
      <c r="D342" t="s">
        <v>51</v>
      </c>
      <c r="E342" t="s">
        <v>34</v>
      </c>
      <c r="F342">
        <v>45322</v>
      </c>
      <c r="I342" t="s">
        <v>26</v>
      </c>
    </row>
    <row r="343" spans="1:9" x14ac:dyDescent="0.3">
      <c r="A343" t="s">
        <v>307</v>
      </c>
      <c r="B343">
        <v>89</v>
      </c>
      <c r="C343" t="s">
        <v>38</v>
      </c>
      <c r="D343" t="s">
        <v>45</v>
      </c>
      <c r="E343" t="s">
        <v>11</v>
      </c>
      <c r="F343">
        <v>45455</v>
      </c>
    </row>
    <row r="344" spans="1:9" x14ac:dyDescent="0.3">
      <c r="A344" t="s">
        <v>326</v>
      </c>
      <c r="B344">
        <v>18</v>
      </c>
      <c r="C344" t="s">
        <v>42</v>
      </c>
      <c r="D344" t="s">
        <v>10</v>
      </c>
      <c r="E344" t="s">
        <v>34</v>
      </c>
    </row>
    <row r="345" spans="1:9" x14ac:dyDescent="0.3">
      <c r="A345" t="s">
        <v>327</v>
      </c>
      <c r="C345" t="s">
        <v>28</v>
      </c>
      <c r="D345" t="s">
        <v>51</v>
      </c>
      <c r="E345" t="s">
        <v>29</v>
      </c>
      <c r="F345">
        <v>45294</v>
      </c>
      <c r="I345" t="s">
        <v>12</v>
      </c>
    </row>
    <row r="346" spans="1:9" x14ac:dyDescent="0.3">
      <c r="A346" t="s">
        <v>105</v>
      </c>
      <c r="C346" t="s">
        <v>42</v>
      </c>
      <c r="D346" t="s">
        <v>45</v>
      </c>
      <c r="E346" t="s">
        <v>20</v>
      </c>
      <c r="H346">
        <v>758.99</v>
      </c>
      <c r="I346" t="s">
        <v>16</v>
      </c>
    </row>
    <row r="347" spans="1:9" x14ac:dyDescent="0.3">
      <c r="A347" t="s">
        <v>328</v>
      </c>
      <c r="C347" t="s">
        <v>42</v>
      </c>
      <c r="D347" t="s">
        <v>51</v>
      </c>
      <c r="E347" t="s">
        <v>23</v>
      </c>
      <c r="H347">
        <v>572.48</v>
      </c>
    </row>
    <row r="348" spans="1:9" x14ac:dyDescent="0.3">
      <c r="A348" t="s">
        <v>329</v>
      </c>
      <c r="C348" t="s">
        <v>38</v>
      </c>
      <c r="D348" t="s">
        <v>45</v>
      </c>
      <c r="E348" t="s">
        <v>20</v>
      </c>
      <c r="H348">
        <v>640.65</v>
      </c>
    </row>
    <row r="349" spans="1:9" x14ac:dyDescent="0.3">
      <c r="A349" t="s">
        <v>330</v>
      </c>
      <c r="B349">
        <v>83</v>
      </c>
      <c r="C349" t="s">
        <v>18</v>
      </c>
      <c r="D349" t="s">
        <v>19</v>
      </c>
      <c r="E349" t="s">
        <v>11</v>
      </c>
      <c r="F349">
        <v>45609</v>
      </c>
      <c r="I349" t="s">
        <v>26</v>
      </c>
    </row>
    <row r="350" spans="1:9" x14ac:dyDescent="0.3">
      <c r="A350" t="s">
        <v>148</v>
      </c>
      <c r="C350" t="s">
        <v>18</v>
      </c>
      <c r="D350" t="s">
        <v>19</v>
      </c>
      <c r="E350" t="s">
        <v>23</v>
      </c>
      <c r="G350">
        <v>16</v>
      </c>
      <c r="H350">
        <v>1647.19</v>
      </c>
      <c r="I350" t="s">
        <v>12</v>
      </c>
    </row>
    <row r="351" spans="1:9" x14ac:dyDescent="0.3">
      <c r="A351" t="s">
        <v>331</v>
      </c>
      <c r="B351">
        <v>63</v>
      </c>
      <c r="C351" t="s">
        <v>42</v>
      </c>
      <c r="D351" t="s">
        <v>33</v>
      </c>
      <c r="E351" t="s">
        <v>34</v>
      </c>
      <c r="I351" t="s">
        <v>26</v>
      </c>
    </row>
    <row r="352" spans="1:9" x14ac:dyDescent="0.3">
      <c r="A352" t="s">
        <v>332</v>
      </c>
      <c r="E352" t="s">
        <v>29</v>
      </c>
      <c r="F352">
        <v>45342</v>
      </c>
      <c r="G352">
        <v>4</v>
      </c>
      <c r="I352" t="s">
        <v>26</v>
      </c>
    </row>
    <row r="353" spans="1:9" x14ac:dyDescent="0.3">
      <c r="A353" t="s">
        <v>333</v>
      </c>
      <c r="B353">
        <v>80</v>
      </c>
      <c r="D353" t="s">
        <v>45</v>
      </c>
      <c r="E353" t="s">
        <v>43</v>
      </c>
      <c r="F353">
        <v>45364</v>
      </c>
      <c r="G353">
        <v>7</v>
      </c>
      <c r="I353" t="s">
        <v>21</v>
      </c>
    </row>
    <row r="354" spans="1:9" x14ac:dyDescent="0.3">
      <c r="A354" t="s">
        <v>334</v>
      </c>
      <c r="B354">
        <v>33</v>
      </c>
      <c r="C354" t="s">
        <v>42</v>
      </c>
      <c r="D354" t="s">
        <v>10</v>
      </c>
      <c r="E354" t="s">
        <v>57</v>
      </c>
      <c r="F354">
        <v>45562</v>
      </c>
      <c r="H354">
        <v>803.89</v>
      </c>
      <c r="I354" t="s">
        <v>16</v>
      </c>
    </row>
    <row r="355" spans="1:9" x14ac:dyDescent="0.3">
      <c r="A355" t="s">
        <v>335</v>
      </c>
      <c r="B355">
        <v>78</v>
      </c>
      <c r="C355" t="s">
        <v>42</v>
      </c>
      <c r="D355" t="s">
        <v>51</v>
      </c>
      <c r="E355" t="s">
        <v>34</v>
      </c>
    </row>
    <row r="356" spans="1:9" x14ac:dyDescent="0.3">
      <c r="A356" t="s">
        <v>178</v>
      </c>
      <c r="B356">
        <v>94</v>
      </c>
      <c r="D356" t="s">
        <v>14</v>
      </c>
      <c r="E356" t="s">
        <v>11</v>
      </c>
      <c r="F356">
        <v>45422</v>
      </c>
      <c r="I356" t="s">
        <v>26</v>
      </c>
    </row>
    <row r="357" spans="1:9" x14ac:dyDescent="0.3">
      <c r="A357" t="s">
        <v>204</v>
      </c>
      <c r="C357" t="s">
        <v>38</v>
      </c>
      <c r="D357" t="s">
        <v>10</v>
      </c>
      <c r="E357" t="s">
        <v>20</v>
      </c>
      <c r="F357">
        <v>45387</v>
      </c>
      <c r="H357">
        <v>716.93</v>
      </c>
      <c r="I357" t="s">
        <v>12</v>
      </c>
    </row>
    <row r="358" spans="1:9" x14ac:dyDescent="0.3">
      <c r="A358" t="s">
        <v>336</v>
      </c>
      <c r="E358" t="s">
        <v>11</v>
      </c>
      <c r="F358">
        <v>45432</v>
      </c>
    </row>
    <row r="359" spans="1:9" x14ac:dyDescent="0.3">
      <c r="A359" t="s">
        <v>337</v>
      </c>
      <c r="C359" t="s">
        <v>38</v>
      </c>
      <c r="D359" t="s">
        <v>10</v>
      </c>
      <c r="E359" t="s">
        <v>20</v>
      </c>
      <c r="F359">
        <v>45325</v>
      </c>
      <c r="H359">
        <v>980.68</v>
      </c>
      <c r="I359" t="s">
        <v>21</v>
      </c>
    </row>
    <row r="360" spans="1:9" x14ac:dyDescent="0.3">
      <c r="A360" t="s">
        <v>338</v>
      </c>
      <c r="B360">
        <v>70</v>
      </c>
      <c r="C360" t="s">
        <v>42</v>
      </c>
      <c r="D360" t="s">
        <v>48</v>
      </c>
      <c r="E360" t="s">
        <v>15</v>
      </c>
      <c r="H360">
        <v>163.27000000000001</v>
      </c>
      <c r="I360" t="s">
        <v>21</v>
      </c>
    </row>
    <row r="361" spans="1:9" x14ac:dyDescent="0.3">
      <c r="A361" t="s">
        <v>339</v>
      </c>
      <c r="E361" t="s">
        <v>23</v>
      </c>
      <c r="I361" t="s">
        <v>12</v>
      </c>
    </row>
    <row r="362" spans="1:9" x14ac:dyDescent="0.3">
      <c r="A362" t="s">
        <v>340</v>
      </c>
      <c r="C362" t="s">
        <v>18</v>
      </c>
      <c r="E362" t="s">
        <v>43</v>
      </c>
      <c r="F362">
        <v>45512</v>
      </c>
      <c r="H362">
        <v>170.27</v>
      </c>
    </row>
    <row r="363" spans="1:9" x14ac:dyDescent="0.3">
      <c r="A363" t="s">
        <v>341</v>
      </c>
      <c r="B363">
        <v>78</v>
      </c>
      <c r="C363" t="s">
        <v>18</v>
      </c>
      <c r="D363" t="s">
        <v>14</v>
      </c>
      <c r="E363" t="s">
        <v>43</v>
      </c>
      <c r="F363">
        <v>45397</v>
      </c>
      <c r="G363">
        <v>7</v>
      </c>
      <c r="H363">
        <v>847.64</v>
      </c>
      <c r="I363" t="s">
        <v>16</v>
      </c>
    </row>
    <row r="364" spans="1:9" x14ac:dyDescent="0.3">
      <c r="A364" t="s">
        <v>342</v>
      </c>
      <c r="C364" t="s">
        <v>28</v>
      </c>
      <c r="D364" t="s">
        <v>25</v>
      </c>
      <c r="E364" t="s">
        <v>34</v>
      </c>
      <c r="F364">
        <v>45387</v>
      </c>
      <c r="I364" t="s">
        <v>16</v>
      </c>
    </row>
    <row r="365" spans="1:9" x14ac:dyDescent="0.3">
      <c r="A365" t="s">
        <v>343</v>
      </c>
      <c r="B365">
        <v>62</v>
      </c>
      <c r="C365" t="s">
        <v>28</v>
      </c>
      <c r="D365" t="s">
        <v>45</v>
      </c>
      <c r="E365" t="s">
        <v>23</v>
      </c>
      <c r="F365">
        <v>45573</v>
      </c>
      <c r="I365" t="s">
        <v>16</v>
      </c>
    </row>
    <row r="366" spans="1:9" x14ac:dyDescent="0.3">
      <c r="A366" t="s">
        <v>344</v>
      </c>
      <c r="B366">
        <v>26</v>
      </c>
      <c r="C366" t="s">
        <v>18</v>
      </c>
      <c r="D366" t="s">
        <v>33</v>
      </c>
      <c r="E366" t="s">
        <v>23</v>
      </c>
      <c r="F366">
        <v>45415</v>
      </c>
      <c r="I366" t="s">
        <v>16</v>
      </c>
    </row>
    <row r="367" spans="1:9" x14ac:dyDescent="0.3">
      <c r="A367" t="s">
        <v>111</v>
      </c>
      <c r="B367">
        <v>92</v>
      </c>
      <c r="C367" t="s">
        <v>38</v>
      </c>
      <c r="D367" t="s">
        <v>19</v>
      </c>
      <c r="E367" t="s">
        <v>57</v>
      </c>
      <c r="F367">
        <v>45601</v>
      </c>
      <c r="G367">
        <v>20</v>
      </c>
      <c r="I367" t="s">
        <v>26</v>
      </c>
    </row>
    <row r="368" spans="1:9" x14ac:dyDescent="0.3">
      <c r="A368" t="s">
        <v>345</v>
      </c>
      <c r="D368" t="s">
        <v>19</v>
      </c>
      <c r="E368" t="s">
        <v>23</v>
      </c>
      <c r="F368">
        <v>45377</v>
      </c>
      <c r="G368">
        <v>1</v>
      </c>
    </row>
    <row r="369" spans="1:9" x14ac:dyDescent="0.3">
      <c r="A369" t="s">
        <v>128</v>
      </c>
      <c r="B369">
        <v>94</v>
      </c>
      <c r="C369" t="s">
        <v>28</v>
      </c>
      <c r="D369" t="s">
        <v>14</v>
      </c>
      <c r="E369" t="s">
        <v>29</v>
      </c>
      <c r="F369">
        <v>45574</v>
      </c>
      <c r="G369">
        <v>10</v>
      </c>
      <c r="I369" t="s">
        <v>26</v>
      </c>
    </row>
    <row r="370" spans="1:9" x14ac:dyDescent="0.3">
      <c r="A370" t="s">
        <v>330</v>
      </c>
      <c r="C370" t="s">
        <v>42</v>
      </c>
      <c r="D370" t="s">
        <v>25</v>
      </c>
      <c r="E370" t="s">
        <v>15</v>
      </c>
      <c r="I370" t="s">
        <v>16</v>
      </c>
    </row>
    <row r="371" spans="1:9" x14ac:dyDescent="0.3">
      <c r="A371" t="s">
        <v>346</v>
      </c>
      <c r="C371" t="s">
        <v>38</v>
      </c>
      <c r="E371" t="s">
        <v>57</v>
      </c>
      <c r="F371">
        <v>45591</v>
      </c>
      <c r="I371" t="s">
        <v>21</v>
      </c>
    </row>
    <row r="372" spans="1:9" x14ac:dyDescent="0.3">
      <c r="A372" t="s">
        <v>347</v>
      </c>
      <c r="C372" t="s">
        <v>28</v>
      </c>
      <c r="D372" t="s">
        <v>33</v>
      </c>
      <c r="E372" t="s">
        <v>29</v>
      </c>
      <c r="F372">
        <v>45591</v>
      </c>
      <c r="H372">
        <v>1518.23</v>
      </c>
    </row>
    <row r="373" spans="1:9" x14ac:dyDescent="0.3">
      <c r="A373" t="s">
        <v>104</v>
      </c>
      <c r="B373">
        <v>63</v>
      </c>
      <c r="C373" t="s">
        <v>38</v>
      </c>
      <c r="D373" t="s">
        <v>10</v>
      </c>
      <c r="E373" t="s">
        <v>15</v>
      </c>
      <c r="I373" t="s">
        <v>12</v>
      </c>
    </row>
    <row r="374" spans="1:9" x14ac:dyDescent="0.3">
      <c r="A374" t="s">
        <v>348</v>
      </c>
      <c r="C374" t="s">
        <v>28</v>
      </c>
      <c r="E374" t="s">
        <v>34</v>
      </c>
    </row>
    <row r="375" spans="1:9" x14ac:dyDescent="0.3">
      <c r="A375" t="s">
        <v>219</v>
      </c>
      <c r="D375" t="s">
        <v>33</v>
      </c>
      <c r="E375" t="s">
        <v>34</v>
      </c>
      <c r="H375">
        <v>982.76</v>
      </c>
      <c r="I375" t="s">
        <v>16</v>
      </c>
    </row>
    <row r="376" spans="1:9" x14ac:dyDescent="0.3">
      <c r="A376" t="s">
        <v>349</v>
      </c>
      <c r="B376">
        <v>41</v>
      </c>
      <c r="C376" t="s">
        <v>38</v>
      </c>
      <c r="D376" t="s">
        <v>14</v>
      </c>
      <c r="E376" t="s">
        <v>57</v>
      </c>
      <c r="F376">
        <v>45382</v>
      </c>
      <c r="I376" t="s">
        <v>26</v>
      </c>
    </row>
    <row r="377" spans="1:9" x14ac:dyDescent="0.3">
      <c r="A377" t="s">
        <v>350</v>
      </c>
      <c r="B377">
        <v>76</v>
      </c>
      <c r="C377" t="s">
        <v>38</v>
      </c>
      <c r="E377" t="s">
        <v>23</v>
      </c>
      <c r="F377">
        <v>45331</v>
      </c>
      <c r="H377">
        <v>904.59</v>
      </c>
    </row>
    <row r="378" spans="1:9" x14ac:dyDescent="0.3">
      <c r="A378" t="s">
        <v>351</v>
      </c>
      <c r="B378">
        <v>59</v>
      </c>
      <c r="D378" t="s">
        <v>14</v>
      </c>
      <c r="E378" t="s">
        <v>57</v>
      </c>
      <c r="F378">
        <v>45509</v>
      </c>
      <c r="I378" t="s">
        <v>12</v>
      </c>
    </row>
    <row r="379" spans="1:9" x14ac:dyDescent="0.3">
      <c r="A379" t="s">
        <v>352</v>
      </c>
      <c r="D379" t="s">
        <v>19</v>
      </c>
      <c r="E379" t="s">
        <v>20</v>
      </c>
      <c r="F379">
        <v>45544</v>
      </c>
      <c r="G379">
        <v>8</v>
      </c>
      <c r="I379" t="s">
        <v>26</v>
      </c>
    </row>
    <row r="380" spans="1:9" x14ac:dyDescent="0.3">
      <c r="A380" t="s">
        <v>353</v>
      </c>
      <c r="B380">
        <v>40</v>
      </c>
      <c r="C380" t="s">
        <v>28</v>
      </c>
      <c r="D380" t="s">
        <v>48</v>
      </c>
      <c r="E380" t="s">
        <v>29</v>
      </c>
      <c r="F380">
        <v>45617</v>
      </c>
      <c r="I380" t="s">
        <v>12</v>
      </c>
    </row>
    <row r="381" spans="1:9" x14ac:dyDescent="0.3">
      <c r="A381" t="s">
        <v>354</v>
      </c>
      <c r="E381" t="s">
        <v>29</v>
      </c>
      <c r="F381">
        <v>45603</v>
      </c>
      <c r="I381" t="s">
        <v>16</v>
      </c>
    </row>
    <row r="382" spans="1:9" x14ac:dyDescent="0.3">
      <c r="A382" t="s">
        <v>355</v>
      </c>
      <c r="C382" t="s">
        <v>18</v>
      </c>
      <c r="D382" t="s">
        <v>10</v>
      </c>
      <c r="E382" t="s">
        <v>15</v>
      </c>
      <c r="F382">
        <v>45391</v>
      </c>
      <c r="G382">
        <v>4</v>
      </c>
      <c r="I382" t="s">
        <v>21</v>
      </c>
    </row>
    <row r="383" spans="1:9" x14ac:dyDescent="0.3">
      <c r="A383" t="s">
        <v>150</v>
      </c>
      <c r="B383">
        <v>59</v>
      </c>
      <c r="D383" t="s">
        <v>45</v>
      </c>
      <c r="E383" t="s">
        <v>23</v>
      </c>
      <c r="F383">
        <v>45376</v>
      </c>
      <c r="I383" t="s">
        <v>16</v>
      </c>
    </row>
    <row r="384" spans="1:9" x14ac:dyDescent="0.3">
      <c r="A384" t="s">
        <v>356</v>
      </c>
      <c r="C384" t="s">
        <v>18</v>
      </c>
      <c r="D384" t="s">
        <v>25</v>
      </c>
      <c r="E384" t="s">
        <v>11</v>
      </c>
      <c r="F384">
        <v>45535</v>
      </c>
      <c r="I384" t="s">
        <v>26</v>
      </c>
    </row>
    <row r="385" spans="1:9" x14ac:dyDescent="0.3">
      <c r="A385" t="s">
        <v>357</v>
      </c>
      <c r="C385" t="s">
        <v>28</v>
      </c>
      <c r="E385" t="s">
        <v>29</v>
      </c>
      <c r="F385">
        <v>45431</v>
      </c>
      <c r="G385">
        <v>2</v>
      </c>
      <c r="H385">
        <v>1242.6600000000001</v>
      </c>
      <c r="I385" t="s">
        <v>16</v>
      </c>
    </row>
    <row r="386" spans="1:9" x14ac:dyDescent="0.3">
      <c r="A386" t="s">
        <v>358</v>
      </c>
      <c r="C386" t="s">
        <v>18</v>
      </c>
      <c r="E386" t="s">
        <v>11</v>
      </c>
      <c r="F386">
        <v>45297</v>
      </c>
      <c r="I386" t="s">
        <v>21</v>
      </c>
    </row>
    <row r="387" spans="1:9" x14ac:dyDescent="0.3">
      <c r="A387" t="s">
        <v>359</v>
      </c>
      <c r="B387">
        <v>32</v>
      </c>
      <c r="C387" t="s">
        <v>28</v>
      </c>
      <c r="D387" t="s">
        <v>51</v>
      </c>
      <c r="E387" t="s">
        <v>20</v>
      </c>
      <c r="F387">
        <v>45309</v>
      </c>
    </row>
    <row r="388" spans="1:9" x14ac:dyDescent="0.3">
      <c r="A388" t="s">
        <v>360</v>
      </c>
      <c r="C388" t="s">
        <v>18</v>
      </c>
      <c r="D388" t="s">
        <v>14</v>
      </c>
      <c r="E388" t="s">
        <v>15</v>
      </c>
      <c r="F388">
        <v>45610</v>
      </c>
      <c r="G388">
        <v>18</v>
      </c>
      <c r="I388" t="s">
        <v>21</v>
      </c>
    </row>
    <row r="389" spans="1:9" x14ac:dyDescent="0.3">
      <c r="A389" t="s">
        <v>223</v>
      </c>
      <c r="B389">
        <v>46</v>
      </c>
      <c r="C389" t="s">
        <v>38</v>
      </c>
      <c r="D389" t="s">
        <v>10</v>
      </c>
      <c r="E389" t="s">
        <v>34</v>
      </c>
      <c r="F389">
        <v>45551</v>
      </c>
      <c r="H389">
        <v>535.85</v>
      </c>
      <c r="I389" t="s">
        <v>26</v>
      </c>
    </row>
    <row r="390" spans="1:9" x14ac:dyDescent="0.3">
      <c r="A390" t="s">
        <v>361</v>
      </c>
      <c r="B390">
        <v>51</v>
      </c>
      <c r="C390" t="s">
        <v>28</v>
      </c>
      <c r="D390" t="s">
        <v>45</v>
      </c>
      <c r="E390" t="s">
        <v>43</v>
      </c>
      <c r="F390">
        <v>45496</v>
      </c>
      <c r="I390" t="s">
        <v>16</v>
      </c>
    </row>
    <row r="391" spans="1:9" x14ac:dyDescent="0.3">
      <c r="A391" t="s">
        <v>362</v>
      </c>
      <c r="C391" t="s">
        <v>28</v>
      </c>
      <c r="D391" t="s">
        <v>48</v>
      </c>
      <c r="E391" t="s">
        <v>23</v>
      </c>
      <c r="F391">
        <v>45473</v>
      </c>
    </row>
    <row r="392" spans="1:9" x14ac:dyDescent="0.3">
      <c r="A392" t="s">
        <v>363</v>
      </c>
      <c r="C392" t="s">
        <v>42</v>
      </c>
      <c r="D392" t="s">
        <v>10</v>
      </c>
      <c r="E392" t="s">
        <v>20</v>
      </c>
      <c r="F392">
        <v>45558</v>
      </c>
      <c r="I392" t="s">
        <v>12</v>
      </c>
    </row>
    <row r="393" spans="1:9" x14ac:dyDescent="0.3">
      <c r="A393" t="s">
        <v>364</v>
      </c>
      <c r="C393" t="s">
        <v>38</v>
      </c>
      <c r="D393" t="s">
        <v>25</v>
      </c>
      <c r="E393" t="s">
        <v>11</v>
      </c>
      <c r="F393">
        <v>45511</v>
      </c>
      <c r="I393" t="s">
        <v>16</v>
      </c>
    </row>
    <row r="394" spans="1:9" x14ac:dyDescent="0.3">
      <c r="A394" t="s">
        <v>365</v>
      </c>
      <c r="D394" t="s">
        <v>10</v>
      </c>
      <c r="E394" t="s">
        <v>15</v>
      </c>
      <c r="F394">
        <v>45577</v>
      </c>
      <c r="H394">
        <v>1011.68</v>
      </c>
      <c r="I394" t="s">
        <v>21</v>
      </c>
    </row>
    <row r="395" spans="1:9" x14ac:dyDescent="0.3">
      <c r="A395" t="s">
        <v>366</v>
      </c>
      <c r="E395" t="s">
        <v>11</v>
      </c>
      <c r="F395">
        <v>45550</v>
      </c>
      <c r="G395">
        <v>17</v>
      </c>
      <c r="I395" t="s">
        <v>16</v>
      </c>
    </row>
    <row r="396" spans="1:9" x14ac:dyDescent="0.3">
      <c r="A396" t="s">
        <v>92</v>
      </c>
      <c r="D396" t="s">
        <v>10</v>
      </c>
      <c r="E396" t="s">
        <v>29</v>
      </c>
      <c r="F396">
        <v>45439</v>
      </c>
    </row>
    <row r="397" spans="1:9" x14ac:dyDescent="0.3">
      <c r="A397" t="s">
        <v>303</v>
      </c>
      <c r="B397">
        <v>43</v>
      </c>
      <c r="C397" t="s">
        <v>28</v>
      </c>
      <c r="D397" t="s">
        <v>25</v>
      </c>
      <c r="E397" t="s">
        <v>11</v>
      </c>
      <c r="F397">
        <v>45479</v>
      </c>
      <c r="H397">
        <v>525.29999999999995</v>
      </c>
    </row>
    <row r="398" spans="1:9" x14ac:dyDescent="0.3">
      <c r="A398" t="s">
        <v>367</v>
      </c>
      <c r="B398">
        <v>72</v>
      </c>
      <c r="C398" t="s">
        <v>28</v>
      </c>
      <c r="D398" t="s">
        <v>10</v>
      </c>
      <c r="E398" t="s">
        <v>43</v>
      </c>
      <c r="F398">
        <v>45472</v>
      </c>
      <c r="H398">
        <v>1808.12</v>
      </c>
      <c r="I398" t="s">
        <v>21</v>
      </c>
    </row>
    <row r="399" spans="1:9" x14ac:dyDescent="0.3">
      <c r="A399" t="s">
        <v>186</v>
      </c>
      <c r="C399" t="s">
        <v>38</v>
      </c>
      <c r="D399" t="s">
        <v>10</v>
      </c>
      <c r="E399" t="s">
        <v>20</v>
      </c>
      <c r="F399">
        <v>45511</v>
      </c>
      <c r="I399" t="s">
        <v>12</v>
      </c>
    </row>
    <row r="400" spans="1:9" x14ac:dyDescent="0.3">
      <c r="A400" t="s">
        <v>368</v>
      </c>
      <c r="C400" t="s">
        <v>28</v>
      </c>
      <c r="D400" t="s">
        <v>19</v>
      </c>
      <c r="E400" t="s">
        <v>23</v>
      </c>
      <c r="F400">
        <v>45452</v>
      </c>
      <c r="G400">
        <v>14</v>
      </c>
      <c r="I400" t="s">
        <v>26</v>
      </c>
    </row>
    <row r="401" spans="1:9" x14ac:dyDescent="0.3">
      <c r="A401" t="s">
        <v>369</v>
      </c>
      <c r="B401">
        <v>35</v>
      </c>
      <c r="C401" t="s">
        <v>42</v>
      </c>
      <c r="D401" t="s">
        <v>19</v>
      </c>
      <c r="E401" t="s">
        <v>43</v>
      </c>
      <c r="F401">
        <v>45567</v>
      </c>
      <c r="H401">
        <v>587.80999999999995</v>
      </c>
    </row>
    <row r="402" spans="1:9" x14ac:dyDescent="0.3">
      <c r="A402" t="s">
        <v>342</v>
      </c>
      <c r="C402" t="s">
        <v>18</v>
      </c>
      <c r="D402" t="s">
        <v>10</v>
      </c>
      <c r="E402" t="s">
        <v>34</v>
      </c>
      <c r="F402">
        <v>45609</v>
      </c>
    </row>
    <row r="403" spans="1:9" x14ac:dyDescent="0.3">
      <c r="A403" t="s">
        <v>370</v>
      </c>
      <c r="D403" t="s">
        <v>51</v>
      </c>
      <c r="E403" t="s">
        <v>34</v>
      </c>
      <c r="F403">
        <v>45600</v>
      </c>
      <c r="I403" t="s">
        <v>21</v>
      </c>
    </row>
    <row r="404" spans="1:9" x14ac:dyDescent="0.3">
      <c r="A404" t="s">
        <v>142</v>
      </c>
      <c r="C404" t="s">
        <v>18</v>
      </c>
      <c r="D404" t="s">
        <v>25</v>
      </c>
      <c r="E404" t="s">
        <v>11</v>
      </c>
      <c r="F404">
        <v>45598</v>
      </c>
      <c r="G404">
        <v>16</v>
      </c>
    </row>
    <row r="405" spans="1:9" x14ac:dyDescent="0.3">
      <c r="A405" t="s">
        <v>371</v>
      </c>
      <c r="D405" t="s">
        <v>48</v>
      </c>
      <c r="E405" t="s">
        <v>11</v>
      </c>
      <c r="F405">
        <v>45428</v>
      </c>
      <c r="G405">
        <v>16</v>
      </c>
      <c r="I405" t="s">
        <v>16</v>
      </c>
    </row>
    <row r="406" spans="1:9" x14ac:dyDescent="0.3">
      <c r="A406" t="s">
        <v>372</v>
      </c>
      <c r="B406">
        <v>67</v>
      </c>
      <c r="D406" t="s">
        <v>33</v>
      </c>
      <c r="E406" t="s">
        <v>43</v>
      </c>
      <c r="F406">
        <v>45352</v>
      </c>
      <c r="I406" t="s">
        <v>12</v>
      </c>
    </row>
    <row r="407" spans="1:9" x14ac:dyDescent="0.3">
      <c r="A407" t="s">
        <v>373</v>
      </c>
      <c r="B407">
        <v>49</v>
      </c>
      <c r="C407" t="s">
        <v>18</v>
      </c>
      <c r="D407" t="s">
        <v>19</v>
      </c>
      <c r="E407" t="s">
        <v>29</v>
      </c>
      <c r="F407">
        <v>45654</v>
      </c>
      <c r="H407">
        <v>827.7</v>
      </c>
      <c r="I407" t="s">
        <v>16</v>
      </c>
    </row>
    <row r="408" spans="1:9" x14ac:dyDescent="0.3">
      <c r="A408" t="s">
        <v>374</v>
      </c>
      <c r="C408" t="s">
        <v>28</v>
      </c>
      <c r="D408" t="s">
        <v>33</v>
      </c>
      <c r="E408" t="s">
        <v>34</v>
      </c>
      <c r="F408">
        <v>45463</v>
      </c>
      <c r="G408">
        <v>8</v>
      </c>
      <c r="I408" t="s">
        <v>26</v>
      </c>
    </row>
    <row r="409" spans="1:9" x14ac:dyDescent="0.3">
      <c r="A409" t="s">
        <v>375</v>
      </c>
      <c r="C409" t="s">
        <v>18</v>
      </c>
      <c r="D409" t="s">
        <v>10</v>
      </c>
      <c r="E409" t="s">
        <v>15</v>
      </c>
    </row>
    <row r="410" spans="1:9" x14ac:dyDescent="0.3">
      <c r="A410" t="s">
        <v>376</v>
      </c>
      <c r="C410" t="s">
        <v>38</v>
      </c>
      <c r="D410" t="s">
        <v>14</v>
      </c>
      <c r="E410" t="s">
        <v>20</v>
      </c>
      <c r="F410">
        <v>45459</v>
      </c>
      <c r="G410">
        <v>12</v>
      </c>
      <c r="I410" t="s">
        <v>21</v>
      </c>
    </row>
    <row r="411" spans="1:9" x14ac:dyDescent="0.3">
      <c r="A411" t="s">
        <v>375</v>
      </c>
      <c r="B411">
        <v>28</v>
      </c>
      <c r="D411" t="s">
        <v>10</v>
      </c>
      <c r="E411" t="s">
        <v>57</v>
      </c>
      <c r="F411">
        <v>45615</v>
      </c>
      <c r="G411">
        <v>11</v>
      </c>
      <c r="H411">
        <v>1387.01</v>
      </c>
      <c r="I411" t="s">
        <v>12</v>
      </c>
    </row>
    <row r="412" spans="1:9" x14ac:dyDescent="0.3">
      <c r="A412" t="s">
        <v>377</v>
      </c>
      <c r="C412" t="s">
        <v>28</v>
      </c>
      <c r="D412" t="s">
        <v>10</v>
      </c>
      <c r="E412" t="s">
        <v>15</v>
      </c>
      <c r="F412">
        <v>45462</v>
      </c>
      <c r="G412">
        <v>8</v>
      </c>
      <c r="I412" t="s">
        <v>16</v>
      </c>
    </row>
    <row r="413" spans="1:9" x14ac:dyDescent="0.3">
      <c r="A413" t="s">
        <v>284</v>
      </c>
      <c r="B413">
        <v>56</v>
      </c>
      <c r="C413" t="s">
        <v>42</v>
      </c>
      <c r="E413" t="s">
        <v>11</v>
      </c>
      <c r="F413">
        <v>45484</v>
      </c>
      <c r="H413">
        <v>602.29999999999995</v>
      </c>
      <c r="I413" t="s">
        <v>26</v>
      </c>
    </row>
    <row r="414" spans="1:9" x14ac:dyDescent="0.3">
      <c r="A414" t="s">
        <v>378</v>
      </c>
      <c r="B414">
        <v>86</v>
      </c>
      <c r="D414" t="s">
        <v>19</v>
      </c>
      <c r="E414" t="s">
        <v>43</v>
      </c>
      <c r="F414">
        <v>45332</v>
      </c>
      <c r="G414">
        <v>16</v>
      </c>
      <c r="I414" t="s">
        <v>21</v>
      </c>
    </row>
    <row r="415" spans="1:9" x14ac:dyDescent="0.3">
      <c r="A415" t="s">
        <v>376</v>
      </c>
      <c r="B415">
        <v>42</v>
      </c>
      <c r="C415" t="s">
        <v>38</v>
      </c>
      <c r="D415" t="s">
        <v>19</v>
      </c>
      <c r="E415" t="s">
        <v>29</v>
      </c>
      <c r="F415">
        <v>45491</v>
      </c>
      <c r="H415">
        <v>1097.68</v>
      </c>
      <c r="I415" t="s">
        <v>12</v>
      </c>
    </row>
    <row r="416" spans="1:9" x14ac:dyDescent="0.3">
      <c r="A416" t="s">
        <v>379</v>
      </c>
      <c r="D416" t="s">
        <v>14</v>
      </c>
      <c r="E416" t="s">
        <v>23</v>
      </c>
      <c r="F416">
        <v>45599</v>
      </c>
      <c r="G416">
        <v>4</v>
      </c>
      <c r="I416" t="s">
        <v>21</v>
      </c>
    </row>
    <row r="417" spans="1:9" x14ac:dyDescent="0.3">
      <c r="A417" t="s">
        <v>380</v>
      </c>
      <c r="C417" t="s">
        <v>28</v>
      </c>
      <c r="D417" t="s">
        <v>48</v>
      </c>
      <c r="E417" t="s">
        <v>20</v>
      </c>
      <c r="G417">
        <v>10</v>
      </c>
      <c r="I417" t="s">
        <v>21</v>
      </c>
    </row>
    <row r="418" spans="1:9" x14ac:dyDescent="0.3">
      <c r="A418" t="s">
        <v>350</v>
      </c>
      <c r="C418" t="s">
        <v>42</v>
      </c>
      <c r="D418" t="s">
        <v>48</v>
      </c>
      <c r="E418" t="s">
        <v>29</v>
      </c>
      <c r="H418">
        <v>1996.85</v>
      </c>
      <c r="I418" t="s">
        <v>12</v>
      </c>
    </row>
    <row r="419" spans="1:9" x14ac:dyDescent="0.3">
      <c r="A419" t="s">
        <v>381</v>
      </c>
      <c r="D419" t="s">
        <v>51</v>
      </c>
      <c r="E419" t="s">
        <v>20</v>
      </c>
      <c r="F419">
        <v>45522</v>
      </c>
      <c r="H419">
        <v>496.34</v>
      </c>
    </row>
    <row r="420" spans="1:9" x14ac:dyDescent="0.3">
      <c r="A420" t="s">
        <v>382</v>
      </c>
      <c r="C420" t="s">
        <v>38</v>
      </c>
      <c r="D420" t="s">
        <v>51</v>
      </c>
      <c r="E420" t="s">
        <v>34</v>
      </c>
      <c r="F420">
        <v>45461</v>
      </c>
      <c r="I420" t="s">
        <v>16</v>
      </c>
    </row>
    <row r="421" spans="1:9" x14ac:dyDescent="0.3">
      <c r="A421" t="s">
        <v>383</v>
      </c>
      <c r="C421" t="s">
        <v>28</v>
      </c>
      <c r="E421" t="s">
        <v>23</v>
      </c>
      <c r="F421">
        <v>45334</v>
      </c>
      <c r="G421">
        <v>15</v>
      </c>
      <c r="H421">
        <v>1766.72</v>
      </c>
      <c r="I421" t="s">
        <v>16</v>
      </c>
    </row>
    <row r="422" spans="1:9" x14ac:dyDescent="0.3">
      <c r="A422" t="s">
        <v>384</v>
      </c>
      <c r="C422" t="s">
        <v>18</v>
      </c>
      <c r="D422" t="s">
        <v>10</v>
      </c>
      <c r="E422" t="s">
        <v>15</v>
      </c>
      <c r="G422">
        <v>17</v>
      </c>
    </row>
    <row r="423" spans="1:9" x14ac:dyDescent="0.3">
      <c r="A423" t="s">
        <v>385</v>
      </c>
      <c r="B423">
        <v>76</v>
      </c>
      <c r="C423" t="s">
        <v>28</v>
      </c>
      <c r="D423" t="s">
        <v>14</v>
      </c>
      <c r="E423" t="s">
        <v>23</v>
      </c>
      <c r="F423">
        <v>45380</v>
      </c>
      <c r="H423">
        <v>563.05999999999995</v>
      </c>
      <c r="I423" t="s">
        <v>12</v>
      </c>
    </row>
    <row r="424" spans="1:9" x14ac:dyDescent="0.3">
      <c r="A424" t="s">
        <v>386</v>
      </c>
      <c r="C424" t="s">
        <v>42</v>
      </c>
      <c r="D424" t="s">
        <v>19</v>
      </c>
      <c r="E424" t="s">
        <v>15</v>
      </c>
      <c r="F424">
        <v>45633</v>
      </c>
      <c r="G424">
        <v>5</v>
      </c>
    </row>
    <row r="425" spans="1:9" x14ac:dyDescent="0.3">
      <c r="A425" t="s">
        <v>387</v>
      </c>
      <c r="B425">
        <v>32</v>
      </c>
      <c r="C425" t="s">
        <v>42</v>
      </c>
      <c r="D425" t="s">
        <v>33</v>
      </c>
      <c r="E425" t="s">
        <v>15</v>
      </c>
      <c r="F425">
        <v>45320</v>
      </c>
      <c r="G425">
        <v>10</v>
      </c>
      <c r="I425" t="s">
        <v>26</v>
      </c>
    </row>
    <row r="426" spans="1:9" x14ac:dyDescent="0.3">
      <c r="A426" t="s">
        <v>108</v>
      </c>
      <c r="C426" t="s">
        <v>38</v>
      </c>
      <c r="D426" t="s">
        <v>10</v>
      </c>
      <c r="E426" t="s">
        <v>23</v>
      </c>
      <c r="F426">
        <v>45503</v>
      </c>
      <c r="I426" t="s">
        <v>12</v>
      </c>
    </row>
    <row r="427" spans="1:9" x14ac:dyDescent="0.3">
      <c r="A427" t="s">
        <v>388</v>
      </c>
      <c r="C427" t="s">
        <v>42</v>
      </c>
      <c r="D427" t="s">
        <v>19</v>
      </c>
      <c r="E427" t="s">
        <v>15</v>
      </c>
      <c r="F427">
        <v>45310</v>
      </c>
      <c r="H427">
        <v>565.28</v>
      </c>
      <c r="I427" t="s">
        <v>21</v>
      </c>
    </row>
    <row r="428" spans="1:9" x14ac:dyDescent="0.3">
      <c r="A428" t="s">
        <v>389</v>
      </c>
      <c r="C428" t="s">
        <v>38</v>
      </c>
      <c r="D428" t="s">
        <v>51</v>
      </c>
      <c r="E428" t="s">
        <v>43</v>
      </c>
      <c r="F428">
        <v>45586</v>
      </c>
      <c r="I428" t="s">
        <v>16</v>
      </c>
    </row>
    <row r="429" spans="1:9" x14ac:dyDescent="0.3">
      <c r="A429" t="s">
        <v>390</v>
      </c>
      <c r="D429" t="s">
        <v>25</v>
      </c>
      <c r="E429" t="s">
        <v>11</v>
      </c>
      <c r="F429">
        <v>45431</v>
      </c>
      <c r="G429">
        <v>12</v>
      </c>
      <c r="I429" t="s">
        <v>26</v>
      </c>
    </row>
    <row r="430" spans="1:9" x14ac:dyDescent="0.3">
      <c r="A430" t="s">
        <v>272</v>
      </c>
      <c r="C430" t="s">
        <v>42</v>
      </c>
      <c r="D430" t="s">
        <v>19</v>
      </c>
      <c r="E430" t="s">
        <v>20</v>
      </c>
      <c r="H430">
        <v>201.81</v>
      </c>
      <c r="I430" t="s">
        <v>26</v>
      </c>
    </row>
    <row r="431" spans="1:9" x14ac:dyDescent="0.3">
      <c r="A431" t="s">
        <v>228</v>
      </c>
      <c r="D431" t="s">
        <v>45</v>
      </c>
      <c r="E431" t="s">
        <v>20</v>
      </c>
      <c r="F431">
        <v>45396</v>
      </c>
      <c r="H431">
        <v>138.97</v>
      </c>
    </row>
    <row r="432" spans="1:9" x14ac:dyDescent="0.3">
      <c r="A432" t="s">
        <v>281</v>
      </c>
      <c r="B432">
        <v>56</v>
      </c>
      <c r="C432" t="s">
        <v>28</v>
      </c>
      <c r="D432" t="s">
        <v>10</v>
      </c>
      <c r="E432" t="s">
        <v>34</v>
      </c>
      <c r="I432" t="s">
        <v>26</v>
      </c>
    </row>
    <row r="433" spans="1:9" x14ac:dyDescent="0.3">
      <c r="A433" t="s">
        <v>131</v>
      </c>
      <c r="D433" t="s">
        <v>19</v>
      </c>
      <c r="E433" t="s">
        <v>43</v>
      </c>
      <c r="F433">
        <v>45424</v>
      </c>
      <c r="I433" t="s">
        <v>12</v>
      </c>
    </row>
    <row r="434" spans="1:9" x14ac:dyDescent="0.3">
      <c r="A434" t="s">
        <v>131</v>
      </c>
      <c r="B434">
        <v>35</v>
      </c>
      <c r="D434" t="s">
        <v>10</v>
      </c>
      <c r="E434" t="s">
        <v>43</v>
      </c>
      <c r="F434">
        <v>45472</v>
      </c>
      <c r="G434">
        <v>6</v>
      </c>
      <c r="I434" t="s">
        <v>21</v>
      </c>
    </row>
    <row r="435" spans="1:9" x14ac:dyDescent="0.3">
      <c r="A435" t="s">
        <v>391</v>
      </c>
      <c r="C435" t="s">
        <v>38</v>
      </c>
      <c r="E435" t="s">
        <v>57</v>
      </c>
      <c r="F435">
        <v>45416</v>
      </c>
      <c r="I435" t="s">
        <v>21</v>
      </c>
    </row>
    <row r="436" spans="1:9" x14ac:dyDescent="0.3">
      <c r="A436" t="s">
        <v>392</v>
      </c>
      <c r="B436">
        <v>78</v>
      </c>
      <c r="D436" t="s">
        <v>45</v>
      </c>
      <c r="E436" t="s">
        <v>15</v>
      </c>
      <c r="F436">
        <v>45444</v>
      </c>
      <c r="G436">
        <v>10</v>
      </c>
      <c r="I436" t="s">
        <v>26</v>
      </c>
    </row>
    <row r="437" spans="1:9" x14ac:dyDescent="0.3">
      <c r="A437" t="s">
        <v>137</v>
      </c>
      <c r="C437" t="s">
        <v>18</v>
      </c>
      <c r="D437" t="s">
        <v>10</v>
      </c>
      <c r="E437" t="s">
        <v>11</v>
      </c>
      <c r="F437">
        <v>45378</v>
      </c>
    </row>
    <row r="438" spans="1:9" x14ac:dyDescent="0.3">
      <c r="A438" t="s">
        <v>393</v>
      </c>
      <c r="C438" t="s">
        <v>38</v>
      </c>
      <c r="D438" t="s">
        <v>45</v>
      </c>
      <c r="E438" t="s">
        <v>15</v>
      </c>
      <c r="I438" t="s">
        <v>26</v>
      </c>
    </row>
    <row r="439" spans="1:9" x14ac:dyDescent="0.3">
      <c r="A439" t="s">
        <v>112</v>
      </c>
      <c r="B439">
        <v>46</v>
      </c>
      <c r="C439" t="s">
        <v>28</v>
      </c>
      <c r="D439" t="s">
        <v>51</v>
      </c>
      <c r="E439" t="s">
        <v>43</v>
      </c>
      <c r="I439" t="s">
        <v>26</v>
      </c>
    </row>
    <row r="440" spans="1:9" x14ac:dyDescent="0.3">
      <c r="A440" t="s">
        <v>394</v>
      </c>
      <c r="C440" t="s">
        <v>18</v>
      </c>
      <c r="D440" t="s">
        <v>48</v>
      </c>
      <c r="E440" t="s">
        <v>20</v>
      </c>
      <c r="G440">
        <v>12</v>
      </c>
    </row>
    <row r="441" spans="1:9" x14ac:dyDescent="0.3">
      <c r="A441" t="s">
        <v>395</v>
      </c>
      <c r="C441" t="s">
        <v>18</v>
      </c>
      <c r="D441" t="s">
        <v>10</v>
      </c>
      <c r="E441" t="s">
        <v>34</v>
      </c>
      <c r="F441">
        <v>45474</v>
      </c>
      <c r="I441" t="s">
        <v>21</v>
      </c>
    </row>
    <row r="442" spans="1:9" x14ac:dyDescent="0.3">
      <c r="A442" t="s">
        <v>396</v>
      </c>
      <c r="C442" t="s">
        <v>42</v>
      </c>
      <c r="D442" t="s">
        <v>48</v>
      </c>
      <c r="E442" t="s">
        <v>57</v>
      </c>
      <c r="F442">
        <v>45538</v>
      </c>
      <c r="G442">
        <v>5</v>
      </c>
      <c r="I442" t="s">
        <v>21</v>
      </c>
    </row>
    <row r="443" spans="1:9" x14ac:dyDescent="0.3">
      <c r="A443" t="s">
        <v>397</v>
      </c>
      <c r="B443">
        <v>76</v>
      </c>
      <c r="C443" t="s">
        <v>18</v>
      </c>
      <c r="D443" t="s">
        <v>25</v>
      </c>
      <c r="E443" t="s">
        <v>23</v>
      </c>
      <c r="F443">
        <v>45618</v>
      </c>
      <c r="G443">
        <v>20</v>
      </c>
      <c r="I443" t="s">
        <v>16</v>
      </c>
    </row>
    <row r="444" spans="1:9" x14ac:dyDescent="0.3">
      <c r="A444" t="s">
        <v>398</v>
      </c>
      <c r="E444" t="s">
        <v>34</v>
      </c>
      <c r="F444">
        <v>45598</v>
      </c>
      <c r="H444">
        <v>1620.13</v>
      </c>
      <c r="I444" t="s">
        <v>16</v>
      </c>
    </row>
    <row r="445" spans="1:9" x14ac:dyDescent="0.3">
      <c r="A445" t="s">
        <v>142</v>
      </c>
      <c r="C445" t="s">
        <v>42</v>
      </c>
      <c r="D445" t="s">
        <v>51</v>
      </c>
      <c r="E445" t="s">
        <v>34</v>
      </c>
    </row>
    <row r="446" spans="1:9" x14ac:dyDescent="0.3">
      <c r="A446" t="s">
        <v>399</v>
      </c>
      <c r="B446">
        <v>93</v>
      </c>
      <c r="C446" t="s">
        <v>42</v>
      </c>
      <c r="D446" t="s">
        <v>25</v>
      </c>
      <c r="E446" t="s">
        <v>20</v>
      </c>
      <c r="H446">
        <v>877.29</v>
      </c>
      <c r="I446" t="s">
        <v>26</v>
      </c>
    </row>
    <row r="447" spans="1:9" x14ac:dyDescent="0.3">
      <c r="A447" t="s">
        <v>241</v>
      </c>
      <c r="C447" t="s">
        <v>38</v>
      </c>
      <c r="D447" t="s">
        <v>33</v>
      </c>
      <c r="E447" t="s">
        <v>43</v>
      </c>
      <c r="F447">
        <v>45604</v>
      </c>
      <c r="H447">
        <v>1851.53</v>
      </c>
      <c r="I447" t="s">
        <v>12</v>
      </c>
    </row>
    <row r="448" spans="1:9" x14ac:dyDescent="0.3">
      <c r="A448" t="s">
        <v>400</v>
      </c>
      <c r="C448" t="s">
        <v>28</v>
      </c>
      <c r="D448" t="s">
        <v>10</v>
      </c>
      <c r="E448" t="s">
        <v>20</v>
      </c>
      <c r="F448">
        <v>45364</v>
      </c>
      <c r="I448" t="s">
        <v>21</v>
      </c>
    </row>
    <row r="449" spans="1:9" x14ac:dyDescent="0.3">
      <c r="A449" t="s">
        <v>401</v>
      </c>
      <c r="B449">
        <v>85</v>
      </c>
      <c r="E449" t="s">
        <v>20</v>
      </c>
      <c r="F449">
        <v>45598</v>
      </c>
      <c r="H449">
        <v>963.47</v>
      </c>
    </row>
    <row r="450" spans="1:9" x14ac:dyDescent="0.3">
      <c r="A450" t="s">
        <v>402</v>
      </c>
      <c r="B450">
        <v>48</v>
      </c>
      <c r="C450" t="s">
        <v>38</v>
      </c>
      <c r="D450" t="s">
        <v>14</v>
      </c>
      <c r="E450" t="s">
        <v>43</v>
      </c>
      <c r="F450">
        <v>45445</v>
      </c>
      <c r="H450">
        <v>1171.43</v>
      </c>
    </row>
    <row r="451" spans="1:9" x14ac:dyDescent="0.3">
      <c r="A451" t="s">
        <v>403</v>
      </c>
      <c r="C451" t="s">
        <v>28</v>
      </c>
      <c r="D451" t="s">
        <v>45</v>
      </c>
      <c r="E451" t="s">
        <v>20</v>
      </c>
      <c r="F451">
        <v>45494</v>
      </c>
    </row>
    <row r="452" spans="1:9" x14ac:dyDescent="0.3">
      <c r="A452" t="s">
        <v>404</v>
      </c>
      <c r="C452" t="s">
        <v>38</v>
      </c>
      <c r="D452" t="s">
        <v>45</v>
      </c>
      <c r="E452" t="s">
        <v>57</v>
      </c>
      <c r="I452" t="s">
        <v>26</v>
      </c>
    </row>
    <row r="453" spans="1:9" x14ac:dyDescent="0.3">
      <c r="A453" t="s">
        <v>304</v>
      </c>
      <c r="C453" t="s">
        <v>42</v>
      </c>
      <c r="D453" t="s">
        <v>14</v>
      </c>
      <c r="E453" t="s">
        <v>34</v>
      </c>
      <c r="G453">
        <v>16</v>
      </c>
      <c r="I453" t="s">
        <v>21</v>
      </c>
    </row>
    <row r="454" spans="1:9" x14ac:dyDescent="0.3">
      <c r="A454" t="s">
        <v>405</v>
      </c>
      <c r="C454" t="s">
        <v>42</v>
      </c>
      <c r="D454" t="s">
        <v>19</v>
      </c>
      <c r="E454" t="s">
        <v>34</v>
      </c>
      <c r="F454">
        <v>45541</v>
      </c>
      <c r="H454">
        <v>1814.59</v>
      </c>
      <c r="I454" t="s">
        <v>12</v>
      </c>
    </row>
    <row r="455" spans="1:9" x14ac:dyDescent="0.3">
      <c r="A455" t="s">
        <v>406</v>
      </c>
      <c r="B455">
        <v>30</v>
      </c>
      <c r="C455" t="s">
        <v>28</v>
      </c>
      <c r="D455" t="s">
        <v>51</v>
      </c>
      <c r="E455" t="s">
        <v>23</v>
      </c>
      <c r="I455" t="s">
        <v>26</v>
      </c>
    </row>
    <row r="456" spans="1:9" x14ac:dyDescent="0.3">
      <c r="A456" t="s">
        <v>407</v>
      </c>
      <c r="C456" t="s">
        <v>42</v>
      </c>
      <c r="E456" t="s">
        <v>43</v>
      </c>
    </row>
    <row r="457" spans="1:9" x14ac:dyDescent="0.3">
      <c r="A457" t="s">
        <v>408</v>
      </c>
      <c r="B457">
        <v>82</v>
      </c>
      <c r="C457" t="s">
        <v>18</v>
      </c>
      <c r="D457" t="s">
        <v>19</v>
      </c>
      <c r="E457" t="s">
        <v>23</v>
      </c>
      <c r="F457">
        <v>45323</v>
      </c>
      <c r="I457" t="s">
        <v>21</v>
      </c>
    </row>
    <row r="458" spans="1:9" x14ac:dyDescent="0.3">
      <c r="A458" t="s">
        <v>327</v>
      </c>
      <c r="C458" t="s">
        <v>28</v>
      </c>
      <c r="D458" t="s">
        <v>51</v>
      </c>
      <c r="E458" t="s">
        <v>15</v>
      </c>
      <c r="G458">
        <v>3</v>
      </c>
      <c r="H458">
        <v>160.53</v>
      </c>
      <c r="I458" t="s">
        <v>21</v>
      </c>
    </row>
    <row r="459" spans="1:9" x14ac:dyDescent="0.3">
      <c r="A459" t="s">
        <v>409</v>
      </c>
      <c r="B459">
        <v>95</v>
      </c>
      <c r="C459" t="s">
        <v>18</v>
      </c>
      <c r="D459" t="s">
        <v>25</v>
      </c>
      <c r="E459" t="s">
        <v>20</v>
      </c>
      <c r="F459">
        <v>45616</v>
      </c>
      <c r="H459">
        <v>1410.32</v>
      </c>
    </row>
    <row r="460" spans="1:9" x14ac:dyDescent="0.3">
      <c r="A460" t="s">
        <v>410</v>
      </c>
      <c r="C460" t="s">
        <v>42</v>
      </c>
      <c r="D460" t="s">
        <v>19</v>
      </c>
      <c r="E460" t="s">
        <v>57</v>
      </c>
      <c r="F460">
        <v>45406</v>
      </c>
      <c r="I460" t="s">
        <v>21</v>
      </c>
    </row>
    <row r="461" spans="1:9" x14ac:dyDescent="0.3">
      <c r="A461" t="s">
        <v>374</v>
      </c>
      <c r="C461" t="s">
        <v>42</v>
      </c>
      <c r="D461" t="s">
        <v>19</v>
      </c>
      <c r="E461" t="s">
        <v>20</v>
      </c>
      <c r="F461">
        <v>45348</v>
      </c>
      <c r="G461">
        <v>13</v>
      </c>
      <c r="I461" t="s">
        <v>26</v>
      </c>
    </row>
    <row r="462" spans="1:9" x14ac:dyDescent="0.3">
      <c r="A462" t="s">
        <v>411</v>
      </c>
      <c r="C462" t="s">
        <v>42</v>
      </c>
      <c r="D462" t="s">
        <v>25</v>
      </c>
      <c r="E462" t="s">
        <v>23</v>
      </c>
      <c r="I462" t="s">
        <v>26</v>
      </c>
    </row>
    <row r="463" spans="1:9" x14ac:dyDescent="0.3">
      <c r="A463" t="s">
        <v>412</v>
      </c>
      <c r="C463" t="s">
        <v>38</v>
      </c>
      <c r="D463" t="s">
        <v>19</v>
      </c>
      <c r="E463" t="s">
        <v>15</v>
      </c>
      <c r="F463">
        <v>45538</v>
      </c>
      <c r="I463" t="s">
        <v>16</v>
      </c>
    </row>
    <row r="464" spans="1:9" x14ac:dyDescent="0.3">
      <c r="A464" t="s">
        <v>413</v>
      </c>
      <c r="C464" t="s">
        <v>38</v>
      </c>
      <c r="D464" t="s">
        <v>14</v>
      </c>
      <c r="E464" t="s">
        <v>57</v>
      </c>
      <c r="F464">
        <v>45421</v>
      </c>
      <c r="I464" t="s">
        <v>12</v>
      </c>
    </row>
    <row r="465" spans="1:9" x14ac:dyDescent="0.3">
      <c r="A465" t="s">
        <v>414</v>
      </c>
      <c r="B465">
        <v>41</v>
      </c>
      <c r="E465" t="s">
        <v>29</v>
      </c>
      <c r="F465">
        <v>45639</v>
      </c>
      <c r="G465">
        <v>1</v>
      </c>
      <c r="H465">
        <v>109.82</v>
      </c>
      <c r="I465" t="s">
        <v>21</v>
      </c>
    </row>
    <row r="466" spans="1:9" x14ac:dyDescent="0.3">
      <c r="A466" t="s">
        <v>415</v>
      </c>
      <c r="B466">
        <v>25</v>
      </c>
      <c r="C466" t="s">
        <v>28</v>
      </c>
      <c r="D466" t="s">
        <v>51</v>
      </c>
      <c r="E466" t="s">
        <v>23</v>
      </c>
      <c r="F466">
        <v>45300</v>
      </c>
      <c r="G466">
        <v>11</v>
      </c>
      <c r="H466">
        <v>880.14</v>
      </c>
      <c r="I466" t="s">
        <v>16</v>
      </c>
    </row>
    <row r="467" spans="1:9" x14ac:dyDescent="0.3">
      <c r="A467" t="s">
        <v>416</v>
      </c>
      <c r="B467">
        <v>58</v>
      </c>
      <c r="C467" t="s">
        <v>38</v>
      </c>
      <c r="D467" t="s">
        <v>33</v>
      </c>
      <c r="E467" t="s">
        <v>57</v>
      </c>
      <c r="F467">
        <v>45502</v>
      </c>
      <c r="H467">
        <v>1702.58</v>
      </c>
      <c r="I467" t="s">
        <v>21</v>
      </c>
    </row>
    <row r="468" spans="1:9" x14ac:dyDescent="0.3">
      <c r="A468" t="s">
        <v>417</v>
      </c>
      <c r="D468" t="s">
        <v>14</v>
      </c>
      <c r="E468" t="s">
        <v>29</v>
      </c>
      <c r="F468">
        <v>45356</v>
      </c>
      <c r="G468">
        <v>12</v>
      </c>
      <c r="I468" t="s">
        <v>26</v>
      </c>
    </row>
    <row r="469" spans="1:9" x14ac:dyDescent="0.3">
      <c r="A469" t="s">
        <v>304</v>
      </c>
      <c r="C469" t="s">
        <v>42</v>
      </c>
      <c r="D469" t="s">
        <v>25</v>
      </c>
      <c r="E469" t="s">
        <v>34</v>
      </c>
      <c r="F469">
        <v>45434</v>
      </c>
      <c r="G469">
        <v>17</v>
      </c>
      <c r="H469">
        <v>117</v>
      </c>
      <c r="I469" t="s">
        <v>21</v>
      </c>
    </row>
    <row r="470" spans="1:9" x14ac:dyDescent="0.3">
      <c r="A470" t="s">
        <v>418</v>
      </c>
      <c r="C470" t="s">
        <v>38</v>
      </c>
      <c r="D470" t="s">
        <v>25</v>
      </c>
      <c r="E470" t="s">
        <v>11</v>
      </c>
      <c r="F470">
        <v>45640</v>
      </c>
      <c r="I470" t="s">
        <v>12</v>
      </c>
    </row>
    <row r="471" spans="1:9" x14ac:dyDescent="0.3">
      <c r="A471" t="s">
        <v>419</v>
      </c>
      <c r="C471" t="s">
        <v>42</v>
      </c>
      <c r="D471" t="s">
        <v>19</v>
      </c>
      <c r="E471" t="s">
        <v>34</v>
      </c>
      <c r="F471">
        <v>45316</v>
      </c>
      <c r="I471" t="s">
        <v>26</v>
      </c>
    </row>
    <row r="472" spans="1:9" x14ac:dyDescent="0.3">
      <c r="A472" t="s">
        <v>420</v>
      </c>
      <c r="C472" t="s">
        <v>38</v>
      </c>
      <c r="D472" t="s">
        <v>10</v>
      </c>
      <c r="E472" t="s">
        <v>34</v>
      </c>
      <c r="F472">
        <v>45510</v>
      </c>
    </row>
    <row r="473" spans="1:9" x14ac:dyDescent="0.3">
      <c r="A473" t="s">
        <v>421</v>
      </c>
      <c r="C473" t="s">
        <v>38</v>
      </c>
      <c r="D473" t="s">
        <v>33</v>
      </c>
      <c r="E473" t="s">
        <v>20</v>
      </c>
      <c r="F473">
        <v>45332</v>
      </c>
      <c r="H473">
        <v>1637.2</v>
      </c>
    </row>
    <row r="474" spans="1:9" x14ac:dyDescent="0.3">
      <c r="A474" t="s">
        <v>422</v>
      </c>
      <c r="D474" t="s">
        <v>51</v>
      </c>
      <c r="E474" t="s">
        <v>34</v>
      </c>
      <c r="F474">
        <v>45587</v>
      </c>
      <c r="H474">
        <v>1639.19</v>
      </c>
      <c r="I474" t="s">
        <v>21</v>
      </c>
    </row>
    <row r="475" spans="1:9" x14ac:dyDescent="0.3">
      <c r="A475" t="s">
        <v>423</v>
      </c>
      <c r="C475" t="s">
        <v>38</v>
      </c>
      <c r="D475" t="s">
        <v>48</v>
      </c>
      <c r="E475" t="s">
        <v>20</v>
      </c>
      <c r="F475">
        <v>45336</v>
      </c>
      <c r="H475">
        <v>898.94</v>
      </c>
      <c r="I475" t="s">
        <v>12</v>
      </c>
    </row>
    <row r="476" spans="1:9" x14ac:dyDescent="0.3">
      <c r="A476" t="s">
        <v>138</v>
      </c>
      <c r="D476" t="s">
        <v>25</v>
      </c>
      <c r="E476" t="s">
        <v>43</v>
      </c>
      <c r="F476">
        <v>45615</v>
      </c>
      <c r="G476">
        <v>7</v>
      </c>
      <c r="I476" t="s">
        <v>21</v>
      </c>
    </row>
    <row r="477" spans="1:9" x14ac:dyDescent="0.3">
      <c r="A477" t="s">
        <v>424</v>
      </c>
      <c r="C477" t="s">
        <v>42</v>
      </c>
      <c r="E477" t="s">
        <v>57</v>
      </c>
      <c r="F477">
        <v>45500</v>
      </c>
      <c r="G477">
        <v>4</v>
      </c>
      <c r="H477">
        <v>770.61</v>
      </c>
      <c r="I477" t="s">
        <v>21</v>
      </c>
    </row>
    <row r="478" spans="1:9" x14ac:dyDescent="0.3">
      <c r="A478" t="s">
        <v>217</v>
      </c>
      <c r="D478" t="s">
        <v>10</v>
      </c>
      <c r="E478" t="s">
        <v>11</v>
      </c>
      <c r="F478">
        <v>45616</v>
      </c>
      <c r="I478" t="s">
        <v>26</v>
      </c>
    </row>
    <row r="479" spans="1:9" x14ac:dyDescent="0.3">
      <c r="A479" t="s">
        <v>425</v>
      </c>
      <c r="B479">
        <v>92</v>
      </c>
      <c r="C479" t="s">
        <v>42</v>
      </c>
      <c r="D479" t="s">
        <v>48</v>
      </c>
      <c r="E479" t="s">
        <v>34</v>
      </c>
      <c r="F479">
        <v>45426</v>
      </c>
      <c r="I479" t="s">
        <v>21</v>
      </c>
    </row>
    <row r="480" spans="1:9" x14ac:dyDescent="0.3">
      <c r="A480" t="s">
        <v>244</v>
      </c>
      <c r="B480">
        <v>89</v>
      </c>
      <c r="C480" t="s">
        <v>42</v>
      </c>
      <c r="D480" t="s">
        <v>25</v>
      </c>
      <c r="E480" t="s">
        <v>43</v>
      </c>
      <c r="I480" t="s">
        <v>26</v>
      </c>
    </row>
    <row r="481" spans="1:9" x14ac:dyDescent="0.3">
      <c r="A481" t="s">
        <v>426</v>
      </c>
      <c r="D481" t="s">
        <v>25</v>
      </c>
      <c r="E481" t="s">
        <v>15</v>
      </c>
    </row>
    <row r="482" spans="1:9" x14ac:dyDescent="0.3">
      <c r="A482" t="s">
        <v>296</v>
      </c>
      <c r="D482" t="s">
        <v>48</v>
      </c>
      <c r="E482" t="s">
        <v>15</v>
      </c>
      <c r="F482">
        <v>45645</v>
      </c>
    </row>
    <row r="483" spans="1:9" x14ac:dyDescent="0.3">
      <c r="A483" t="s">
        <v>427</v>
      </c>
      <c r="D483" t="s">
        <v>33</v>
      </c>
      <c r="E483" t="s">
        <v>34</v>
      </c>
      <c r="F483">
        <v>45620</v>
      </c>
      <c r="G483">
        <v>11</v>
      </c>
      <c r="H483">
        <v>1920.08</v>
      </c>
      <c r="I483" t="s">
        <v>21</v>
      </c>
    </row>
    <row r="484" spans="1:9" x14ac:dyDescent="0.3">
      <c r="A484" t="s">
        <v>428</v>
      </c>
      <c r="C484" t="s">
        <v>28</v>
      </c>
      <c r="D484" t="s">
        <v>51</v>
      </c>
      <c r="E484" t="s">
        <v>34</v>
      </c>
      <c r="F484">
        <v>45332</v>
      </c>
      <c r="G484">
        <v>4</v>
      </c>
      <c r="I484" t="s">
        <v>12</v>
      </c>
    </row>
    <row r="485" spans="1:9" x14ac:dyDescent="0.3">
      <c r="A485" t="s">
        <v>429</v>
      </c>
      <c r="B485">
        <v>20</v>
      </c>
      <c r="D485" t="s">
        <v>45</v>
      </c>
      <c r="E485" t="s">
        <v>20</v>
      </c>
      <c r="F485">
        <v>45598</v>
      </c>
      <c r="G485">
        <v>12</v>
      </c>
      <c r="I485" t="s">
        <v>12</v>
      </c>
    </row>
    <row r="486" spans="1:9" x14ac:dyDescent="0.3">
      <c r="A486" t="s">
        <v>407</v>
      </c>
      <c r="C486" t="s">
        <v>38</v>
      </c>
      <c r="D486" t="s">
        <v>45</v>
      </c>
      <c r="E486" t="s">
        <v>20</v>
      </c>
      <c r="F486">
        <v>45491</v>
      </c>
      <c r="G486">
        <v>10</v>
      </c>
    </row>
    <row r="487" spans="1:9" x14ac:dyDescent="0.3">
      <c r="A487" t="s">
        <v>430</v>
      </c>
      <c r="D487" t="s">
        <v>14</v>
      </c>
      <c r="E487" t="s">
        <v>15</v>
      </c>
      <c r="F487">
        <v>45634</v>
      </c>
      <c r="G487">
        <v>13</v>
      </c>
      <c r="H487">
        <v>1542.16</v>
      </c>
      <c r="I487" t="s">
        <v>21</v>
      </c>
    </row>
    <row r="488" spans="1:9" x14ac:dyDescent="0.3">
      <c r="A488" t="s">
        <v>431</v>
      </c>
      <c r="B488">
        <v>78</v>
      </c>
      <c r="C488" t="s">
        <v>18</v>
      </c>
      <c r="D488" t="s">
        <v>51</v>
      </c>
      <c r="E488" t="s">
        <v>57</v>
      </c>
      <c r="H488">
        <v>191.86</v>
      </c>
      <c r="I488" t="s">
        <v>16</v>
      </c>
    </row>
    <row r="489" spans="1:9" x14ac:dyDescent="0.3">
      <c r="A489" t="s">
        <v>432</v>
      </c>
      <c r="D489" t="s">
        <v>33</v>
      </c>
      <c r="E489" t="s">
        <v>23</v>
      </c>
      <c r="F489">
        <v>45299</v>
      </c>
    </row>
    <row r="490" spans="1:9" x14ac:dyDescent="0.3">
      <c r="A490" t="s">
        <v>433</v>
      </c>
      <c r="C490" t="s">
        <v>38</v>
      </c>
      <c r="D490" t="s">
        <v>19</v>
      </c>
      <c r="E490" t="s">
        <v>20</v>
      </c>
      <c r="F490">
        <v>45626</v>
      </c>
      <c r="H490">
        <v>1160.73</v>
      </c>
      <c r="I490" t="s">
        <v>26</v>
      </c>
    </row>
    <row r="491" spans="1:9" x14ac:dyDescent="0.3">
      <c r="A491" t="s">
        <v>434</v>
      </c>
      <c r="C491" t="s">
        <v>42</v>
      </c>
      <c r="D491" t="s">
        <v>33</v>
      </c>
      <c r="E491" t="s">
        <v>34</v>
      </c>
      <c r="F491">
        <v>45406</v>
      </c>
      <c r="H491">
        <v>220.65</v>
      </c>
      <c r="I491" t="s">
        <v>16</v>
      </c>
    </row>
    <row r="492" spans="1:9" x14ac:dyDescent="0.3">
      <c r="A492" t="s">
        <v>435</v>
      </c>
      <c r="C492" t="s">
        <v>42</v>
      </c>
      <c r="E492" t="s">
        <v>20</v>
      </c>
      <c r="F492">
        <v>45624</v>
      </c>
    </row>
    <row r="493" spans="1:9" x14ac:dyDescent="0.3">
      <c r="A493" t="s">
        <v>436</v>
      </c>
      <c r="C493" t="s">
        <v>18</v>
      </c>
      <c r="D493" t="s">
        <v>51</v>
      </c>
      <c r="E493" t="s">
        <v>43</v>
      </c>
      <c r="G493">
        <v>6</v>
      </c>
      <c r="I493" t="s">
        <v>16</v>
      </c>
    </row>
    <row r="494" spans="1:9" x14ac:dyDescent="0.3">
      <c r="A494" t="s">
        <v>437</v>
      </c>
      <c r="C494" t="s">
        <v>42</v>
      </c>
      <c r="D494" t="s">
        <v>45</v>
      </c>
      <c r="E494" t="s">
        <v>29</v>
      </c>
      <c r="F494">
        <v>45628</v>
      </c>
      <c r="H494">
        <v>1819.53</v>
      </c>
    </row>
    <row r="495" spans="1:9" x14ac:dyDescent="0.3">
      <c r="A495" t="s">
        <v>438</v>
      </c>
      <c r="D495" t="s">
        <v>14</v>
      </c>
      <c r="E495" t="s">
        <v>23</v>
      </c>
      <c r="G495">
        <v>14</v>
      </c>
      <c r="H495">
        <v>1853.75</v>
      </c>
      <c r="I495" t="s">
        <v>21</v>
      </c>
    </row>
    <row r="496" spans="1:9" x14ac:dyDescent="0.3">
      <c r="A496" t="s">
        <v>439</v>
      </c>
      <c r="C496" t="s">
        <v>28</v>
      </c>
      <c r="D496" t="s">
        <v>14</v>
      </c>
      <c r="E496" t="s">
        <v>20</v>
      </c>
      <c r="G496">
        <v>14</v>
      </c>
      <c r="I496" t="s">
        <v>16</v>
      </c>
    </row>
    <row r="497" spans="1:9" x14ac:dyDescent="0.3">
      <c r="A497" t="s">
        <v>440</v>
      </c>
      <c r="B497">
        <v>38</v>
      </c>
      <c r="D497" t="s">
        <v>45</v>
      </c>
      <c r="E497" t="s">
        <v>57</v>
      </c>
      <c r="F497">
        <v>45306</v>
      </c>
      <c r="G497">
        <v>12</v>
      </c>
      <c r="H497">
        <v>963.29</v>
      </c>
    </row>
    <row r="498" spans="1:9" x14ac:dyDescent="0.3">
      <c r="A498" t="s">
        <v>441</v>
      </c>
      <c r="C498" t="s">
        <v>28</v>
      </c>
      <c r="E498" t="s">
        <v>20</v>
      </c>
      <c r="F498">
        <v>45474</v>
      </c>
      <c r="G498">
        <v>3</v>
      </c>
      <c r="I498" t="s">
        <v>26</v>
      </c>
    </row>
    <row r="499" spans="1:9" x14ac:dyDescent="0.3">
      <c r="A499" t="s">
        <v>442</v>
      </c>
      <c r="B499">
        <v>78</v>
      </c>
      <c r="C499" t="s">
        <v>18</v>
      </c>
      <c r="D499" t="s">
        <v>48</v>
      </c>
      <c r="E499" t="s">
        <v>20</v>
      </c>
      <c r="F499">
        <v>45558</v>
      </c>
      <c r="G499">
        <v>13</v>
      </c>
      <c r="H499">
        <v>899.2</v>
      </c>
      <c r="I499" t="s">
        <v>12</v>
      </c>
    </row>
    <row r="500" spans="1:9" x14ac:dyDescent="0.3">
      <c r="A500" t="s">
        <v>443</v>
      </c>
      <c r="D500" t="s">
        <v>25</v>
      </c>
      <c r="E500" t="s">
        <v>29</v>
      </c>
      <c r="F500">
        <v>45373</v>
      </c>
    </row>
    <row r="501" spans="1:9" x14ac:dyDescent="0.3">
      <c r="A501" t="s">
        <v>444</v>
      </c>
      <c r="B501">
        <v>65</v>
      </c>
      <c r="C501" t="s">
        <v>38</v>
      </c>
      <c r="D501" t="s">
        <v>19</v>
      </c>
      <c r="E501" t="s">
        <v>57</v>
      </c>
      <c r="F501">
        <v>45397</v>
      </c>
    </row>
    <row r="502" spans="1:9" x14ac:dyDescent="0.3">
      <c r="A502" t="s">
        <v>445</v>
      </c>
      <c r="C502" t="s">
        <v>38</v>
      </c>
      <c r="D502" t="s">
        <v>10</v>
      </c>
      <c r="E502" t="s">
        <v>29</v>
      </c>
      <c r="F502">
        <v>45440</v>
      </c>
    </row>
    <row r="503" spans="1:9" x14ac:dyDescent="0.3">
      <c r="A503" t="s">
        <v>412</v>
      </c>
      <c r="C503" t="s">
        <v>38</v>
      </c>
      <c r="D503" t="s">
        <v>48</v>
      </c>
      <c r="E503" t="s">
        <v>34</v>
      </c>
      <c r="F503">
        <v>45338</v>
      </c>
      <c r="I503" t="s">
        <v>21</v>
      </c>
    </row>
    <row r="504" spans="1:9" x14ac:dyDescent="0.3">
      <c r="A504" t="s">
        <v>446</v>
      </c>
      <c r="D504" t="s">
        <v>33</v>
      </c>
      <c r="E504" t="s">
        <v>11</v>
      </c>
      <c r="I504" t="s">
        <v>26</v>
      </c>
    </row>
    <row r="505" spans="1:9" x14ac:dyDescent="0.3">
      <c r="A505" t="s">
        <v>447</v>
      </c>
      <c r="D505" t="s">
        <v>14</v>
      </c>
      <c r="E505" t="s">
        <v>34</v>
      </c>
      <c r="F505">
        <v>45392</v>
      </c>
      <c r="G505">
        <v>19</v>
      </c>
      <c r="I505" t="s">
        <v>12</v>
      </c>
    </row>
    <row r="506" spans="1:9" x14ac:dyDescent="0.3">
      <c r="A506" t="s">
        <v>55</v>
      </c>
      <c r="B506">
        <v>91</v>
      </c>
      <c r="C506" t="s">
        <v>28</v>
      </c>
      <c r="E506" t="s">
        <v>34</v>
      </c>
      <c r="F506">
        <v>45573</v>
      </c>
      <c r="I506" t="s">
        <v>16</v>
      </c>
    </row>
    <row r="507" spans="1:9" x14ac:dyDescent="0.3">
      <c r="A507" t="s">
        <v>448</v>
      </c>
      <c r="E507" t="s">
        <v>34</v>
      </c>
      <c r="F507">
        <v>45467</v>
      </c>
      <c r="I507" t="s">
        <v>21</v>
      </c>
    </row>
    <row r="508" spans="1:9" x14ac:dyDescent="0.3">
      <c r="A508" t="s">
        <v>449</v>
      </c>
      <c r="D508" t="s">
        <v>48</v>
      </c>
      <c r="E508" t="s">
        <v>43</v>
      </c>
      <c r="F508">
        <v>45518</v>
      </c>
      <c r="G508">
        <v>18</v>
      </c>
      <c r="I508" t="s">
        <v>16</v>
      </c>
    </row>
    <row r="509" spans="1:9" x14ac:dyDescent="0.3">
      <c r="A509" t="s">
        <v>450</v>
      </c>
      <c r="D509" t="s">
        <v>48</v>
      </c>
      <c r="E509" t="s">
        <v>34</v>
      </c>
      <c r="F509">
        <v>45638</v>
      </c>
      <c r="I509" t="s">
        <v>26</v>
      </c>
    </row>
    <row r="510" spans="1:9" x14ac:dyDescent="0.3">
      <c r="A510" t="s">
        <v>302</v>
      </c>
      <c r="B510">
        <v>67</v>
      </c>
      <c r="C510" t="s">
        <v>38</v>
      </c>
      <c r="D510" t="s">
        <v>45</v>
      </c>
      <c r="E510" t="s">
        <v>11</v>
      </c>
      <c r="F510">
        <v>45518</v>
      </c>
      <c r="G510">
        <v>4</v>
      </c>
      <c r="I510" t="s">
        <v>12</v>
      </c>
    </row>
    <row r="511" spans="1:9" x14ac:dyDescent="0.3">
      <c r="A511" t="s">
        <v>451</v>
      </c>
      <c r="C511" t="s">
        <v>18</v>
      </c>
      <c r="D511" t="s">
        <v>48</v>
      </c>
      <c r="E511" t="s">
        <v>29</v>
      </c>
      <c r="F511">
        <v>45367</v>
      </c>
      <c r="I511" t="s">
        <v>21</v>
      </c>
    </row>
    <row r="512" spans="1:9" x14ac:dyDescent="0.3">
      <c r="A512" t="s">
        <v>452</v>
      </c>
      <c r="C512" t="s">
        <v>18</v>
      </c>
      <c r="D512" t="s">
        <v>10</v>
      </c>
      <c r="E512" t="s">
        <v>43</v>
      </c>
      <c r="F512">
        <v>45397</v>
      </c>
      <c r="I512" t="s">
        <v>21</v>
      </c>
    </row>
    <row r="513" spans="1:9" x14ac:dyDescent="0.3">
      <c r="A513" t="s">
        <v>453</v>
      </c>
      <c r="E513" t="s">
        <v>20</v>
      </c>
      <c r="F513">
        <v>45603</v>
      </c>
      <c r="I513" t="s">
        <v>12</v>
      </c>
    </row>
    <row r="514" spans="1:9" x14ac:dyDescent="0.3">
      <c r="A514" t="s">
        <v>454</v>
      </c>
      <c r="B514">
        <v>80</v>
      </c>
      <c r="D514" t="s">
        <v>19</v>
      </c>
      <c r="E514" t="s">
        <v>20</v>
      </c>
      <c r="F514">
        <v>45349</v>
      </c>
      <c r="H514">
        <v>140.71</v>
      </c>
    </row>
    <row r="515" spans="1:9" x14ac:dyDescent="0.3">
      <c r="A515" t="s">
        <v>256</v>
      </c>
      <c r="C515" t="s">
        <v>38</v>
      </c>
      <c r="D515" t="s">
        <v>51</v>
      </c>
      <c r="E515" t="s">
        <v>20</v>
      </c>
      <c r="F515">
        <v>45396</v>
      </c>
      <c r="H515">
        <v>1122.18</v>
      </c>
      <c r="I515" t="s">
        <v>21</v>
      </c>
    </row>
    <row r="516" spans="1:9" x14ac:dyDescent="0.3">
      <c r="A516" t="s">
        <v>455</v>
      </c>
      <c r="B516">
        <v>56</v>
      </c>
      <c r="C516" t="s">
        <v>18</v>
      </c>
      <c r="D516" t="s">
        <v>10</v>
      </c>
      <c r="E516" t="s">
        <v>23</v>
      </c>
      <c r="F516">
        <v>45417</v>
      </c>
      <c r="G516">
        <v>19</v>
      </c>
      <c r="H516">
        <v>147.86000000000001</v>
      </c>
      <c r="I516" t="s">
        <v>26</v>
      </c>
    </row>
    <row r="517" spans="1:9" x14ac:dyDescent="0.3">
      <c r="A517" t="s">
        <v>456</v>
      </c>
      <c r="B517">
        <v>65</v>
      </c>
      <c r="C517" t="s">
        <v>38</v>
      </c>
      <c r="D517" t="s">
        <v>25</v>
      </c>
      <c r="E517" t="s">
        <v>34</v>
      </c>
      <c r="I517" t="s">
        <v>26</v>
      </c>
    </row>
    <row r="518" spans="1:9" x14ac:dyDescent="0.3">
      <c r="A518" t="s">
        <v>354</v>
      </c>
      <c r="C518" t="s">
        <v>42</v>
      </c>
      <c r="D518" t="s">
        <v>10</v>
      </c>
      <c r="E518" t="s">
        <v>15</v>
      </c>
      <c r="F518">
        <v>45317</v>
      </c>
      <c r="G518">
        <v>17</v>
      </c>
      <c r="I518" t="s">
        <v>21</v>
      </c>
    </row>
    <row r="519" spans="1:9" x14ac:dyDescent="0.3">
      <c r="A519" t="s">
        <v>297</v>
      </c>
      <c r="D519" t="s">
        <v>14</v>
      </c>
      <c r="E519" t="s">
        <v>11</v>
      </c>
      <c r="G519">
        <v>14</v>
      </c>
      <c r="I519" t="s">
        <v>16</v>
      </c>
    </row>
    <row r="520" spans="1:9" x14ac:dyDescent="0.3">
      <c r="A520" t="s">
        <v>457</v>
      </c>
      <c r="C520" t="s">
        <v>28</v>
      </c>
      <c r="D520" t="s">
        <v>10</v>
      </c>
      <c r="E520" t="s">
        <v>20</v>
      </c>
      <c r="F520">
        <v>45359</v>
      </c>
      <c r="G520">
        <v>16</v>
      </c>
      <c r="H520">
        <v>1886.07</v>
      </c>
      <c r="I520" t="s">
        <v>26</v>
      </c>
    </row>
    <row r="521" spans="1:9" x14ac:dyDescent="0.3">
      <c r="A521" t="s">
        <v>458</v>
      </c>
      <c r="C521" t="s">
        <v>38</v>
      </c>
      <c r="D521" t="s">
        <v>51</v>
      </c>
      <c r="E521" t="s">
        <v>15</v>
      </c>
      <c r="F521">
        <v>45326</v>
      </c>
      <c r="G521">
        <v>7</v>
      </c>
      <c r="I521" t="s">
        <v>26</v>
      </c>
    </row>
    <row r="522" spans="1:9" x14ac:dyDescent="0.3">
      <c r="A522" t="s">
        <v>459</v>
      </c>
      <c r="B522">
        <v>48</v>
      </c>
      <c r="C522" t="s">
        <v>38</v>
      </c>
      <c r="D522" t="s">
        <v>48</v>
      </c>
      <c r="E522" t="s">
        <v>15</v>
      </c>
      <c r="F522">
        <v>45298</v>
      </c>
      <c r="G522">
        <v>18</v>
      </c>
      <c r="I522" t="s">
        <v>16</v>
      </c>
    </row>
    <row r="523" spans="1:9" x14ac:dyDescent="0.3">
      <c r="A523" t="s">
        <v>460</v>
      </c>
      <c r="C523" t="s">
        <v>28</v>
      </c>
      <c r="E523" t="s">
        <v>15</v>
      </c>
      <c r="F523">
        <v>45628</v>
      </c>
      <c r="I523" t="s">
        <v>12</v>
      </c>
    </row>
    <row r="524" spans="1:9" x14ac:dyDescent="0.3">
      <c r="A524" t="s">
        <v>461</v>
      </c>
      <c r="C524" t="s">
        <v>38</v>
      </c>
      <c r="D524" t="s">
        <v>10</v>
      </c>
      <c r="E524" t="s">
        <v>11</v>
      </c>
      <c r="F524">
        <v>45457</v>
      </c>
      <c r="G524">
        <v>17</v>
      </c>
      <c r="I524" t="s">
        <v>16</v>
      </c>
    </row>
    <row r="525" spans="1:9" x14ac:dyDescent="0.3">
      <c r="A525" t="s">
        <v>462</v>
      </c>
      <c r="B525">
        <v>63</v>
      </c>
      <c r="C525" t="s">
        <v>28</v>
      </c>
      <c r="D525" t="s">
        <v>33</v>
      </c>
      <c r="E525" t="s">
        <v>11</v>
      </c>
      <c r="G525">
        <v>20</v>
      </c>
    </row>
    <row r="526" spans="1:9" x14ac:dyDescent="0.3">
      <c r="A526" t="s">
        <v>463</v>
      </c>
      <c r="D526" t="s">
        <v>25</v>
      </c>
      <c r="E526" t="s">
        <v>20</v>
      </c>
      <c r="F526">
        <v>45564</v>
      </c>
      <c r="I526" t="s">
        <v>21</v>
      </c>
    </row>
    <row r="527" spans="1:9" x14ac:dyDescent="0.3">
      <c r="A527" t="s">
        <v>464</v>
      </c>
      <c r="C527" t="s">
        <v>18</v>
      </c>
      <c r="D527" t="s">
        <v>14</v>
      </c>
      <c r="E527" t="s">
        <v>15</v>
      </c>
    </row>
    <row r="528" spans="1:9" x14ac:dyDescent="0.3">
      <c r="A528" t="s">
        <v>178</v>
      </c>
      <c r="D528" t="s">
        <v>10</v>
      </c>
      <c r="E528" t="s">
        <v>43</v>
      </c>
      <c r="F528">
        <v>45403</v>
      </c>
    </row>
    <row r="529" spans="1:9" x14ac:dyDescent="0.3">
      <c r="A529" t="s">
        <v>465</v>
      </c>
      <c r="B529">
        <v>56</v>
      </c>
      <c r="D529" t="s">
        <v>48</v>
      </c>
      <c r="E529" t="s">
        <v>23</v>
      </c>
      <c r="F529">
        <v>45554</v>
      </c>
      <c r="H529">
        <v>1293.78</v>
      </c>
      <c r="I529" t="s">
        <v>12</v>
      </c>
    </row>
    <row r="530" spans="1:9" x14ac:dyDescent="0.3">
      <c r="A530" t="s">
        <v>466</v>
      </c>
      <c r="C530" t="s">
        <v>28</v>
      </c>
      <c r="D530" t="s">
        <v>48</v>
      </c>
      <c r="E530" t="s">
        <v>23</v>
      </c>
      <c r="F530">
        <v>45353</v>
      </c>
    </row>
    <row r="531" spans="1:9" x14ac:dyDescent="0.3">
      <c r="A531" t="s">
        <v>467</v>
      </c>
      <c r="C531" t="s">
        <v>28</v>
      </c>
      <c r="D531" t="s">
        <v>33</v>
      </c>
      <c r="E531" t="s">
        <v>23</v>
      </c>
      <c r="F531">
        <v>45478</v>
      </c>
      <c r="I531" t="s">
        <v>26</v>
      </c>
    </row>
    <row r="532" spans="1:9" x14ac:dyDescent="0.3">
      <c r="A532" t="s">
        <v>347</v>
      </c>
      <c r="C532" t="s">
        <v>42</v>
      </c>
      <c r="D532" t="s">
        <v>19</v>
      </c>
      <c r="E532" t="s">
        <v>20</v>
      </c>
      <c r="F532">
        <v>45340</v>
      </c>
      <c r="I532" t="s">
        <v>21</v>
      </c>
    </row>
    <row r="533" spans="1:9" x14ac:dyDescent="0.3">
      <c r="A533" t="s">
        <v>468</v>
      </c>
      <c r="B533">
        <v>25</v>
      </c>
      <c r="D533" t="s">
        <v>45</v>
      </c>
      <c r="E533" t="s">
        <v>34</v>
      </c>
      <c r="F533">
        <v>45411</v>
      </c>
      <c r="I533" t="s">
        <v>12</v>
      </c>
    </row>
    <row r="534" spans="1:9" x14ac:dyDescent="0.3">
      <c r="A534" t="s">
        <v>469</v>
      </c>
      <c r="B534">
        <v>46</v>
      </c>
      <c r="C534" t="s">
        <v>42</v>
      </c>
      <c r="D534" t="s">
        <v>10</v>
      </c>
      <c r="E534" t="s">
        <v>29</v>
      </c>
    </row>
    <row r="535" spans="1:9" x14ac:dyDescent="0.3">
      <c r="A535" t="s">
        <v>470</v>
      </c>
      <c r="C535" t="s">
        <v>28</v>
      </c>
      <c r="D535" t="s">
        <v>14</v>
      </c>
      <c r="E535" t="s">
        <v>29</v>
      </c>
      <c r="F535">
        <v>45588</v>
      </c>
      <c r="I535" t="s">
        <v>16</v>
      </c>
    </row>
    <row r="536" spans="1:9" x14ac:dyDescent="0.3">
      <c r="A536" t="s">
        <v>471</v>
      </c>
      <c r="C536" t="s">
        <v>18</v>
      </c>
      <c r="D536" t="s">
        <v>48</v>
      </c>
      <c r="E536" t="s">
        <v>23</v>
      </c>
      <c r="F536">
        <v>45628</v>
      </c>
      <c r="G536">
        <v>5</v>
      </c>
      <c r="H536">
        <v>829.22</v>
      </c>
      <c r="I536" t="s">
        <v>16</v>
      </c>
    </row>
    <row r="537" spans="1:9" x14ac:dyDescent="0.3">
      <c r="A537" t="s">
        <v>301</v>
      </c>
      <c r="C537" t="s">
        <v>42</v>
      </c>
      <c r="D537" t="s">
        <v>45</v>
      </c>
      <c r="E537" t="s">
        <v>23</v>
      </c>
      <c r="F537">
        <v>45388</v>
      </c>
      <c r="G537">
        <v>16</v>
      </c>
      <c r="H537">
        <v>1908.33</v>
      </c>
    </row>
    <row r="538" spans="1:9" x14ac:dyDescent="0.3">
      <c r="A538" t="s">
        <v>436</v>
      </c>
      <c r="C538" t="s">
        <v>42</v>
      </c>
      <c r="D538" t="s">
        <v>48</v>
      </c>
      <c r="E538" t="s">
        <v>43</v>
      </c>
      <c r="F538">
        <v>45427</v>
      </c>
      <c r="G538">
        <v>4</v>
      </c>
      <c r="H538">
        <v>1135.51</v>
      </c>
      <c r="I538" t="s">
        <v>16</v>
      </c>
    </row>
    <row r="539" spans="1:9" x14ac:dyDescent="0.3">
      <c r="A539" t="s">
        <v>443</v>
      </c>
      <c r="C539" t="s">
        <v>38</v>
      </c>
      <c r="E539" t="s">
        <v>23</v>
      </c>
      <c r="F539">
        <v>45592</v>
      </c>
      <c r="I539" t="s">
        <v>21</v>
      </c>
    </row>
    <row r="540" spans="1:9" x14ac:dyDescent="0.3">
      <c r="A540" t="s">
        <v>472</v>
      </c>
      <c r="C540" t="s">
        <v>18</v>
      </c>
      <c r="D540" t="s">
        <v>33</v>
      </c>
      <c r="E540" t="s">
        <v>11</v>
      </c>
      <c r="F540">
        <v>45377</v>
      </c>
      <c r="I540" t="s">
        <v>26</v>
      </c>
    </row>
    <row r="541" spans="1:9" x14ac:dyDescent="0.3">
      <c r="A541" t="s">
        <v>473</v>
      </c>
      <c r="B541">
        <v>45</v>
      </c>
      <c r="D541" t="s">
        <v>48</v>
      </c>
      <c r="E541" t="s">
        <v>34</v>
      </c>
      <c r="F541">
        <v>45528</v>
      </c>
      <c r="G541">
        <v>5</v>
      </c>
    </row>
    <row r="542" spans="1:9" x14ac:dyDescent="0.3">
      <c r="A542" t="s">
        <v>474</v>
      </c>
      <c r="C542" t="s">
        <v>38</v>
      </c>
      <c r="D542" t="s">
        <v>14</v>
      </c>
      <c r="E542" t="s">
        <v>29</v>
      </c>
      <c r="F542">
        <v>45512</v>
      </c>
      <c r="H542">
        <v>200.8</v>
      </c>
      <c r="I542" t="s">
        <v>21</v>
      </c>
    </row>
    <row r="543" spans="1:9" x14ac:dyDescent="0.3">
      <c r="A543" t="s">
        <v>475</v>
      </c>
      <c r="C543" t="s">
        <v>18</v>
      </c>
      <c r="D543" t="s">
        <v>51</v>
      </c>
      <c r="E543" t="s">
        <v>43</v>
      </c>
      <c r="F543">
        <v>45620</v>
      </c>
      <c r="I543" t="s">
        <v>21</v>
      </c>
    </row>
    <row r="544" spans="1:9" x14ac:dyDescent="0.3">
      <c r="A544" t="s">
        <v>152</v>
      </c>
      <c r="C544" t="s">
        <v>38</v>
      </c>
      <c r="D544" t="s">
        <v>48</v>
      </c>
      <c r="E544" t="s">
        <v>43</v>
      </c>
      <c r="F544">
        <v>45638</v>
      </c>
      <c r="H544">
        <v>1357.45</v>
      </c>
      <c r="I544" t="s">
        <v>12</v>
      </c>
    </row>
    <row r="545" spans="1:9" x14ac:dyDescent="0.3">
      <c r="A545" t="s">
        <v>476</v>
      </c>
      <c r="B545">
        <v>50</v>
      </c>
      <c r="E545" t="s">
        <v>43</v>
      </c>
      <c r="F545">
        <v>45502</v>
      </c>
      <c r="I545" t="s">
        <v>16</v>
      </c>
    </row>
    <row r="546" spans="1:9" x14ac:dyDescent="0.3">
      <c r="A546" t="s">
        <v>309</v>
      </c>
      <c r="B546">
        <v>66</v>
      </c>
      <c r="C546" t="s">
        <v>38</v>
      </c>
      <c r="D546" t="s">
        <v>48</v>
      </c>
      <c r="E546" t="s">
        <v>23</v>
      </c>
      <c r="F546">
        <v>45626</v>
      </c>
      <c r="G546">
        <v>16</v>
      </c>
      <c r="I546" t="s">
        <v>16</v>
      </c>
    </row>
    <row r="547" spans="1:9" x14ac:dyDescent="0.3">
      <c r="A547" t="s">
        <v>477</v>
      </c>
      <c r="C547" t="s">
        <v>38</v>
      </c>
      <c r="D547" t="s">
        <v>33</v>
      </c>
      <c r="E547" t="s">
        <v>15</v>
      </c>
      <c r="H547">
        <v>450.24</v>
      </c>
      <c r="I547" t="s">
        <v>26</v>
      </c>
    </row>
    <row r="548" spans="1:9" x14ac:dyDescent="0.3">
      <c r="A548" t="s">
        <v>322</v>
      </c>
      <c r="C548" t="s">
        <v>28</v>
      </c>
      <c r="D548" t="s">
        <v>19</v>
      </c>
      <c r="E548" t="s">
        <v>11</v>
      </c>
      <c r="F548">
        <v>45592</v>
      </c>
      <c r="I548" t="s">
        <v>21</v>
      </c>
    </row>
    <row r="549" spans="1:9" x14ac:dyDescent="0.3">
      <c r="A549" t="s">
        <v>369</v>
      </c>
      <c r="C549" t="s">
        <v>42</v>
      </c>
      <c r="E549" t="s">
        <v>29</v>
      </c>
      <c r="F549">
        <v>45648</v>
      </c>
      <c r="H549">
        <v>355.33</v>
      </c>
    </row>
    <row r="550" spans="1:9" x14ac:dyDescent="0.3">
      <c r="A550" t="s">
        <v>142</v>
      </c>
      <c r="B550">
        <v>82</v>
      </c>
      <c r="C550" t="s">
        <v>18</v>
      </c>
      <c r="D550" t="s">
        <v>19</v>
      </c>
      <c r="E550" t="s">
        <v>23</v>
      </c>
      <c r="I550" t="s">
        <v>26</v>
      </c>
    </row>
    <row r="551" spans="1:9" x14ac:dyDescent="0.3">
      <c r="A551" t="s">
        <v>417</v>
      </c>
      <c r="B551">
        <v>66</v>
      </c>
      <c r="C551" t="s">
        <v>38</v>
      </c>
      <c r="D551" t="s">
        <v>33</v>
      </c>
      <c r="E551" t="s">
        <v>43</v>
      </c>
      <c r="G551">
        <v>2</v>
      </c>
      <c r="I551" t="s">
        <v>16</v>
      </c>
    </row>
    <row r="552" spans="1:9" x14ac:dyDescent="0.3">
      <c r="A552" t="s">
        <v>478</v>
      </c>
      <c r="B552">
        <v>67</v>
      </c>
      <c r="C552" t="s">
        <v>42</v>
      </c>
      <c r="D552" t="s">
        <v>19</v>
      </c>
      <c r="E552" t="s">
        <v>11</v>
      </c>
      <c r="F552">
        <v>45351</v>
      </c>
      <c r="I552" t="s">
        <v>26</v>
      </c>
    </row>
    <row r="553" spans="1:9" x14ac:dyDescent="0.3">
      <c r="A553" t="s">
        <v>197</v>
      </c>
      <c r="C553" t="s">
        <v>18</v>
      </c>
      <c r="D553" t="s">
        <v>25</v>
      </c>
      <c r="E553" t="s">
        <v>57</v>
      </c>
      <c r="F553">
        <v>45319</v>
      </c>
      <c r="G553">
        <v>10</v>
      </c>
    </row>
    <row r="554" spans="1:9" x14ac:dyDescent="0.3">
      <c r="A554" t="s">
        <v>414</v>
      </c>
      <c r="C554" t="s">
        <v>28</v>
      </c>
      <c r="D554" t="s">
        <v>10</v>
      </c>
      <c r="E554" t="s">
        <v>15</v>
      </c>
      <c r="F554">
        <v>45456</v>
      </c>
      <c r="G554">
        <v>1</v>
      </c>
      <c r="H554">
        <v>1092.77</v>
      </c>
      <c r="I554" t="s">
        <v>16</v>
      </c>
    </row>
    <row r="555" spans="1:9" x14ac:dyDescent="0.3">
      <c r="A555" t="s">
        <v>83</v>
      </c>
      <c r="E555" t="s">
        <v>43</v>
      </c>
      <c r="F555">
        <v>45511</v>
      </c>
      <c r="G555">
        <v>12</v>
      </c>
    </row>
    <row r="556" spans="1:9" x14ac:dyDescent="0.3">
      <c r="A556" t="s">
        <v>479</v>
      </c>
      <c r="E556" t="s">
        <v>43</v>
      </c>
      <c r="F556">
        <v>45646</v>
      </c>
      <c r="I556" t="s">
        <v>16</v>
      </c>
    </row>
    <row r="557" spans="1:9" x14ac:dyDescent="0.3">
      <c r="A557" t="s">
        <v>480</v>
      </c>
      <c r="C557" t="s">
        <v>42</v>
      </c>
      <c r="D557" t="s">
        <v>45</v>
      </c>
      <c r="E557" t="s">
        <v>43</v>
      </c>
      <c r="F557">
        <v>45653</v>
      </c>
      <c r="I557" t="s">
        <v>12</v>
      </c>
    </row>
    <row r="558" spans="1:9" x14ac:dyDescent="0.3">
      <c r="A558" t="s">
        <v>481</v>
      </c>
      <c r="B558">
        <v>29</v>
      </c>
      <c r="C558" t="s">
        <v>42</v>
      </c>
      <c r="D558" t="s">
        <v>51</v>
      </c>
      <c r="E558" t="s">
        <v>11</v>
      </c>
    </row>
    <row r="559" spans="1:9" x14ac:dyDescent="0.3">
      <c r="A559" t="s">
        <v>482</v>
      </c>
      <c r="C559" t="s">
        <v>18</v>
      </c>
      <c r="D559" t="s">
        <v>25</v>
      </c>
      <c r="E559" t="s">
        <v>57</v>
      </c>
      <c r="F559">
        <v>45483</v>
      </c>
      <c r="I559" t="s">
        <v>16</v>
      </c>
    </row>
    <row r="560" spans="1:9" x14ac:dyDescent="0.3">
      <c r="A560" t="s">
        <v>311</v>
      </c>
      <c r="C560" t="s">
        <v>18</v>
      </c>
      <c r="D560" t="s">
        <v>14</v>
      </c>
      <c r="E560" t="s">
        <v>11</v>
      </c>
      <c r="F560">
        <v>45567</v>
      </c>
      <c r="I560" t="s">
        <v>21</v>
      </c>
    </row>
    <row r="561" spans="1:9" x14ac:dyDescent="0.3">
      <c r="A561" t="s">
        <v>290</v>
      </c>
      <c r="C561" t="s">
        <v>18</v>
      </c>
      <c r="D561" t="s">
        <v>19</v>
      </c>
      <c r="E561" t="s">
        <v>57</v>
      </c>
      <c r="H561">
        <v>628.24</v>
      </c>
      <c r="I561" t="s">
        <v>21</v>
      </c>
    </row>
    <row r="562" spans="1:9" x14ac:dyDescent="0.3">
      <c r="A562" t="s">
        <v>483</v>
      </c>
      <c r="B562">
        <v>28</v>
      </c>
      <c r="C562" t="s">
        <v>18</v>
      </c>
      <c r="D562" t="s">
        <v>10</v>
      </c>
      <c r="E562" t="s">
        <v>43</v>
      </c>
      <c r="F562">
        <v>45326</v>
      </c>
      <c r="G562">
        <v>5</v>
      </c>
      <c r="I562" t="s">
        <v>21</v>
      </c>
    </row>
    <row r="563" spans="1:9" x14ac:dyDescent="0.3">
      <c r="A563" t="s">
        <v>484</v>
      </c>
      <c r="C563" t="s">
        <v>38</v>
      </c>
      <c r="D563" t="s">
        <v>19</v>
      </c>
      <c r="E563" t="s">
        <v>34</v>
      </c>
      <c r="F563">
        <v>45371</v>
      </c>
      <c r="I563" t="s">
        <v>26</v>
      </c>
    </row>
    <row r="564" spans="1:9" x14ac:dyDescent="0.3">
      <c r="A564" t="s">
        <v>348</v>
      </c>
      <c r="C564" t="s">
        <v>18</v>
      </c>
      <c r="D564" t="s">
        <v>25</v>
      </c>
      <c r="E564" t="s">
        <v>11</v>
      </c>
      <c r="I564" t="s">
        <v>21</v>
      </c>
    </row>
    <row r="565" spans="1:9" x14ac:dyDescent="0.3">
      <c r="A565" t="s">
        <v>485</v>
      </c>
      <c r="B565">
        <v>87</v>
      </c>
      <c r="C565" t="s">
        <v>42</v>
      </c>
      <c r="D565" t="s">
        <v>19</v>
      </c>
      <c r="E565" t="s">
        <v>43</v>
      </c>
      <c r="F565">
        <v>45515</v>
      </c>
      <c r="G565">
        <v>10</v>
      </c>
    </row>
    <row r="566" spans="1:9" x14ac:dyDescent="0.3">
      <c r="A566" t="s">
        <v>486</v>
      </c>
      <c r="C566" t="s">
        <v>18</v>
      </c>
      <c r="D566" t="s">
        <v>25</v>
      </c>
      <c r="E566" t="s">
        <v>20</v>
      </c>
      <c r="G566">
        <v>17</v>
      </c>
      <c r="I566" t="s">
        <v>26</v>
      </c>
    </row>
    <row r="567" spans="1:9" x14ac:dyDescent="0.3">
      <c r="A567" t="s">
        <v>487</v>
      </c>
      <c r="C567" t="s">
        <v>38</v>
      </c>
      <c r="E567" t="s">
        <v>23</v>
      </c>
      <c r="F567">
        <v>45350</v>
      </c>
      <c r="I567" t="s">
        <v>26</v>
      </c>
    </row>
    <row r="568" spans="1:9" x14ac:dyDescent="0.3">
      <c r="A568" t="s">
        <v>488</v>
      </c>
      <c r="C568" t="s">
        <v>28</v>
      </c>
      <c r="D568" t="s">
        <v>33</v>
      </c>
      <c r="E568" t="s">
        <v>34</v>
      </c>
      <c r="F568">
        <v>45346</v>
      </c>
      <c r="G568">
        <v>5</v>
      </c>
      <c r="H568">
        <v>386.91</v>
      </c>
    </row>
    <row r="569" spans="1:9" x14ac:dyDescent="0.3">
      <c r="A569" t="s">
        <v>489</v>
      </c>
      <c r="B569">
        <v>34</v>
      </c>
      <c r="C569" t="s">
        <v>28</v>
      </c>
      <c r="D569" t="s">
        <v>45</v>
      </c>
      <c r="E569" t="s">
        <v>29</v>
      </c>
      <c r="F569">
        <v>45583</v>
      </c>
      <c r="H569">
        <v>539.9</v>
      </c>
    </row>
    <row r="570" spans="1:9" x14ac:dyDescent="0.3">
      <c r="A570" t="s">
        <v>490</v>
      </c>
      <c r="C570" t="s">
        <v>18</v>
      </c>
      <c r="D570" t="s">
        <v>14</v>
      </c>
      <c r="E570" t="s">
        <v>23</v>
      </c>
      <c r="G570">
        <v>12</v>
      </c>
      <c r="H570">
        <v>1277.75</v>
      </c>
    </row>
    <row r="571" spans="1:9" x14ac:dyDescent="0.3">
      <c r="A571" t="s">
        <v>491</v>
      </c>
      <c r="B571">
        <v>31</v>
      </c>
      <c r="C571" t="s">
        <v>42</v>
      </c>
      <c r="D571" t="s">
        <v>45</v>
      </c>
      <c r="E571" t="s">
        <v>29</v>
      </c>
      <c r="F571">
        <v>45358</v>
      </c>
      <c r="I571" t="s">
        <v>12</v>
      </c>
    </row>
    <row r="572" spans="1:9" x14ac:dyDescent="0.3">
      <c r="A572" t="s">
        <v>492</v>
      </c>
      <c r="B572">
        <v>43</v>
      </c>
      <c r="C572" t="s">
        <v>18</v>
      </c>
      <c r="D572" t="s">
        <v>10</v>
      </c>
      <c r="E572" t="s">
        <v>57</v>
      </c>
      <c r="G572">
        <v>3</v>
      </c>
      <c r="I572" t="s">
        <v>21</v>
      </c>
    </row>
    <row r="573" spans="1:9" x14ac:dyDescent="0.3">
      <c r="A573" t="s">
        <v>117</v>
      </c>
      <c r="C573" t="s">
        <v>42</v>
      </c>
      <c r="D573" t="s">
        <v>10</v>
      </c>
      <c r="E573" t="s">
        <v>15</v>
      </c>
      <c r="F573">
        <v>45399</v>
      </c>
      <c r="H573">
        <v>1478.9</v>
      </c>
      <c r="I573" t="s">
        <v>26</v>
      </c>
    </row>
    <row r="574" spans="1:9" x14ac:dyDescent="0.3">
      <c r="A574" t="s">
        <v>493</v>
      </c>
      <c r="C574" t="s">
        <v>28</v>
      </c>
      <c r="D574" t="s">
        <v>19</v>
      </c>
      <c r="E574" t="s">
        <v>20</v>
      </c>
      <c r="F574">
        <v>45638</v>
      </c>
      <c r="G574">
        <v>15</v>
      </c>
      <c r="I574" t="s">
        <v>21</v>
      </c>
    </row>
    <row r="575" spans="1:9" x14ac:dyDescent="0.3">
      <c r="A575" t="s">
        <v>494</v>
      </c>
      <c r="C575" t="s">
        <v>18</v>
      </c>
      <c r="D575" t="s">
        <v>51</v>
      </c>
      <c r="E575" t="s">
        <v>23</v>
      </c>
      <c r="F575">
        <v>45622</v>
      </c>
    </row>
    <row r="576" spans="1:9" x14ac:dyDescent="0.3">
      <c r="A576" t="s">
        <v>259</v>
      </c>
      <c r="B576">
        <v>52</v>
      </c>
      <c r="C576" t="s">
        <v>38</v>
      </c>
      <c r="D576" t="s">
        <v>51</v>
      </c>
      <c r="E576" t="s">
        <v>15</v>
      </c>
      <c r="F576">
        <v>45293</v>
      </c>
      <c r="I576" t="s">
        <v>21</v>
      </c>
    </row>
    <row r="577" spans="1:9" x14ac:dyDescent="0.3">
      <c r="A577" t="s">
        <v>495</v>
      </c>
      <c r="C577" t="s">
        <v>42</v>
      </c>
      <c r="E577" t="s">
        <v>34</v>
      </c>
      <c r="F577">
        <v>45533</v>
      </c>
      <c r="G577">
        <v>6</v>
      </c>
      <c r="I577" t="s">
        <v>21</v>
      </c>
    </row>
    <row r="578" spans="1:9" x14ac:dyDescent="0.3">
      <c r="A578" t="s">
        <v>496</v>
      </c>
      <c r="C578" t="s">
        <v>18</v>
      </c>
      <c r="D578" t="s">
        <v>19</v>
      </c>
      <c r="E578" t="s">
        <v>34</v>
      </c>
      <c r="F578">
        <v>45645</v>
      </c>
      <c r="H578">
        <v>1427.85</v>
      </c>
    </row>
    <row r="579" spans="1:9" x14ac:dyDescent="0.3">
      <c r="A579" t="s">
        <v>497</v>
      </c>
      <c r="C579" t="s">
        <v>42</v>
      </c>
      <c r="D579" t="s">
        <v>19</v>
      </c>
      <c r="E579" t="s">
        <v>57</v>
      </c>
      <c r="H579">
        <v>88.64</v>
      </c>
    </row>
    <row r="580" spans="1:9" x14ac:dyDescent="0.3">
      <c r="A580" t="s">
        <v>498</v>
      </c>
      <c r="B580">
        <v>71</v>
      </c>
      <c r="C580" t="s">
        <v>28</v>
      </c>
      <c r="D580" t="s">
        <v>25</v>
      </c>
      <c r="E580" t="s">
        <v>43</v>
      </c>
      <c r="F580">
        <v>45376</v>
      </c>
      <c r="G580">
        <v>18</v>
      </c>
      <c r="H580">
        <v>1031.9000000000001</v>
      </c>
      <c r="I580" t="s">
        <v>21</v>
      </c>
    </row>
    <row r="581" spans="1:9" x14ac:dyDescent="0.3">
      <c r="A581" t="s">
        <v>499</v>
      </c>
      <c r="C581" t="s">
        <v>28</v>
      </c>
      <c r="D581" t="s">
        <v>10</v>
      </c>
      <c r="E581" t="s">
        <v>20</v>
      </c>
      <c r="F581">
        <v>45516</v>
      </c>
      <c r="G581">
        <v>11</v>
      </c>
      <c r="H581">
        <v>628.22</v>
      </c>
      <c r="I581" t="s">
        <v>16</v>
      </c>
    </row>
    <row r="582" spans="1:9" x14ac:dyDescent="0.3">
      <c r="A582" t="s">
        <v>252</v>
      </c>
      <c r="C582" t="s">
        <v>18</v>
      </c>
      <c r="D582" t="s">
        <v>45</v>
      </c>
      <c r="E582" t="s">
        <v>23</v>
      </c>
      <c r="H582">
        <v>570.4</v>
      </c>
      <c r="I582" t="s">
        <v>12</v>
      </c>
    </row>
    <row r="583" spans="1:9" x14ac:dyDescent="0.3">
      <c r="A583" t="s">
        <v>387</v>
      </c>
      <c r="C583" t="s">
        <v>38</v>
      </c>
      <c r="D583" t="s">
        <v>19</v>
      </c>
      <c r="E583" t="s">
        <v>20</v>
      </c>
      <c r="F583">
        <v>45561</v>
      </c>
      <c r="G583">
        <v>6</v>
      </c>
      <c r="H583">
        <v>1970.39</v>
      </c>
      <c r="I583" t="s">
        <v>21</v>
      </c>
    </row>
    <row r="584" spans="1:9" x14ac:dyDescent="0.3">
      <c r="A584" t="s">
        <v>239</v>
      </c>
      <c r="C584" t="s">
        <v>42</v>
      </c>
      <c r="D584" t="s">
        <v>33</v>
      </c>
      <c r="E584" t="s">
        <v>43</v>
      </c>
      <c r="F584">
        <v>45441</v>
      </c>
      <c r="H584">
        <v>1343.35</v>
      </c>
    </row>
    <row r="585" spans="1:9" x14ac:dyDescent="0.3">
      <c r="A585" t="s">
        <v>500</v>
      </c>
      <c r="C585" t="s">
        <v>42</v>
      </c>
      <c r="D585" t="s">
        <v>51</v>
      </c>
      <c r="E585" t="s">
        <v>43</v>
      </c>
      <c r="F585">
        <v>45643</v>
      </c>
      <c r="I585" t="s">
        <v>26</v>
      </c>
    </row>
    <row r="586" spans="1:9" x14ac:dyDescent="0.3">
      <c r="A586" t="s">
        <v>204</v>
      </c>
      <c r="C586" t="s">
        <v>18</v>
      </c>
      <c r="D586" t="s">
        <v>25</v>
      </c>
      <c r="E586" t="s">
        <v>23</v>
      </c>
      <c r="F586">
        <v>45348</v>
      </c>
      <c r="H586">
        <v>690.06</v>
      </c>
      <c r="I586" t="s">
        <v>21</v>
      </c>
    </row>
    <row r="587" spans="1:9" x14ac:dyDescent="0.3">
      <c r="A587" t="s">
        <v>501</v>
      </c>
      <c r="C587" t="s">
        <v>18</v>
      </c>
      <c r="D587" t="s">
        <v>45</v>
      </c>
      <c r="E587" t="s">
        <v>20</v>
      </c>
      <c r="H587">
        <v>1639.06</v>
      </c>
      <c r="I587" t="s">
        <v>21</v>
      </c>
    </row>
    <row r="588" spans="1:9" x14ac:dyDescent="0.3">
      <c r="A588" t="s">
        <v>502</v>
      </c>
      <c r="C588" t="s">
        <v>42</v>
      </c>
      <c r="D588" t="s">
        <v>45</v>
      </c>
      <c r="E588" t="s">
        <v>23</v>
      </c>
      <c r="F588">
        <v>45453</v>
      </c>
      <c r="I588" t="s">
        <v>16</v>
      </c>
    </row>
    <row r="589" spans="1:9" x14ac:dyDescent="0.3">
      <c r="A589" t="s">
        <v>503</v>
      </c>
      <c r="C589" t="s">
        <v>28</v>
      </c>
      <c r="D589" t="s">
        <v>33</v>
      </c>
      <c r="E589" t="s">
        <v>57</v>
      </c>
      <c r="G589">
        <v>13</v>
      </c>
      <c r="I589" t="s">
        <v>26</v>
      </c>
    </row>
    <row r="590" spans="1:9" x14ac:dyDescent="0.3">
      <c r="A590" t="s">
        <v>504</v>
      </c>
      <c r="D590" t="s">
        <v>25</v>
      </c>
      <c r="E590" t="s">
        <v>15</v>
      </c>
      <c r="F590">
        <v>45431</v>
      </c>
      <c r="G590">
        <v>19</v>
      </c>
      <c r="H590">
        <v>415.31</v>
      </c>
      <c r="I590" t="s">
        <v>26</v>
      </c>
    </row>
    <row r="591" spans="1:9" x14ac:dyDescent="0.3">
      <c r="A591" t="s">
        <v>326</v>
      </c>
      <c r="C591" t="s">
        <v>28</v>
      </c>
      <c r="D591" t="s">
        <v>25</v>
      </c>
      <c r="E591" t="s">
        <v>34</v>
      </c>
      <c r="I591" t="s">
        <v>16</v>
      </c>
    </row>
    <row r="592" spans="1:9" x14ac:dyDescent="0.3">
      <c r="A592" t="s">
        <v>431</v>
      </c>
      <c r="C592" t="s">
        <v>38</v>
      </c>
      <c r="D592" t="s">
        <v>19</v>
      </c>
      <c r="E592" t="s">
        <v>34</v>
      </c>
      <c r="F592">
        <v>45477</v>
      </c>
      <c r="G592">
        <v>8</v>
      </c>
      <c r="I592" t="s">
        <v>26</v>
      </c>
    </row>
    <row r="593" spans="1:9" x14ac:dyDescent="0.3">
      <c r="A593" t="s">
        <v>505</v>
      </c>
      <c r="C593" t="s">
        <v>18</v>
      </c>
      <c r="D593" t="s">
        <v>14</v>
      </c>
      <c r="E593" t="s">
        <v>23</v>
      </c>
      <c r="F593">
        <v>45572</v>
      </c>
      <c r="G593">
        <v>6</v>
      </c>
      <c r="I593" t="s">
        <v>16</v>
      </c>
    </row>
    <row r="594" spans="1:9" x14ac:dyDescent="0.3">
      <c r="A594" t="s">
        <v>219</v>
      </c>
      <c r="C594" t="s">
        <v>42</v>
      </c>
      <c r="D594" t="s">
        <v>10</v>
      </c>
      <c r="E594" t="s">
        <v>23</v>
      </c>
      <c r="F594">
        <v>45479</v>
      </c>
      <c r="G594">
        <v>4</v>
      </c>
      <c r="H594">
        <v>452.54</v>
      </c>
    </row>
    <row r="595" spans="1:9" x14ac:dyDescent="0.3">
      <c r="A595" t="s">
        <v>441</v>
      </c>
      <c r="C595" t="s">
        <v>38</v>
      </c>
      <c r="D595" t="s">
        <v>51</v>
      </c>
      <c r="E595" t="s">
        <v>57</v>
      </c>
      <c r="F595">
        <v>45599</v>
      </c>
      <c r="G595">
        <v>18</v>
      </c>
      <c r="H595">
        <v>304.20999999999998</v>
      </c>
      <c r="I595" t="s">
        <v>26</v>
      </c>
    </row>
    <row r="596" spans="1:9" x14ac:dyDescent="0.3">
      <c r="A596" t="s">
        <v>462</v>
      </c>
      <c r="C596" t="s">
        <v>42</v>
      </c>
      <c r="D596" t="s">
        <v>10</v>
      </c>
      <c r="E596" t="s">
        <v>11</v>
      </c>
      <c r="F596">
        <v>45435</v>
      </c>
      <c r="H596">
        <v>1073.45</v>
      </c>
      <c r="I596" t="s">
        <v>16</v>
      </c>
    </row>
    <row r="597" spans="1:9" x14ac:dyDescent="0.3">
      <c r="A597" t="s">
        <v>506</v>
      </c>
      <c r="C597" t="s">
        <v>28</v>
      </c>
      <c r="D597" t="s">
        <v>10</v>
      </c>
      <c r="E597" t="s">
        <v>15</v>
      </c>
      <c r="F597">
        <v>45513</v>
      </c>
      <c r="G597">
        <v>10</v>
      </c>
    </row>
    <row r="598" spans="1:9" x14ac:dyDescent="0.3">
      <c r="A598" t="s">
        <v>507</v>
      </c>
      <c r="C598" t="s">
        <v>42</v>
      </c>
      <c r="D598" t="s">
        <v>10</v>
      </c>
      <c r="E598" t="s">
        <v>11</v>
      </c>
      <c r="F598">
        <v>45445</v>
      </c>
      <c r="H598">
        <v>1625.57</v>
      </c>
    </row>
    <row r="599" spans="1:9" x14ac:dyDescent="0.3">
      <c r="A599" t="s">
        <v>508</v>
      </c>
      <c r="C599" t="s">
        <v>38</v>
      </c>
      <c r="D599" t="s">
        <v>19</v>
      </c>
      <c r="E599" t="s">
        <v>34</v>
      </c>
      <c r="F599">
        <v>45320</v>
      </c>
      <c r="I599" t="s">
        <v>26</v>
      </c>
    </row>
    <row r="600" spans="1:9" x14ac:dyDescent="0.3">
      <c r="A600" t="s">
        <v>509</v>
      </c>
      <c r="C600" t="s">
        <v>18</v>
      </c>
      <c r="D600" t="s">
        <v>45</v>
      </c>
      <c r="E600" t="s">
        <v>20</v>
      </c>
      <c r="F600">
        <v>45426</v>
      </c>
      <c r="I600" t="s">
        <v>16</v>
      </c>
    </row>
    <row r="601" spans="1:9" x14ac:dyDescent="0.3">
      <c r="A601" t="s">
        <v>510</v>
      </c>
      <c r="C601" t="s">
        <v>42</v>
      </c>
      <c r="D601" t="s">
        <v>45</v>
      </c>
      <c r="E601" t="s">
        <v>15</v>
      </c>
      <c r="F601">
        <v>45473</v>
      </c>
      <c r="H601">
        <v>1049.71</v>
      </c>
    </row>
    <row r="602" spans="1:9" x14ac:dyDescent="0.3">
      <c r="A602" t="s">
        <v>193</v>
      </c>
      <c r="C602" t="s">
        <v>18</v>
      </c>
      <c r="D602" t="s">
        <v>48</v>
      </c>
      <c r="E602" t="s">
        <v>11</v>
      </c>
      <c r="I602" t="s">
        <v>21</v>
      </c>
    </row>
    <row r="603" spans="1:9" x14ac:dyDescent="0.3">
      <c r="A603" t="s">
        <v>511</v>
      </c>
      <c r="C603" t="s">
        <v>42</v>
      </c>
      <c r="D603" t="s">
        <v>10</v>
      </c>
      <c r="E603" t="s">
        <v>11</v>
      </c>
      <c r="F603">
        <v>45338</v>
      </c>
      <c r="H603">
        <v>1498.23</v>
      </c>
    </row>
    <row r="604" spans="1:9" x14ac:dyDescent="0.3">
      <c r="A604" t="s">
        <v>341</v>
      </c>
      <c r="C604" t="s">
        <v>42</v>
      </c>
      <c r="D604" t="s">
        <v>33</v>
      </c>
      <c r="E604" t="s">
        <v>20</v>
      </c>
      <c r="F604">
        <v>45480</v>
      </c>
      <c r="G604">
        <v>14</v>
      </c>
      <c r="I604" t="s">
        <v>21</v>
      </c>
    </row>
    <row r="605" spans="1:9" x14ac:dyDescent="0.3">
      <c r="A605" t="s">
        <v>512</v>
      </c>
      <c r="C605" t="s">
        <v>28</v>
      </c>
      <c r="D605" t="s">
        <v>25</v>
      </c>
      <c r="E605" t="s">
        <v>23</v>
      </c>
      <c r="F605">
        <v>45632</v>
      </c>
      <c r="I605" t="s">
        <v>16</v>
      </c>
    </row>
    <row r="606" spans="1:9" x14ac:dyDescent="0.3">
      <c r="A606" t="s">
        <v>513</v>
      </c>
      <c r="C606" t="s">
        <v>28</v>
      </c>
      <c r="D606" t="s">
        <v>14</v>
      </c>
      <c r="E606" t="s">
        <v>43</v>
      </c>
      <c r="I606" t="s">
        <v>26</v>
      </c>
    </row>
    <row r="607" spans="1:9" x14ac:dyDescent="0.3">
      <c r="A607" t="s">
        <v>514</v>
      </c>
      <c r="C607" t="s">
        <v>42</v>
      </c>
      <c r="D607" t="s">
        <v>14</v>
      </c>
      <c r="E607" t="s">
        <v>15</v>
      </c>
      <c r="F607">
        <v>45439</v>
      </c>
      <c r="G607">
        <v>18</v>
      </c>
      <c r="I607" t="s">
        <v>12</v>
      </c>
    </row>
    <row r="608" spans="1:9" x14ac:dyDescent="0.3">
      <c r="A608" t="s">
        <v>410</v>
      </c>
      <c r="D608" t="s">
        <v>10</v>
      </c>
      <c r="E608" t="s">
        <v>57</v>
      </c>
      <c r="F608">
        <v>45328</v>
      </c>
      <c r="I608" t="s">
        <v>12</v>
      </c>
    </row>
    <row r="609" spans="1:9" x14ac:dyDescent="0.3">
      <c r="A609" t="s">
        <v>442</v>
      </c>
      <c r="C609" t="s">
        <v>18</v>
      </c>
      <c r="D609" t="s">
        <v>51</v>
      </c>
      <c r="E609" t="s">
        <v>34</v>
      </c>
      <c r="F609">
        <v>45413</v>
      </c>
      <c r="I609" t="s">
        <v>16</v>
      </c>
    </row>
    <row r="610" spans="1:9" x14ac:dyDescent="0.3">
      <c r="A610" t="s">
        <v>371</v>
      </c>
      <c r="B610">
        <v>56</v>
      </c>
      <c r="C610" t="s">
        <v>42</v>
      </c>
      <c r="D610" t="s">
        <v>25</v>
      </c>
      <c r="E610" t="s">
        <v>23</v>
      </c>
      <c r="F610">
        <v>45455</v>
      </c>
      <c r="G610">
        <v>14</v>
      </c>
      <c r="H610">
        <v>1811.7</v>
      </c>
      <c r="I610" t="s">
        <v>16</v>
      </c>
    </row>
    <row r="611" spans="1:9" x14ac:dyDescent="0.3">
      <c r="A611" t="s">
        <v>515</v>
      </c>
      <c r="C611" t="s">
        <v>18</v>
      </c>
      <c r="D611" t="s">
        <v>14</v>
      </c>
      <c r="E611" t="s">
        <v>15</v>
      </c>
      <c r="F611">
        <v>45538</v>
      </c>
    </row>
    <row r="612" spans="1:9" x14ac:dyDescent="0.3">
      <c r="A612" t="s">
        <v>516</v>
      </c>
      <c r="B612">
        <v>59</v>
      </c>
      <c r="D612" t="s">
        <v>51</v>
      </c>
      <c r="E612" t="s">
        <v>29</v>
      </c>
      <c r="F612">
        <v>45358</v>
      </c>
      <c r="G612">
        <v>1</v>
      </c>
    </row>
    <row r="613" spans="1:9" x14ac:dyDescent="0.3">
      <c r="A613" t="s">
        <v>517</v>
      </c>
      <c r="C613" t="s">
        <v>28</v>
      </c>
      <c r="D613" t="s">
        <v>33</v>
      </c>
      <c r="E613" t="s">
        <v>20</v>
      </c>
      <c r="F613">
        <v>45569</v>
      </c>
      <c r="G613">
        <v>11</v>
      </c>
      <c r="I613" t="s">
        <v>26</v>
      </c>
    </row>
    <row r="614" spans="1:9" x14ac:dyDescent="0.3">
      <c r="A614" t="s">
        <v>403</v>
      </c>
      <c r="C614" t="s">
        <v>28</v>
      </c>
      <c r="D614" t="s">
        <v>14</v>
      </c>
      <c r="E614" t="s">
        <v>23</v>
      </c>
      <c r="F614">
        <v>45547</v>
      </c>
      <c r="I614" t="s">
        <v>16</v>
      </c>
    </row>
    <row r="615" spans="1:9" x14ac:dyDescent="0.3">
      <c r="A615" t="s">
        <v>117</v>
      </c>
      <c r="C615" t="s">
        <v>42</v>
      </c>
      <c r="D615" t="s">
        <v>33</v>
      </c>
      <c r="E615" t="s">
        <v>34</v>
      </c>
      <c r="F615">
        <v>45624</v>
      </c>
      <c r="I615" t="s">
        <v>16</v>
      </c>
    </row>
    <row r="616" spans="1:9" x14ac:dyDescent="0.3">
      <c r="A616" t="s">
        <v>518</v>
      </c>
      <c r="B616">
        <v>67</v>
      </c>
      <c r="C616" t="s">
        <v>38</v>
      </c>
      <c r="D616" t="s">
        <v>48</v>
      </c>
      <c r="E616" t="s">
        <v>15</v>
      </c>
      <c r="I616" t="s">
        <v>26</v>
      </c>
    </row>
    <row r="617" spans="1:9" x14ac:dyDescent="0.3">
      <c r="A617" t="s">
        <v>519</v>
      </c>
      <c r="C617" t="s">
        <v>38</v>
      </c>
      <c r="D617" t="s">
        <v>14</v>
      </c>
      <c r="E617" t="s">
        <v>20</v>
      </c>
      <c r="F617">
        <v>45558</v>
      </c>
      <c r="G617">
        <v>18</v>
      </c>
      <c r="I617" t="s">
        <v>16</v>
      </c>
    </row>
    <row r="618" spans="1:9" x14ac:dyDescent="0.3">
      <c r="A618" t="s">
        <v>327</v>
      </c>
      <c r="C618" t="s">
        <v>28</v>
      </c>
      <c r="D618" t="s">
        <v>48</v>
      </c>
      <c r="E618" t="s">
        <v>57</v>
      </c>
      <c r="F618">
        <v>45652</v>
      </c>
      <c r="G618">
        <v>10</v>
      </c>
      <c r="I618" t="s">
        <v>16</v>
      </c>
    </row>
    <row r="619" spans="1:9" x14ac:dyDescent="0.3">
      <c r="A619" t="s">
        <v>407</v>
      </c>
      <c r="C619" t="s">
        <v>38</v>
      </c>
      <c r="D619" t="s">
        <v>33</v>
      </c>
      <c r="E619" t="s">
        <v>20</v>
      </c>
      <c r="F619">
        <v>45309</v>
      </c>
      <c r="G619">
        <v>9</v>
      </c>
      <c r="I619" t="s">
        <v>16</v>
      </c>
    </row>
    <row r="620" spans="1:9" x14ac:dyDescent="0.3">
      <c r="A620" t="s">
        <v>520</v>
      </c>
      <c r="D620" t="s">
        <v>33</v>
      </c>
      <c r="E620" t="s">
        <v>23</v>
      </c>
      <c r="F620">
        <v>45600</v>
      </c>
      <c r="I620" t="s">
        <v>16</v>
      </c>
    </row>
    <row r="621" spans="1:9" x14ac:dyDescent="0.3">
      <c r="A621" t="s">
        <v>74</v>
      </c>
      <c r="B621">
        <v>18</v>
      </c>
      <c r="C621" t="s">
        <v>38</v>
      </c>
      <c r="D621" t="s">
        <v>48</v>
      </c>
      <c r="E621" t="s">
        <v>57</v>
      </c>
      <c r="F621">
        <v>45651</v>
      </c>
      <c r="G621">
        <v>4</v>
      </c>
      <c r="I621" t="s">
        <v>26</v>
      </c>
    </row>
    <row r="622" spans="1:9" x14ac:dyDescent="0.3">
      <c r="A622" t="s">
        <v>521</v>
      </c>
      <c r="C622" t="s">
        <v>18</v>
      </c>
      <c r="D622" t="s">
        <v>19</v>
      </c>
      <c r="E622" t="s">
        <v>34</v>
      </c>
      <c r="F622">
        <v>45476</v>
      </c>
      <c r="I622" t="s">
        <v>21</v>
      </c>
    </row>
    <row r="623" spans="1:9" x14ac:dyDescent="0.3">
      <c r="A623" t="s">
        <v>522</v>
      </c>
      <c r="C623" t="s">
        <v>38</v>
      </c>
      <c r="D623" t="s">
        <v>33</v>
      </c>
      <c r="E623" t="s">
        <v>57</v>
      </c>
      <c r="F623">
        <v>45445</v>
      </c>
      <c r="I623" t="s">
        <v>16</v>
      </c>
    </row>
    <row r="624" spans="1:9" x14ac:dyDescent="0.3">
      <c r="A624" t="s">
        <v>523</v>
      </c>
      <c r="C624" t="s">
        <v>38</v>
      </c>
      <c r="D624" t="s">
        <v>33</v>
      </c>
      <c r="E624" t="s">
        <v>15</v>
      </c>
      <c r="F624">
        <v>45293</v>
      </c>
      <c r="G624">
        <v>13</v>
      </c>
      <c r="I624" t="s">
        <v>12</v>
      </c>
    </row>
    <row r="625" spans="1:9" x14ac:dyDescent="0.3">
      <c r="A625" t="s">
        <v>524</v>
      </c>
      <c r="B625">
        <v>40</v>
      </c>
      <c r="C625" t="s">
        <v>42</v>
      </c>
      <c r="E625" t="s">
        <v>11</v>
      </c>
      <c r="F625">
        <v>45538</v>
      </c>
      <c r="I625" t="s">
        <v>21</v>
      </c>
    </row>
    <row r="626" spans="1:9" x14ac:dyDescent="0.3">
      <c r="A626" t="s">
        <v>525</v>
      </c>
      <c r="D626" t="s">
        <v>48</v>
      </c>
      <c r="E626" t="s">
        <v>34</v>
      </c>
      <c r="F626">
        <v>45413</v>
      </c>
      <c r="G626">
        <v>7</v>
      </c>
      <c r="H626">
        <v>691.08</v>
      </c>
      <c r="I626" t="s">
        <v>26</v>
      </c>
    </row>
    <row r="627" spans="1:9" x14ac:dyDescent="0.3">
      <c r="A627" t="s">
        <v>521</v>
      </c>
      <c r="C627" t="s">
        <v>18</v>
      </c>
      <c r="D627" t="s">
        <v>33</v>
      </c>
      <c r="E627" t="s">
        <v>23</v>
      </c>
      <c r="H627">
        <v>1059.98</v>
      </c>
    </row>
    <row r="628" spans="1:9" x14ac:dyDescent="0.3">
      <c r="A628" t="s">
        <v>58</v>
      </c>
      <c r="C628" t="s">
        <v>28</v>
      </c>
      <c r="D628" t="s">
        <v>25</v>
      </c>
      <c r="E628" t="s">
        <v>15</v>
      </c>
      <c r="F628">
        <v>45613</v>
      </c>
      <c r="H628">
        <v>1350.58</v>
      </c>
      <c r="I628" t="s">
        <v>21</v>
      </c>
    </row>
    <row r="629" spans="1:9" x14ac:dyDescent="0.3">
      <c r="A629" t="s">
        <v>526</v>
      </c>
      <c r="C629" t="s">
        <v>18</v>
      </c>
      <c r="D629" t="s">
        <v>25</v>
      </c>
      <c r="E629" t="s">
        <v>34</v>
      </c>
      <c r="I629" t="s">
        <v>12</v>
      </c>
    </row>
    <row r="630" spans="1:9" x14ac:dyDescent="0.3">
      <c r="A630" t="s">
        <v>257</v>
      </c>
      <c r="C630" t="s">
        <v>18</v>
      </c>
      <c r="D630" t="s">
        <v>10</v>
      </c>
      <c r="E630" t="s">
        <v>11</v>
      </c>
      <c r="H630">
        <v>1297.3599999999999</v>
      </c>
      <c r="I630" t="s">
        <v>21</v>
      </c>
    </row>
    <row r="631" spans="1:9" x14ac:dyDescent="0.3">
      <c r="A631" t="s">
        <v>390</v>
      </c>
      <c r="C631" t="s">
        <v>38</v>
      </c>
      <c r="E631" t="s">
        <v>34</v>
      </c>
      <c r="F631">
        <v>45341</v>
      </c>
    </row>
    <row r="632" spans="1:9" x14ac:dyDescent="0.3">
      <c r="A632" t="s">
        <v>527</v>
      </c>
      <c r="C632" t="s">
        <v>42</v>
      </c>
      <c r="D632" t="s">
        <v>14</v>
      </c>
      <c r="E632" t="s">
        <v>20</v>
      </c>
      <c r="F632">
        <v>45396</v>
      </c>
      <c r="I632" t="s">
        <v>26</v>
      </c>
    </row>
    <row r="633" spans="1:9" x14ac:dyDescent="0.3">
      <c r="A633" t="s">
        <v>528</v>
      </c>
      <c r="C633" t="s">
        <v>42</v>
      </c>
      <c r="E633" t="s">
        <v>15</v>
      </c>
      <c r="F633">
        <v>45597</v>
      </c>
      <c r="I633" t="s">
        <v>12</v>
      </c>
    </row>
    <row r="634" spans="1:9" x14ac:dyDescent="0.3">
      <c r="A634" t="s">
        <v>58</v>
      </c>
      <c r="B634">
        <v>50</v>
      </c>
      <c r="C634" t="s">
        <v>28</v>
      </c>
      <c r="D634" t="s">
        <v>19</v>
      </c>
      <c r="E634" t="s">
        <v>34</v>
      </c>
      <c r="H634">
        <v>469.43</v>
      </c>
    </row>
    <row r="635" spans="1:9" x14ac:dyDescent="0.3">
      <c r="A635" t="s">
        <v>529</v>
      </c>
      <c r="C635" t="s">
        <v>38</v>
      </c>
      <c r="E635" t="s">
        <v>43</v>
      </c>
      <c r="F635">
        <v>45637</v>
      </c>
      <c r="I635" t="s">
        <v>21</v>
      </c>
    </row>
    <row r="636" spans="1:9" x14ac:dyDescent="0.3">
      <c r="A636" t="s">
        <v>530</v>
      </c>
      <c r="B636">
        <v>52</v>
      </c>
      <c r="C636" t="s">
        <v>42</v>
      </c>
      <c r="D636" t="s">
        <v>51</v>
      </c>
      <c r="E636" t="s">
        <v>11</v>
      </c>
      <c r="F636">
        <v>45372</v>
      </c>
      <c r="G636">
        <v>2</v>
      </c>
      <c r="H636">
        <v>1625</v>
      </c>
      <c r="I636" t="s">
        <v>26</v>
      </c>
    </row>
    <row r="637" spans="1:9" x14ac:dyDescent="0.3">
      <c r="A637" t="s">
        <v>531</v>
      </c>
      <c r="C637" t="s">
        <v>28</v>
      </c>
      <c r="D637" t="s">
        <v>48</v>
      </c>
      <c r="E637" t="s">
        <v>57</v>
      </c>
      <c r="F637">
        <v>45326</v>
      </c>
      <c r="I637" t="s">
        <v>16</v>
      </c>
    </row>
    <row r="638" spans="1:9" x14ac:dyDescent="0.3">
      <c r="A638" t="s">
        <v>136</v>
      </c>
      <c r="D638" t="s">
        <v>19</v>
      </c>
      <c r="E638" t="s">
        <v>29</v>
      </c>
      <c r="F638">
        <v>45605</v>
      </c>
    </row>
    <row r="639" spans="1:9" x14ac:dyDescent="0.3">
      <c r="A639" t="s">
        <v>327</v>
      </c>
      <c r="E639" t="s">
        <v>15</v>
      </c>
      <c r="G639">
        <v>18</v>
      </c>
    </row>
    <row r="640" spans="1:9" x14ac:dyDescent="0.3">
      <c r="A640" t="s">
        <v>532</v>
      </c>
      <c r="D640" t="s">
        <v>19</v>
      </c>
      <c r="E640" t="s">
        <v>15</v>
      </c>
      <c r="F640">
        <v>45317</v>
      </c>
    </row>
    <row r="641" spans="1:9" x14ac:dyDescent="0.3">
      <c r="A641" t="s">
        <v>533</v>
      </c>
      <c r="C641" t="s">
        <v>42</v>
      </c>
      <c r="D641" t="s">
        <v>10</v>
      </c>
      <c r="E641" t="s">
        <v>11</v>
      </c>
      <c r="I641" t="s">
        <v>16</v>
      </c>
    </row>
    <row r="642" spans="1:9" x14ac:dyDescent="0.3">
      <c r="A642" t="s">
        <v>534</v>
      </c>
      <c r="C642" t="s">
        <v>38</v>
      </c>
      <c r="D642" t="s">
        <v>25</v>
      </c>
      <c r="E642" t="s">
        <v>20</v>
      </c>
      <c r="F642">
        <v>45564</v>
      </c>
      <c r="H642">
        <v>1519.84</v>
      </c>
      <c r="I642" t="s">
        <v>12</v>
      </c>
    </row>
    <row r="643" spans="1:9" x14ac:dyDescent="0.3">
      <c r="A643" t="s">
        <v>453</v>
      </c>
      <c r="C643" t="s">
        <v>42</v>
      </c>
      <c r="D643" t="s">
        <v>14</v>
      </c>
      <c r="E643" t="s">
        <v>57</v>
      </c>
      <c r="F643">
        <v>45619</v>
      </c>
      <c r="I643" t="s">
        <v>21</v>
      </c>
    </row>
    <row r="644" spans="1:9" x14ac:dyDescent="0.3">
      <c r="A644" t="s">
        <v>505</v>
      </c>
      <c r="B644">
        <v>81</v>
      </c>
      <c r="C644" t="s">
        <v>28</v>
      </c>
      <c r="D644" t="s">
        <v>19</v>
      </c>
      <c r="E644" t="s">
        <v>29</v>
      </c>
      <c r="H644">
        <v>60.59</v>
      </c>
      <c r="I644" t="s">
        <v>12</v>
      </c>
    </row>
    <row r="645" spans="1:9" x14ac:dyDescent="0.3">
      <c r="A645" t="s">
        <v>535</v>
      </c>
      <c r="C645" t="s">
        <v>38</v>
      </c>
      <c r="D645" t="s">
        <v>45</v>
      </c>
      <c r="E645" t="s">
        <v>43</v>
      </c>
      <c r="I645" t="s">
        <v>21</v>
      </c>
    </row>
    <row r="646" spans="1:9" x14ac:dyDescent="0.3">
      <c r="A646" t="s">
        <v>536</v>
      </c>
      <c r="C646" t="s">
        <v>18</v>
      </c>
      <c r="E646" t="s">
        <v>20</v>
      </c>
      <c r="F646">
        <v>45489</v>
      </c>
      <c r="G646">
        <v>9</v>
      </c>
      <c r="I646" t="s">
        <v>16</v>
      </c>
    </row>
    <row r="647" spans="1:9" x14ac:dyDescent="0.3">
      <c r="A647" t="s">
        <v>537</v>
      </c>
      <c r="C647" t="s">
        <v>38</v>
      </c>
      <c r="E647" t="s">
        <v>43</v>
      </c>
      <c r="F647">
        <v>45422</v>
      </c>
      <c r="I647" t="s">
        <v>21</v>
      </c>
    </row>
    <row r="648" spans="1:9" x14ac:dyDescent="0.3">
      <c r="A648" t="s">
        <v>538</v>
      </c>
      <c r="C648" t="s">
        <v>18</v>
      </c>
      <c r="D648" t="s">
        <v>10</v>
      </c>
      <c r="E648" t="s">
        <v>23</v>
      </c>
      <c r="F648">
        <v>45609</v>
      </c>
      <c r="H648">
        <v>1040.71</v>
      </c>
      <c r="I648" t="s">
        <v>26</v>
      </c>
    </row>
    <row r="649" spans="1:9" x14ac:dyDescent="0.3">
      <c r="A649" t="s">
        <v>176</v>
      </c>
      <c r="C649" t="s">
        <v>42</v>
      </c>
      <c r="D649" t="s">
        <v>14</v>
      </c>
      <c r="E649" t="s">
        <v>57</v>
      </c>
      <c r="F649">
        <v>45548</v>
      </c>
      <c r="G649">
        <v>19</v>
      </c>
    </row>
    <row r="650" spans="1:9" x14ac:dyDescent="0.3">
      <c r="A650" t="s">
        <v>539</v>
      </c>
      <c r="C650" t="s">
        <v>28</v>
      </c>
      <c r="D650" t="s">
        <v>51</v>
      </c>
      <c r="E650" t="s">
        <v>57</v>
      </c>
      <c r="F650">
        <v>45529</v>
      </c>
      <c r="H650">
        <v>1221.1600000000001</v>
      </c>
      <c r="I650" t="s">
        <v>26</v>
      </c>
    </row>
    <row r="651" spans="1:9" x14ac:dyDescent="0.3">
      <c r="A651" t="s">
        <v>119</v>
      </c>
      <c r="C651" t="s">
        <v>42</v>
      </c>
      <c r="D651" t="s">
        <v>25</v>
      </c>
      <c r="E651" t="s">
        <v>34</v>
      </c>
      <c r="G651">
        <v>15</v>
      </c>
      <c r="I651" t="s">
        <v>21</v>
      </c>
    </row>
    <row r="652" spans="1:9" x14ac:dyDescent="0.3">
      <c r="A652" t="s">
        <v>90</v>
      </c>
      <c r="B652">
        <v>42</v>
      </c>
      <c r="C652" t="s">
        <v>38</v>
      </c>
      <c r="D652" t="s">
        <v>48</v>
      </c>
      <c r="E652" t="s">
        <v>15</v>
      </c>
      <c r="F652">
        <v>45497</v>
      </c>
      <c r="I652" t="s">
        <v>26</v>
      </c>
    </row>
    <row r="653" spans="1:9" x14ac:dyDescent="0.3">
      <c r="A653" t="s">
        <v>540</v>
      </c>
      <c r="C653" t="s">
        <v>28</v>
      </c>
      <c r="D653" t="s">
        <v>51</v>
      </c>
      <c r="E653" t="s">
        <v>34</v>
      </c>
      <c r="F653">
        <v>45337</v>
      </c>
      <c r="G653">
        <v>3</v>
      </c>
      <c r="I653" t="s">
        <v>16</v>
      </c>
    </row>
    <row r="654" spans="1:9" x14ac:dyDescent="0.3">
      <c r="A654" t="s">
        <v>541</v>
      </c>
      <c r="C654" t="s">
        <v>38</v>
      </c>
      <c r="D654" t="s">
        <v>25</v>
      </c>
      <c r="E654" t="s">
        <v>57</v>
      </c>
      <c r="F654">
        <v>45350</v>
      </c>
      <c r="G654">
        <v>15</v>
      </c>
    </row>
    <row r="655" spans="1:9" x14ac:dyDescent="0.3">
      <c r="A655" t="s">
        <v>542</v>
      </c>
      <c r="B655">
        <v>76</v>
      </c>
      <c r="C655" t="s">
        <v>42</v>
      </c>
      <c r="D655" t="s">
        <v>33</v>
      </c>
      <c r="E655" t="s">
        <v>34</v>
      </c>
      <c r="F655">
        <v>45430</v>
      </c>
    </row>
    <row r="656" spans="1:9" x14ac:dyDescent="0.3">
      <c r="A656" t="s">
        <v>490</v>
      </c>
      <c r="B656">
        <v>83</v>
      </c>
      <c r="C656" t="s">
        <v>42</v>
      </c>
      <c r="D656" t="s">
        <v>25</v>
      </c>
      <c r="E656" t="s">
        <v>20</v>
      </c>
      <c r="F656">
        <v>45454</v>
      </c>
      <c r="H656">
        <v>831.13</v>
      </c>
    </row>
    <row r="657" spans="1:9" x14ac:dyDescent="0.3">
      <c r="A657" t="s">
        <v>543</v>
      </c>
      <c r="B657">
        <v>86</v>
      </c>
      <c r="C657" t="s">
        <v>18</v>
      </c>
      <c r="D657" t="s">
        <v>10</v>
      </c>
      <c r="E657" t="s">
        <v>57</v>
      </c>
      <c r="F657">
        <v>45600</v>
      </c>
      <c r="H657">
        <v>147.22999999999999</v>
      </c>
    </row>
    <row r="658" spans="1:9" x14ac:dyDescent="0.3">
      <c r="A658" t="s">
        <v>488</v>
      </c>
      <c r="B658">
        <v>22</v>
      </c>
      <c r="C658" t="s">
        <v>28</v>
      </c>
      <c r="D658" t="s">
        <v>25</v>
      </c>
      <c r="E658" t="s">
        <v>34</v>
      </c>
      <c r="F658">
        <v>45595</v>
      </c>
    </row>
    <row r="659" spans="1:9" x14ac:dyDescent="0.3">
      <c r="A659" t="s">
        <v>544</v>
      </c>
      <c r="C659" t="s">
        <v>38</v>
      </c>
      <c r="D659" t="s">
        <v>10</v>
      </c>
      <c r="E659" t="s">
        <v>43</v>
      </c>
      <c r="F659">
        <v>45531</v>
      </c>
      <c r="G659">
        <v>8</v>
      </c>
    </row>
    <row r="660" spans="1:9" x14ac:dyDescent="0.3">
      <c r="A660" t="s">
        <v>533</v>
      </c>
      <c r="B660">
        <v>25</v>
      </c>
      <c r="C660" t="s">
        <v>42</v>
      </c>
      <c r="D660" t="s">
        <v>14</v>
      </c>
      <c r="E660" t="s">
        <v>23</v>
      </c>
      <c r="F660">
        <v>45408</v>
      </c>
      <c r="G660">
        <v>10</v>
      </c>
      <c r="I660" t="s">
        <v>26</v>
      </c>
    </row>
    <row r="661" spans="1:9" x14ac:dyDescent="0.3">
      <c r="A661" t="s">
        <v>344</v>
      </c>
      <c r="C661" t="s">
        <v>42</v>
      </c>
      <c r="D661" t="s">
        <v>25</v>
      </c>
      <c r="E661" t="s">
        <v>15</v>
      </c>
      <c r="F661">
        <v>45544</v>
      </c>
      <c r="H661">
        <v>1720.69</v>
      </c>
      <c r="I661" t="s">
        <v>21</v>
      </c>
    </row>
    <row r="662" spans="1:9" x14ac:dyDescent="0.3">
      <c r="A662" t="s">
        <v>545</v>
      </c>
      <c r="D662" t="s">
        <v>14</v>
      </c>
      <c r="E662" t="s">
        <v>43</v>
      </c>
      <c r="F662">
        <v>45390</v>
      </c>
      <c r="I662" t="s">
        <v>26</v>
      </c>
    </row>
    <row r="663" spans="1:9" x14ac:dyDescent="0.3">
      <c r="A663" t="s">
        <v>546</v>
      </c>
      <c r="C663" t="s">
        <v>38</v>
      </c>
      <c r="E663" t="s">
        <v>34</v>
      </c>
      <c r="F663">
        <v>45545</v>
      </c>
      <c r="H663">
        <v>45.45</v>
      </c>
      <c r="I663" t="s">
        <v>16</v>
      </c>
    </row>
    <row r="664" spans="1:9" x14ac:dyDescent="0.3">
      <c r="A664" t="s">
        <v>547</v>
      </c>
      <c r="B664">
        <v>83</v>
      </c>
      <c r="C664" t="s">
        <v>28</v>
      </c>
      <c r="D664" t="s">
        <v>19</v>
      </c>
      <c r="E664" t="s">
        <v>29</v>
      </c>
      <c r="F664">
        <v>45367</v>
      </c>
      <c r="G664">
        <v>15</v>
      </c>
      <c r="I664" t="s">
        <v>26</v>
      </c>
    </row>
    <row r="665" spans="1:9" x14ac:dyDescent="0.3">
      <c r="A665" t="s">
        <v>548</v>
      </c>
      <c r="C665" t="s">
        <v>42</v>
      </c>
      <c r="D665" t="s">
        <v>25</v>
      </c>
      <c r="E665" t="s">
        <v>23</v>
      </c>
      <c r="F665">
        <v>45529</v>
      </c>
      <c r="G665">
        <v>15</v>
      </c>
      <c r="I665" t="s">
        <v>12</v>
      </c>
    </row>
    <row r="666" spans="1:9" x14ac:dyDescent="0.3">
      <c r="A666" t="s">
        <v>549</v>
      </c>
      <c r="C666" t="s">
        <v>38</v>
      </c>
      <c r="D666" t="s">
        <v>48</v>
      </c>
      <c r="E666" t="s">
        <v>15</v>
      </c>
      <c r="F666">
        <v>45423</v>
      </c>
      <c r="G666">
        <v>8</v>
      </c>
      <c r="I666" t="s">
        <v>12</v>
      </c>
    </row>
    <row r="667" spans="1:9" x14ac:dyDescent="0.3">
      <c r="A667" t="s">
        <v>550</v>
      </c>
      <c r="C667" t="s">
        <v>42</v>
      </c>
      <c r="D667" t="s">
        <v>51</v>
      </c>
      <c r="E667" t="s">
        <v>34</v>
      </c>
      <c r="F667">
        <v>45589</v>
      </c>
      <c r="G667">
        <v>12</v>
      </c>
      <c r="I667" t="s">
        <v>26</v>
      </c>
    </row>
    <row r="668" spans="1:9" x14ac:dyDescent="0.3">
      <c r="A668" t="s">
        <v>80</v>
      </c>
      <c r="C668" t="s">
        <v>38</v>
      </c>
      <c r="D668" t="s">
        <v>51</v>
      </c>
      <c r="E668" t="s">
        <v>20</v>
      </c>
      <c r="F668">
        <v>45560</v>
      </c>
      <c r="H668">
        <v>757.55</v>
      </c>
      <c r="I668" t="s">
        <v>21</v>
      </c>
    </row>
    <row r="669" spans="1:9" x14ac:dyDescent="0.3">
      <c r="A669" t="s">
        <v>551</v>
      </c>
      <c r="D669" t="s">
        <v>45</v>
      </c>
      <c r="E669" t="s">
        <v>11</v>
      </c>
      <c r="F669">
        <v>45351</v>
      </c>
      <c r="H669">
        <v>751.31</v>
      </c>
      <c r="I669" t="s">
        <v>26</v>
      </c>
    </row>
    <row r="670" spans="1:9" x14ac:dyDescent="0.3">
      <c r="A670" t="s">
        <v>552</v>
      </c>
      <c r="C670" t="s">
        <v>42</v>
      </c>
      <c r="E670" t="s">
        <v>23</v>
      </c>
      <c r="F670">
        <v>45306</v>
      </c>
      <c r="H670">
        <v>822.82</v>
      </c>
      <c r="I670" t="s">
        <v>16</v>
      </c>
    </row>
    <row r="671" spans="1:9" x14ac:dyDescent="0.3">
      <c r="A671" t="s">
        <v>553</v>
      </c>
      <c r="C671" t="s">
        <v>42</v>
      </c>
      <c r="D671" t="s">
        <v>19</v>
      </c>
      <c r="E671" t="s">
        <v>34</v>
      </c>
      <c r="F671">
        <v>45400</v>
      </c>
      <c r="I671" t="s">
        <v>12</v>
      </c>
    </row>
    <row r="672" spans="1:9" x14ac:dyDescent="0.3">
      <c r="A672" t="s">
        <v>411</v>
      </c>
      <c r="C672" t="s">
        <v>42</v>
      </c>
      <c r="D672" t="s">
        <v>19</v>
      </c>
      <c r="E672" t="s">
        <v>11</v>
      </c>
      <c r="F672">
        <v>45344</v>
      </c>
      <c r="I672" t="s">
        <v>26</v>
      </c>
    </row>
    <row r="673" spans="1:9" x14ac:dyDescent="0.3">
      <c r="A673" t="s">
        <v>181</v>
      </c>
      <c r="E673" t="s">
        <v>43</v>
      </c>
      <c r="F673">
        <v>45545</v>
      </c>
      <c r="H673">
        <v>633.67999999999995</v>
      </c>
      <c r="I673" t="s">
        <v>12</v>
      </c>
    </row>
    <row r="674" spans="1:9" x14ac:dyDescent="0.3">
      <c r="A674" t="s">
        <v>554</v>
      </c>
      <c r="B674">
        <v>75</v>
      </c>
      <c r="C674" t="s">
        <v>18</v>
      </c>
      <c r="E674" t="s">
        <v>15</v>
      </c>
      <c r="F674">
        <v>45512</v>
      </c>
      <c r="H674">
        <v>589.96</v>
      </c>
    </row>
    <row r="675" spans="1:9" x14ac:dyDescent="0.3">
      <c r="A675" t="s">
        <v>421</v>
      </c>
      <c r="C675" t="s">
        <v>28</v>
      </c>
      <c r="D675" t="s">
        <v>33</v>
      </c>
      <c r="E675" t="s">
        <v>43</v>
      </c>
      <c r="F675">
        <v>45486</v>
      </c>
      <c r="I675" t="s">
        <v>12</v>
      </c>
    </row>
    <row r="676" spans="1:9" x14ac:dyDescent="0.3">
      <c r="A676" t="s">
        <v>555</v>
      </c>
      <c r="C676" t="s">
        <v>38</v>
      </c>
      <c r="E676" t="s">
        <v>34</v>
      </c>
      <c r="F676">
        <v>45554</v>
      </c>
      <c r="I676" t="s">
        <v>26</v>
      </c>
    </row>
    <row r="677" spans="1:9" x14ac:dyDescent="0.3">
      <c r="A677" t="s">
        <v>323</v>
      </c>
      <c r="C677" t="s">
        <v>28</v>
      </c>
      <c r="D677" t="s">
        <v>14</v>
      </c>
      <c r="E677" t="s">
        <v>43</v>
      </c>
      <c r="F677">
        <v>45422</v>
      </c>
    </row>
    <row r="678" spans="1:9" x14ac:dyDescent="0.3">
      <c r="A678" t="s">
        <v>556</v>
      </c>
      <c r="C678" t="s">
        <v>38</v>
      </c>
      <c r="E678" t="s">
        <v>23</v>
      </c>
      <c r="F678">
        <v>45499</v>
      </c>
      <c r="G678">
        <v>4</v>
      </c>
      <c r="I678" t="s">
        <v>16</v>
      </c>
    </row>
    <row r="679" spans="1:9" x14ac:dyDescent="0.3">
      <c r="A679" t="s">
        <v>557</v>
      </c>
      <c r="C679" t="s">
        <v>28</v>
      </c>
      <c r="D679" t="s">
        <v>51</v>
      </c>
      <c r="E679" t="s">
        <v>11</v>
      </c>
      <c r="F679">
        <v>45316</v>
      </c>
      <c r="H679">
        <v>113.19</v>
      </c>
      <c r="I679" t="s">
        <v>26</v>
      </c>
    </row>
    <row r="680" spans="1:9" x14ac:dyDescent="0.3">
      <c r="A680" t="s">
        <v>558</v>
      </c>
      <c r="C680" t="s">
        <v>38</v>
      </c>
      <c r="D680" t="s">
        <v>48</v>
      </c>
      <c r="E680" t="s">
        <v>34</v>
      </c>
      <c r="F680">
        <v>45508</v>
      </c>
      <c r="G680">
        <v>6</v>
      </c>
      <c r="I680" t="s">
        <v>12</v>
      </c>
    </row>
    <row r="681" spans="1:9" x14ac:dyDescent="0.3">
      <c r="A681" t="s">
        <v>428</v>
      </c>
      <c r="B681">
        <v>58</v>
      </c>
      <c r="C681" t="s">
        <v>18</v>
      </c>
      <c r="D681" t="s">
        <v>10</v>
      </c>
      <c r="E681" t="s">
        <v>43</v>
      </c>
      <c r="F681">
        <v>45575</v>
      </c>
      <c r="H681">
        <v>791.25</v>
      </c>
      <c r="I681" t="s">
        <v>26</v>
      </c>
    </row>
    <row r="682" spans="1:9" x14ac:dyDescent="0.3">
      <c r="A682" t="s">
        <v>67</v>
      </c>
      <c r="B682">
        <v>45</v>
      </c>
      <c r="C682" t="s">
        <v>18</v>
      </c>
      <c r="D682" t="s">
        <v>19</v>
      </c>
      <c r="E682" t="s">
        <v>20</v>
      </c>
      <c r="F682">
        <v>45479</v>
      </c>
      <c r="I682" t="s">
        <v>12</v>
      </c>
    </row>
    <row r="683" spans="1:9" x14ac:dyDescent="0.3">
      <c r="A683" t="s">
        <v>292</v>
      </c>
      <c r="B683">
        <v>50</v>
      </c>
      <c r="C683" t="s">
        <v>28</v>
      </c>
      <c r="D683" t="s">
        <v>19</v>
      </c>
      <c r="E683" t="s">
        <v>43</v>
      </c>
      <c r="F683">
        <v>45326</v>
      </c>
      <c r="H683">
        <v>276.04000000000002</v>
      </c>
      <c r="I683" t="s">
        <v>16</v>
      </c>
    </row>
    <row r="684" spans="1:9" x14ac:dyDescent="0.3">
      <c r="A684" t="s">
        <v>559</v>
      </c>
      <c r="B684">
        <v>34</v>
      </c>
      <c r="C684" t="s">
        <v>42</v>
      </c>
      <c r="D684" t="s">
        <v>19</v>
      </c>
      <c r="E684" t="s">
        <v>23</v>
      </c>
      <c r="I684" t="s">
        <v>26</v>
      </c>
    </row>
    <row r="685" spans="1:9" x14ac:dyDescent="0.3">
      <c r="A685" t="s">
        <v>58</v>
      </c>
      <c r="C685" t="s">
        <v>18</v>
      </c>
      <c r="E685" t="s">
        <v>57</v>
      </c>
      <c r="I685" t="s">
        <v>21</v>
      </c>
    </row>
    <row r="686" spans="1:9" x14ac:dyDescent="0.3">
      <c r="A686" t="s">
        <v>430</v>
      </c>
      <c r="C686" t="s">
        <v>42</v>
      </c>
      <c r="D686" t="s">
        <v>19</v>
      </c>
      <c r="E686" t="s">
        <v>57</v>
      </c>
      <c r="I686" t="s">
        <v>12</v>
      </c>
    </row>
    <row r="687" spans="1:9" x14ac:dyDescent="0.3">
      <c r="A687" t="s">
        <v>560</v>
      </c>
      <c r="C687" t="s">
        <v>18</v>
      </c>
      <c r="D687" t="s">
        <v>51</v>
      </c>
      <c r="E687" t="s">
        <v>11</v>
      </c>
      <c r="F687">
        <v>45591</v>
      </c>
      <c r="G687">
        <v>5</v>
      </c>
      <c r="I687" t="s">
        <v>21</v>
      </c>
    </row>
    <row r="688" spans="1:9" x14ac:dyDescent="0.3">
      <c r="A688" t="s">
        <v>348</v>
      </c>
      <c r="D688" t="s">
        <v>51</v>
      </c>
      <c r="E688" t="s">
        <v>23</v>
      </c>
      <c r="G688">
        <v>10</v>
      </c>
      <c r="H688">
        <v>1749.97</v>
      </c>
      <c r="I688" t="s">
        <v>12</v>
      </c>
    </row>
    <row r="689" spans="1:9" x14ac:dyDescent="0.3">
      <c r="A689" t="s">
        <v>561</v>
      </c>
      <c r="B689">
        <v>34</v>
      </c>
      <c r="D689" t="s">
        <v>48</v>
      </c>
      <c r="E689" t="s">
        <v>29</v>
      </c>
    </row>
    <row r="690" spans="1:9" x14ac:dyDescent="0.3">
      <c r="A690" t="s">
        <v>392</v>
      </c>
      <c r="C690" t="s">
        <v>38</v>
      </c>
      <c r="D690" t="s">
        <v>19</v>
      </c>
      <c r="E690" t="s">
        <v>57</v>
      </c>
      <c r="I690" t="s">
        <v>26</v>
      </c>
    </row>
    <row r="691" spans="1:9" x14ac:dyDescent="0.3">
      <c r="A691" t="s">
        <v>206</v>
      </c>
      <c r="C691" t="s">
        <v>18</v>
      </c>
      <c r="D691" t="s">
        <v>33</v>
      </c>
      <c r="E691" t="s">
        <v>57</v>
      </c>
      <c r="F691">
        <v>45586</v>
      </c>
    </row>
    <row r="692" spans="1:9" x14ac:dyDescent="0.3">
      <c r="A692" t="s">
        <v>225</v>
      </c>
      <c r="C692" t="s">
        <v>38</v>
      </c>
      <c r="D692" t="s">
        <v>25</v>
      </c>
      <c r="E692" t="s">
        <v>11</v>
      </c>
      <c r="F692">
        <v>45400</v>
      </c>
      <c r="I692" t="s">
        <v>12</v>
      </c>
    </row>
    <row r="693" spans="1:9" x14ac:dyDescent="0.3">
      <c r="A693" t="s">
        <v>562</v>
      </c>
      <c r="B693">
        <v>48</v>
      </c>
      <c r="C693" t="s">
        <v>42</v>
      </c>
      <c r="D693" t="s">
        <v>25</v>
      </c>
      <c r="E693" t="s">
        <v>23</v>
      </c>
      <c r="F693">
        <v>45397</v>
      </c>
      <c r="G693">
        <v>15</v>
      </c>
      <c r="I693" t="s">
        <v>16</v>
      </c>
    </row>
    <row r="694" spans="1:9" x14ac:dyDescent="0.3">
      <c r="A694" t="s">
        <v>563</v>
      </c>
      <c r="B694">
        <v>56</v>
      </c>
      <c r="C694" t="s">
        <v>28</v>
      </c>
      <c r="E694" t="s">
        <v>43</v>
      </c>
      <c r="F694">
        <v>45464</v>
      </c>
      <c r="H694">
        <v>922.04</v>
      </c>
      <c r="I694" t="s">
        <v>12</v>
      </c>
    </row>
    <row r="695" spans="1:9" x14ac:dyDescent="0.3">
      <c r="A695" t="s">
        <v>564</v>
      </c>
      <c r="C695" t="s">
        <v>28</v>
      </c>
      <c r="D695" t="s">
        <v>45</v>
      </c>
      <c r="E695" t="s">
        <v>20</v>
      </c>
      <c r="F695">
        <v>45576</v>
      </c>
      <c r="I695" t="s">
        <v>12</v>
      </c>
    </row>
    <row r="696" spans="1:9" x14ac:dyDescent="0.3">
      <c r="A696" t="s">
        <v>543</v>
      </c>
      <c r="C696" t="s">
        <v>28</v>
      </c>
      <c r="D696" t="s">
        <v>51</v>
      </c>
      <c r="E696" t="s">
        <v>34</v>
      </c>
      <c r="F696">
        <v>45332</v>
      </c>
      <c r="I696" t="s">
        <v>21</v>
      </c>
    </row>
    <row r="697" spans="1:9" x14ac:dyDescent="0.3">
      <c r="A697" t="s">
        <v>565</v>
      </c>
      <c r="B697">
        <v>92</v>
      </c>
      <c r="C697" t="s">
        <v>28</v>
      </c>
      <c r="D697" t="s">
        <v>33</v>
      </c>
      <c r="E697" t="s">
        <v>11</v>
      </c>
      <c r="F697">
        <v>45351</v>
      </c>
      <c r="H697">
        <v>450.32</v>
      </c>
      <c r="I697" t="s">
        <v>12</v>
      </c>
    </row>
    <row r="698" spans="1:9" x14ac:dyDescent="0.3">
      <c r="A698" t="s">
        <v>243</v>
      </c>
      <c r="B698">
        <v>67</v>
      </c>
      <c r="C698" t="s">
        <v>38</v>
      </c>
      <c r="E698" t="s">
        <v>11</v>
      </c>
      <c r="F698">
        <v>45341</v>
      </c>
      <c r="I698" t="s">
        <v>26</v>
      </c>
    </row>
    <row r="699" spans="1:9" x14ac:dyDescent="0.3">
      <c r="A699" t="s">
        <v>566</v>
      </c>
      <c r="C699" t="s">
        <v>28</v>
      </c>
      <c r="D699" t="s">
        <v>10</v>
      </c>
      <c r="E699" t="s">
        <v>11</v>
      </c>
      <c r="F699">
        <v>45398</v>
      </c>
      <c r="G699">
        <v>3</v>
      </c>
      <c r="I699" t="s">
        <v>12</v>
      </c>
    </row>
    <row r="700" spans="1:9" x14ac:dyDescent="0.3">
      <c r="A700" t="s">
        <v>567</v>
      </c>
      <c r="C700" t="s">
        <v>18</v>
      </c>
      <c r="D700" t="s">
        <v>33</v>
      </c>
      <c r="E700" t="s">
        <v>57</v>
      </c>
      <c r="I700" t="s">
        <v>16</v>
      </c>
    </row>
    <row r="701" spans="1:9" x14ac:dyDescent="0.3">
      <c r="A701" t="s">
        <v>386</v>
      </c>
      <c r="C701" t="s">
        <v>18</v>
      </c>
      <c r="E701" t="s">
        <v>43</v>
      </c>
      <c r="F701">
        <v>45397</v>
      </c>
      <c r="G701">
        <v>18</v>
      </c>
    </row>
    <row r="702" spans="1:9" x14ac:dyDescent="0.3">
      <c r="A702" t="s">
        <v>568</v>
      </c>
      <c r="B702">
        <v>35</v>
      </c>
      <c r="C702" t="s">
        <v>42</v>
      </c>
      <c r="E702" t="s">
        <v>20</v>
      </c>
      <c r="H702">
        <v>804.03</v>
      </c>
      <c r="I702" t="s">
        <v>16</v>
      </c>
    </row>
    <row r="703" spans="1:9" x14ac:dyDescent="0.3">
      <c r="A703" t="s">
        <v>569</v>
      </c>
      <c r="B703">
        <v>86</v>
      </c>
      <c r="C703" t="s">
        <v>28</v>
      </c>
      <c r="D703" t="s">
        <v>33</v>
      </c>
      <c r="E703" t="s">
        <v>57</v>
      </c>
      <c r="F703">
        <v>45457</v>
      </c>
      <c r="I703" t="s">
        <v>26</v>
      </c>
    </row>
    <row r="704" spans="1:9" x14ac:dyDescent="0.3">
      <c r="A704" t="s">
        <v>570</v>
      </c>
      <c r="B704">
        <v>51</v>
      </c>
      <c r="C704" t="s">
        <v>18</v>
      </c>
      <c r="D704" t="s">
        <v>33</v>
      </c>
      <c r="E704" t="s">
        <v>43</v>
      </c>
      <c r="G704">
        <v>6</v>
      </c>
      <c r="H704">
        <v>455.51</v>
      </c>
      <c r="I704" t="s">
        <v>16</v>
      </c>
    </row>
    <row r="705" spans="1:9" x14ac:dyDescent="0.3">
      <c r="A705" t="s">
        <v>571</v>
      </c>
      <c r="B705">
        <v>69</v>
      </c>
      <c r="C705" t="s">
        <v>38</v>
      </c>
      <c r="D705" t="s">
        <v>10</v>
      </c>
      <c r="E705" t="s">
        <v>11</v>
      </c>
      <c r="I705" t="s">
        <v>26</v>
      </c>
    </row>
    <row r="706" spans="1:9" x14ac:dyDescent="0.3">
      <c r="A706" t="s">
        <v>572</v>
      </c>
      <c r="B706">
        <v>76</v>
      </c>
      <c r="D706" t="s">
        <v>25</v>
      </c>
      <c r="E706" t="s">
        <v>29</v>
      </c>
      <c r="F706">
        <v>45559</v>
      </c>
      <c r="G706">
        <v>7</v>
      </c>
      <c r="I706" t="s">
        <v>12</v>
      </c>
    </row>
    <row r="707" spans="1:9" x14ac:dyDescent="0.3">
      <c r="A707" t="s">
        <v>124</v>
      </c>
      <c r="C707" t="s">
        <v>18</v>
      </c>
      <c r="E707" t="s">
        <v>29</v>
      </c>
      <c r="I707" t="s">
        <v>26</v>
      </c>
    </row>
    <row r="708" spans="1:9" x14ac:dyDescent="0.3">
      <c r="A708" t="s">
        <v>532</v>
      </c>
      <c r="C708" t="s">
        <v>28</v>
      </c>
      <c r="D708" t="s">
        <v>45</v>
      </c>
      <c r="E708" t="s">
        <v>57</v>
      </c>
      <c r="F708">
        <v>45511</v>
      </c>
      <c r="G708">
        <v>4</v>
      </c>
      <c r="H708">
        <v>1356.58</v>
      </c>
      <c r="I708" t="s">
        <v>21</v>
      </c>
    </row>
    <row r="709" spans="1:9" x14ac:dyDescent="0.3">
      <c r="A709" t="s">
        <v>573</v>
      </c>
      <c r="C709" t="s">
        <v>18</v>
      </c>
      <c r="D709" t="s">
        <v>33</v>
      </c>
      <c r="E709" t="s">
        <v>34</v>
      </c>
    </row>
    <row r="710" spans="1:9" x14ac:dyDescent="0.3">
      <c r="A710" t="s">
        <v>466</v>
      </c>
      <c r="C710" t="s">
        <v>28</v>
      </c>
      <c r="D710" t="s">
        <v>48</v>
      </c>
      <c r="E710" t="s">
        <v>43</v>
      </c>
      <c r="F710">
        <v>45384</v>
      </c>
      <c r="G710">
        <v>6</v>
      </c>
      <c r="H710">
        <v>1561.26</v>
      </c>
      <c r="I710" t="s">
        <v>21</v>
      </c>
    </row>
    <row r="711" spans="1:9" x14ac:dyDescent="0.3">
      <c r="A711" t="s">
        <v>574</v>
      </c>
      <c r="B711">
        <v>39</v>
      </c>
      <c r="C711" t="s">
        <v>28</v>
      </c>
      <c r="D711" t="s">
        <v>25</v>
      </c>
      <c r="E711" t="s">
        <v>57</v>
      </c>
      <c r="F711">
        <v>45515</v>
      </c>
      <c r="I711" t="s">
        <v>16</v>
      </c>
    </row>
    <row r="712" spans="1:9" x14ac:dyDescent="0.3">
      <c r="A712" t="s">
        <v>97</v>
      </c>
      <c r="D712" t="s">
        <v>14</v>
      </c>
      <c r="E712" t="s">
        <v>23</v>
      </c>
      <c r="F712">
        <v>45534</v>
      </c>
    </row>
    <row r="713" spans="1:9" x14ac:dyDescent="0.3">
      <c r="A713" t="s">
        <v>575</v>
      </c>
      <c r="E713" t="s">
        <v>57</v>
      </c>
      <c r="G713">
        <v>15</v>
      </c>
    </row>
    <row r="714" spans="1:9" x14ac:dyDescent="0.3">
      <c r="A714" t="s">
        <v>433</v>
      </c>
      <c r="B714">
        <v>31</v>
      </c>
      <c r="D714" t="s">
        <v>14</v>
      </c>
      <c r="E714" t="s">
        <v>34</v>
      </c>
      <c r="F714">
        <v>45612</v>
      </c>
      <c r="G714">
        <v>2</v>
      </c>
      <c r="I714" t="s">
        <v>21</v>
      </c>
    </row>
    <row r="715" spans="1:9" x14ac:dyDescent="0.3">
      <c r="A715" t="s">
        <v>576</v>
      </c>
      <c r="B715">
        <v>37</v>
      </c>
      <c r="C715" t="s">
        <v>38</v>
      </c>
      <c r="E715" t="s">
        <v>34</v>
      </c>
      <c r="F715">
        <v>45533</v>
      </c>
      <c r="I715" t="s">
        <v>21</v>
      </c>
    </row>
    <row r="716" spans="1:9" x14ac:dyDescent="0.3">
      <c r="A716" t="s">
        <v>577</v>
      </c>
      <c r="C716" t="s">
        <v>38</v>
      </c>
      <c r="D716" t="s">
        <v>10</v>
      </c>
      <c r="E716" t="s">
        <v>43</v>
      </c>
      <c r="F716">
        <v>45372</v>
      </c>
      <c r="G716">
        <v>5</v>
      </c>
      <c r="H716">
        <v>613.14</v>
      </c>
      <c r="I716" t="s">
        <v>26</v>
      </c>
    </row>
    <row r="717" spans="1:9" x14ac:dyDescent="0.3">
      <c r="A717" t="s">
        <v>578</v>
      </c>
      <c r="B717">
        <v>44</v>
      </c>
      <c r="C717" t="s">
        <v>18</v>
      </c>
      <c r="D717" t="s">
        <v>51</v>
      </c>
      <c r="E717" t="s">
        <v>11</v>
      </c>
      <c r="F717">
        <v>45346</v>
      </c>
      <c r="I717" t="s">
        <v>12</v>
      </c>
    </row>
    <row r="718" spans="1:9" x14ac:dyDescent="0.3">
      <c r="A718" t="s">
        <v>579</v>
      </c>
      <c r="B718">
        <v>34</v>
      </c>
      <c r="D718" t="s">
        <v>45</v>
      </c>
      <c r="E718" t="s">
        <v>43</v>
      </c>
      <c r="F718">
        <v>45601</v>
      </c>
      <c r="H718">
        <v>1210.3900000000001</v>
      </c>
      <c r="I718" t="s">
        <v>12</v>
      </c>
    </row>
    <row r="719" spans="1:9" x14ac:dyDescent="0.3">
      <c r="A719" t="s">
        <v>165</v>
      </c>
      <c r="C719" t="s">
        <v>28</v>
      </c>
      <c r="D719" t="s">
        <v>48</v>
      </c>
      <c r="E719" t="s">
        <v>34</v>
      </c>
      <c r="F719">
        <v>45500</v>
      </c>
      <c r="H719">
        <v>1429.68</v>
      </c>
      <c r="I719" t="s">
        <v>16</v>
      </c>
    </row>
    <row r="720" spans="1:9" x14ac:dyDescent="0.3">
      <c r="A720" t="s">
        <v>580</v>
      </c>
      <c r="B720">
        <v>91</v>
      </c>
      <c r="C720" t="s">
        <v>38</v>
      </c>
      <c r="D720" t="s">
        <v>19</v>
      </c>
      <c r="E720" t="s">
        <v>11</v>
      </c>
      <c r="G720">
        <v>12</v>
      </c>
      <c r="H720">
        <v>1744.92</v>
      </c>
      <c r="I720" t="s">
        <v>21</v>
      </c>
    </row>
    <row r="721" spans="1:9" x14ac:dyDescent="0.3">
      <c r="A721" t="s">
        <v>275</v>
      </c>
      <c r="D721" t="s">
        <v>48</v>
      </c>
      <c r="E721" t="s">
        <v>11</v>
      </c>
      <c r="F721">
        <v>45396</v>
      </c>
      <c r="I721" t="s">
        <v>21</v>
      </c>
    </row>
    <row r="722" spans="1:9" x14ac:dyDescent="0.3">
      <c r="A722" t="s">
        <v>282</v>
      </c>
      <c r="C722" t="s">
        <v>28</v>
      </c>
      <c r="D722" t="s">
        <v>25</v>
      </c>
      <c r="E722" t="s">
        <v>29</v>
      </c>
      <c r="F722">
        <v>45489</v>
      </c>
      <c r="H722">
        <v>1474.9</v>
      </c>
    </row>
    <row r="723" spans="1:9" x14ac:dyDescent="0.3">
      <c r="A723" t="s">
        <v>581</v>
      </c>
      <c r="C723" t="s">
        <v>42</v>
      </c>
      <c r="E723" t="s">
        <v>34</v>
      </c>
      <c r="F723">
        <v>45567</v>
      </c>
      <c r="I723" t="s">
        <v>21</v>
      </c>
    </row>
    <row r="724" spans="1:9" x14ac:dyDescent="0.3">
      <c r="A724" t="s">
        <v>233</v>
      </c>
      <c r="C724" t="s">
        <v>28</v>
      </c>
      <c r="D724" t="s">
        <v>45</v>
      </c>
      <c r="E724" t="s">
        <v>34</v>
      </c>
      <c r="F724">
        <v>45330</v>
      </c>
      <c r="H724">
        <v>1403.97</v>
      </c>
    </row>
    <row r="725" spans="1:9" x14ac:dyDescent="0.3">
      <c r="A725" t="s">
        <v>396</v>
      </c>
      <c r="C725" t="s">
        <v>42</v>
      </c>
      <c r="D725" t="s">
        <v>51</v>
      </c>
      <c r="E725" t="s">
        <v>57</v>
      </c>
      <c r="F725">
        <v>45522</v>
      </c>
      <c r="H725">
        <v>1534.47</v>
      </c>
      <c r="I725" t="s">
        <v>26</v>
      </c>
    </row>
    <row r="726" spans="1:9" x14ac:dyDescent="0.3">
      <c r="A726" t="s">
        <v>582</v>
      </c>
      <c r="B726">
        <v>44</v>
      </c>
      <c r="D726" t="s">
        <v>45</v>
      </c>
      <c r="E726" t="s">
        <v>20</v>
      </c>
      <c r="F726">
        <v>45648</v>
      </c>
      <c r="I726" t="s">
        <v>26</v>
      </c>
    </row>
    <row r="727" spans="1:9" x14ac:dyDescent="0.3">
      <c r="A727" t="s">
        <v>583</v>
      </c>
      <c r="B727">
        <v>62</v>
      </c>
      <c r="C727" t="s">
        <v>42</v>
      </c>
      <c r="D727" t="s">
        <v>19</v>
      </c>
      <c r="E727" t="s">
        <v>57</v>
      </c>
      <c r="F727">
        <v>45579</v>
      </c>
      <c r="G727">
        <v>12</v>
      </c>
      <c r="H727">
        <v>1241.78</v>
      </c>
      <c r="I727" t="s">
        <v>12</v>
      </c>
    </row>
    <row r="728" spans="1:9" x14ac:dyDescent="0.3">
      <c r="A728" t="s">
        <v>584</v>
      </c>
      <c r="C728" t="s">
        <v>42</v>
      </c>
      <c r="D728" t="s">
        <v>14</v>
      </c>
      <c r="E728" t="s">
        <v>11</v>
      </c>
      <c r="F728">
        <v>45417</v>
      </c>
      <c r="I728" t="s">
        <v>12</v>
      </c>
    </row>
    <row r="729" spans="1:9" x14ac:dyDescent="0.3">
      <c r="A729" t="s">
        <v>585</v>
      </c>
      <c r="D729" t="s">
        <v>33</v>
      </c>
      <c r="E729" t="s">
        <v>11</v>
      </c>
      <c r="F729">
        <v>45634</v>
      </c>
      <c r="G729">
        <v>20</v>
      </c>
    </row>
    <row r="730" spans="1:9" x14ac:dyDescent="0.3">
      <c r="A730" t="s">
        <v>586</v>
      </c>
      <c r="B730">
        <v>94</v>
      </c>
      <c r="C730" t="s">
        <v>42</v>
      </c>
      <c r="D730" t="s">
        <v>48</v>
      </c>
      <c r="E730" t="s">
        <v>20</v>
      </c>
      <c r="F730">
        <v>45524</v>
      </c>
      <c r="H730">
        <v>1809.21</v>
      </c>
    </row>
    <row r="731" spans="1:9" x14ac:dyDescent="0.3">
      <c r="A731" t="s">
        <v>587</v>
      </c>
      <c r="C731" t="s">
        <v>38</v>
      </c>
      <c r="D731" t="s">
        <v>51</v>
      </c>
      <c r="E731" t="s">
        <v>15</v>
      </c>
      <c r="F731">
        <v>45394</v>
      </c>
      <c r="H731">
        <v>1548.73</v>
      </c>
      <c r="I731" t="s">
        <v>16</v>
      </c>
    </row>
    <row r="732" spans="1:9" x14ac:dyDescent="0.3">
      <c r="A732" t="s">
        <v>563</v>
      </c>
      <c r="C732" t="s">
        <v>38</v>
      </c>
      <c r="D732" t="s">
        <v>33</v>
      </c>
      <c r="E732" t="s">
        <v>43</v>
      </c>
      <c r="F732">
        <v>45470</v>
      </c>
      <c r="H732">
        <v>1045.19</v>
      </c>
    </row>
    <row r="733" spans="1:9" x14ac:dyDescent="0.3">
      <c r="A733" t="s">
        <v>588</v>
      </c>
      <c r="B733">
        <v>27</v>
      </c>
      <c r="C733" t="s">
        <v>38</v>
      </c>
      <c r="D733" t="s">
        <v>45</v>
      </c>
      <c r="E733" t="s">
        <v>11</v>
      </c>
      <c r="F733">
        <v>45612</v>
      </c>
      <c r="I733" t="s">
        <v>16</v>
      </c>
    </row>
    <row r="734" spans="1:9" x14ac:dyDescent="0.3">
      <c r="A734" t="s">
        <v>589</v>
      </c>
      <c r="B734">
        <v>81</v>
      </c>
      <c r="C734" t="s">
        <v>42</v>
      </c>
      <c r="D734" t="s">
        <v>10</v>
      </c>
      <c r="E734" t="s">
        <v>20</v>
      </c>
    </row>
    <row r="735" spans="1:9" x14ac:dyDescent="0.3">
      <c r="A735" t="s">
        <v>590</v>
      </c>
      <c r="C735" t="s">
        <v>18</v>
      </c>
      <c r="D735" t="s">
        <v>48</v>
      </c>
      <c r="E735" t="s">
        <v>57</v>
      </c>
      <c r="H735">
        <v>1129.1199999999999</v>
      </c>
      <c r="I735" t="s">
        <v>26</v>
      </c>
    </row>
    <row r="736" spans="1:9" x14ac:dyDescent="0.3">
      <c r="A736" t="s">
        <v>170</v>
      </c>
      <c r="C736" t="s">
        <v>18</v>
      </c>
      <c r="D736" t="s">
        <v>33</v>
      </c>
      <c r="E736" t="s">
        <v>29</v>
      </c>
      <c r="F736">
        <v>45469</v>
      </c>
      <c r="G736">
        <v>1</v>
      </c>
      <c r="H736">
        <v>908.95</v>
      </c>
      <c r="I736" t="s">
        <v>21</v>
      </c>
    </row>
    <row r="737" spans="1:9" x14ac:dyDescent="0.3">
      <c r="A737" t="s">
        <v>591</v>
      </c>
      <c r="C737" t="s">
        <v>18</v>
      </c>
      <c r="D737" t="s">
        <v>45</v>
      </c>
      <c r="E737" t="s">
        <v>15</v>
      </c>
      <c r="F737">
        <v>45379</v>
      </c>
    </row>
    <row r="738" spans="1:9" x14ac:dyDescent="0.3">
      <c r="A738" t="s">
        <v>268</v>
      </c>
      <c r="C738" t="s">
        <v>38</v>
      </c>
      <c r="E738" t="s">
        <v>15</v>
      </c>
      <c r="F738">
        <v>45399</v>
      </c>
      <c r="I738" t="s">
        <v>16</v>
      </c>
    </row>
    <row r="739" spans="1:9" x14ac:dyDescent="0.3">
      <c r="A739" t="s">
        <v>592</v>
      </c>
      <c r="C739" t="s">
        <v>42</v>
      </c>
      <c r="E739" t="s">
        <v>20</v>
      </c>
      <c r="F739">
        <v>45414</v>
      </c>
      <c r="I739" t="s">
        <v>12</v>
      </c>
    </row>
    <row r="740" spans="1:9" x14ac:dyDescent="0.3">
      <c r="A740" t="s">
        <v>593</v>
      </c>
      <c r="C740" t="s">
        <v>18</v>
      </c>
      <c r="D740" t="s">
        <v>33</v>
      </c>
      <c r="E740" t="s">
        <v>23</v>
      </c>
      <c r="F740">
        <v>45403</v>
      </c>
      <c r="G740">
        <v>1</v>
      </c>
      <c r="I740" t="s">
        <v>26</v>
      </c>
    </row>
    <row r="741" spans="1:9" x14ac:dyDescent="0.3">
      <c r="A741" t="s">
        <v>274</v>
      </c>
      <c r="C741" t="s">
        <v>28</v>
      </c>
      <c r="D741" t="s">
        <v>25</v>
      </c>
      <c r="E741" t="s">
        <v>29</v>
      </c>
      <c r="F741">
        <v>45478</v>
      </c>
      <c r="I741" t="s">
        <v>21</v>
      </c>
    </row>
    <row r="742" spans="1:9" x14ac:dyDescent="0.3">
      <c r="A742" t="s">
        <v>594</v>
      </c>
      <c r="B742">
        <v>95</v>
      </c>
      <c r="D742" t="s">
        <v>33</v>
      </c>
      <c r="E742" t="s">
        <v>43</v>
      </c>
      <c r="H742">
        <v>1181.22</v>
      </c>
    </row>
    <row r="743" spans="1:9" x14ac:dyDescent="0.3">
      <c r="A743" t="s">
        <v>595</v>
      </c>
      <c r="C743" t="s">
        <v>42</v>
      </c>
      <c r="D743" t="s">
        <v>33</v>
      </c>
      <c r="E743" t="s">
        <v>15</v>
      </c>
      <c r="F743">
        <v>45339</v>
      </c>
      <c r="H743">
        <v>1413.42</v>
      </c>
      <c r="I743" t="s">
        <v>26</v>
      </c>
    </row>
    <row r="744" spans="1:9" x14ac:dyDescent="0.3">
      <c r="A744" t="s">
        <v>596</v>
      </c>
      <c r="B744">
        <v>27</v>
      </c>
      <c r="C744" t="s">
        <v>28</v>
      </c>
      <c r="D744" t="s">
        <v>33</v>
      </c>
      <c r="E744" t="s">
        <v>11</v>
      </c>
      <c r="F744">
        <v>45503</v>
      </c>
      <c r="H744">
        <v>430.37</v>
      </c>
      <c r="I744" t="s">
        <v>26</v>
      </c>
    </row>
    <row r="745" spans="1:9" x14ac:dyDescent="0.3">
      <c r="A745" t="s">
        <v>304</v>
      </c>
      <c r="B745">
        <v>57</v>
      </c>
      <c r="C745" t="s">
        <v>28</v>
      </c>
      <c r="D745" t="s">
        <v>51</v>
      </c>
      <c r="E745" t="s">
        <v>23</v>
      </c>
      <c r="F745">
        <v>45515</v>
      </c>
      <c r="I745" t="s">
        <v>26</v>
      </c>
    </row>
    <row r="746" spans="1:9" x14ac:dyDescent="0.3">
      <c r="A746" t="s">
        <v>597</v>
      </c>
      <c r="C746" t="s">
        <v>42</v>
      </c>
      <c r="E746" t="s">
        <v>34</v>
      </c>
      <c r="F746">
        <v>45464</v>
      </c>
      <c r="G746">
        <v>12</v>
      </c>
    </row>
    <row r="747" spans="1:9" x14ac:dyDescent="0.3">
      <c r="A747" t="s">
        <v>221</v>
      </c>
      <c r="C747" t="s">
        <v>28</v>
      </c>
      <c r="D747" t="s">
        <v>48</v>
      </c>
      <c r="E747" t="s">
        <v>20</v>
      </c>
      <c r="F747">
        <v>45614</v>
      </c>
      <c r="H747">
        <v>1154.78</v>
      </c>
      <c r="I747" t="s">
        <v>26</v>
      </c>
    </row>
    <row r="748" spans="1:9" x14ac:dyDescent="0.3">
      <c r="A748" t="s">
        <v>194</v>
      </c>
      <c r="B748">
        <v>50</v>
      </c>
      <c r="C748" t="s">
        <v>28</v>
      </c>
      <c r="D748" t="s">
        <v>45</v>
      </c>
      <c r="E748" t="s">
        <v>57</v>
      </c>
      <c r="F748">
        <v>45489</v>
      </c>
      <c r="I748" t="s">
        <v>26</v>
      </c>
    </row>
    <row r="749" spans="1:9" x14ac:dyDescent="0.3">
      <c r="A749" t="s">
        <v>598</v>
      </c>
      <c r="C749" t="s">
        <v>18</v>
      </c>
      <c r="D749" t="s">
        <v>19</v>
      </c>
      <c r="E749" t="s">
        <v>11</v>
      </c>
      <c r="F749">
        <v>45450</v>
      </c>
    </row>
    <row r="750" spans="1:9" x14ac:dyDescent="0.3">
      <c r="A750" t="s">
        <v>143</v>
      </c>
      <c r="B750">
        <v>91</v>
      </c>
      <c r="D750" t="s">
        <v>25</v>
      </c>
      <c r="E750" t="s">
        <v>15</v>
      </c>
      <c r="F750">
        <v>45334</v>
      </c>
      <c r="G750">
        <v>9</v>
      </c>
      <c r="I750" t="s">
        <v>21</v>
      </c>
    </row>
    <row r="751" spans="1:9" x14ac:dyDescent="0.3">
      <c r="A751" t="s">
        <v>599</v>
      </c>
      <c r="C751" t="s">
        <v>18</v>
      </c>
      <c r="D751" t="s">
        <v>25</v>
      </c>
      <c r="E751" t="s">
        <v>43</v>
      </c>
      <c r="F751">
        <v>45635</v>
      </c>
      <c r="G751">
        <v>2</v>
      </c>
      <c r="H751">
        <v>1713.48</v>
      </c>
      <c r="I751" t="s">
        <v>21</v>
      </c>
    </row>
    <row r="752" spans="1:9" x14ac:dyDescent="0.3">
      <c r="A752" t="s">
        <v>600</v>
      </c>
      <c r="C752" t="s">
        <v>38</v>
      </c>
      <c r="D752" t="s">
        <v>48</v>
      </c>
      <c r="E752" t="s">
        <v>29</v>
      </c>
      <c r="F752">
        <v>45466</v>
      </c>
      <c r="G752">
        <v>14</v>
      </c>
    </row>
    <row r="753" spans="1:9" x14ac:dyDescent="0.3">
      <c r="A753" t="s">
        <v>364</v>
      </c>
      <c r="B753">
        <v>84</v>
      </c>
      <c r="E753" t="s">
        <v>34</v>
      </c>
      <c r="F753">
        <v>45466</v>
      </c>
      <c r="G753">
        <v>16</v>
      </c>
      <c r="H753">
        <v>1285.6600000000001</v>
      </c>
      <c r="I753" t="s">
        <v>12</v>
      </c>
    </row>
    <row r="754" spans="1:9" x14ac:dyDescent="0.3">
      <c r="A754" t="s">
        <v>601</v>
      </c>
      <c r="B754">
        <v>63</v>
      </c>
      <c r="C754" t="s">
        <v>38</v>
      </c>
      <c r="E754" t="s">
        <v>20</v>
      </c>
      <c r="I754" t="s">
        <v>12</v>
      </c>
    </row>
    <row r="755" spans="1:9" x14ac:dyDescent="0.3">
      <c r="A755" t="s">
        <v>602</v>
      </c>
      <c r="D755" t="s">
        <v>25</v>
      </c>
      <c r="E755" t="s">
        <v>29</v>
      </c>
      <c r="F755">
        <v>45619</v>
      </c>
      <c r="H755">
        <v>1566.13</v>
      </c>
    </row>
    <row r="756" spans="1:9" x14ac:dyDescent="0.3">
      <c r="A756" t="s">
        <v>603</v>
      </c>
      <c r="B756">
        <v>55</v>
      </c>
      <c r="C756" t="s">
        <v>18</v>
      </c>
      <c r="D756" t="s">
        <v>51</v>
      </c>
      <c r="E756" t="s">
        <v>11</v>
      </c>
      <c r="F756">
        <v>45350</v>
      </c>
      <c r="I756" t="s">
        <v>16</v>
      </c>
    </row>
    <row r="757" spans="1:9" x14ac:dyDescent="0.3">
      <c r="A757" t="s">
        <v>506</v>
      </c>
      <c r="B757">
        <v>89</v>
      </c>
      <c r="C757" t="s">
        <v>28</v>
      </c>
      <c r="D757" t="s">
        <v>25</v>
      </c>
      <c r="E757" t="s">
        <v>23</v>
      </c>
      <c r="F757">
        <v>45454</v>
      </c>
      <c r="I757" t="s">
        <v>21</v>
      </c>
    </row>
    <row r="758" spans="1:9" x14ac:dyDescent="0.3">
      <c r="A758" t="s">
        <v>604</v>
      </c>
      <c r="B758">
        <v>40</v>
      </c>
      <c r="C758" t="s">
        <v>38</v>
      </c>
      <c r="D758" t="s">
        <v>25</v>
      </c>
      <c r="E758" t="s">
        <v>43</v>
      </c>
      <c r="F758">
        <v>45579</v>
      </c>
      <c r="G758">
        <v>17</v>
      </c>
      <c r="I758" t="s">
        <v>26</v>
      </c>
    </row>
    <row r="759" spans="1:9" x14ac:dyDescent="0.3">
      <c r="A759" t="s">
        <v>605</v>
      </c>
      <c r="D759" t="s">
        <v>19</v>
      </c>
      <c r="E759" t="s">
        <v>57</v>
      </c>
      <c r="F759">
        <v>45500</v>
      </c>
      <c r="G759">
        <v>18</v>
      </c>
      <c r="H759">
        <v>238.18</v>
      </c>
      <c r="I759" t="s">
        <v>16</v>
      </c>
    </row>
    <row r="760" spans="1:9" x14ac:dyDescent="0.3">
      <c r="A760" t="s">
        <v>473</v>
      </c>
      <c r="C760" t="s">
        <v>18</v>
      </c>
      <c r="D760" t="s">
        <v>48</v>
      </c>
      <c r="E760" t="s">
        <v>23</v>
      </c>
      <c r="H760">
        <v>1403.61</v>
      </c>
      <c r="I760" t="s">
        <v>26</v>
      </c>
    </row>
    <row r="761" spans="1:9" x14ac:dyDescent="0.3">
      <c r="A761" t="s">
        <v>606</v>
      </c>
      <c r="D761" t="s">
        <v>51</v>
      </c>
      <c r="E761" t="s">
        <v>43</v>
      </c>
      <c r="F761">
        <v>45445</v>
      </c>
    </row>
    <row r="762" spans="1:9" x14ac:dyDescent="0.3">
      <c r="A762" t="s">
        <v>113</v>
      </c>
      <c r="B762">
        <v>56</v>
      </c>
      <c r="C762" t="s">
        <v>18</v>
      </c>
      <c r="D762" t="s">
        <v>25</v>
      </c>
      <c r="E762" t="s">
        <v>57</v>
      </c>
      <c r="F762">
        <v>45352</v>
      </c>
      <c r="I762" t="s">
        <v>26</v>
      </c>
    </row>
    <row r="763" spans="1:9" x14ac:dyDescent="0.3">
      <c r="A763" t="s">
        <v>448</v>
      </c>
      <c r="C763" t="s">
        <v>38</v>
      </c>
      <c r="E763" t="s">
        <v>23</v>
      </c>
      <c r="F763">
        <v>45421</v>
      </c>
      <c r="I763" t="s">
        <v>16</v>
      </c>
    </row>
    <row r="764" spans="1:9" x14ac:dyDescent="0.3">
      <c r="A764" t="s">
        <v>607</v>
      </c>
      <c r="B764">
        <v>88</v>
      </c>
      <c r="C764" t="s">
        <v>38</v>
      </c>
      <c r="D764" t="s">
        <v>48</v>
      </c>
      <c r="E764" t="s">
        <v>23</v>
      </c>
      <c r="F764">
        <v>45381</v>
      </c>
      <c r="G764">
        <v>6</v>
      </c>
    </row>
    <row r="765" spans="1:9" x14ac:dyDescent="0.3">
      <c r="A765" t="s">
        <v>446</v>
      </c>
      <c r="B765">
        <v>45</v>
      </c>
      <c r="C765" t="s">
        <v>18</v>
      </c>
      <c r="D765" t="s">
        <v>14</v>
      </c>
      <c r="E765" t="s">
        <v>23</v>
      </c>
      <c r="F765">
        <v>45443</v>
      </c>
      <c r="H765">
        <v>1076.76</v>
      </c>
      <c r="I765" t="s">
        <v>16</v>
      </c>
    </row>
    <row r="766" spans="1:9" x14ac:dyDescent="0.3">
      <c r="A766" t="s">
        <v>224</v>
      </c>
      <c r="C766" t="s">
        <v>18</v>
      </c>
      <c r="D766" t="s">
        <v>45</v>
      </c>
      <c r="E766" t="s">
        <v>57</v>
      </c>
      <c r="F766">
        <v>45517</v>
      </c>
      <c r="I766" t="s">
        <v>16</v>
      </c>
    </row>
    <row r="767" spans="1:9" x14ac:dyDescent="0.3">
      <c r="A767" t="s">
        <v>608</v>
      </c>
      <c r="C767" t="s">
        <v>28</v>
      </c>
      <c r="D767" t="s">
        <v>25</v>
      </c>
      <c r="E767" t="s">
        <v>43</v>
      </c>
      <c r="F767">
        <v>45386</v>
      </c>
      <c r="G767">
        <v>12</v>
      </c>
    </row>
    <row r="768" spans="1:9" x14ac:dyDescent="0.3">
      <c r="A768" t="s">
        <v>609</v>
      </c>
      <c r="C768" t="s">
        <v>18</v>
      </c>
      <c r="D768" t="s">
        <v>25</v>
      </c>
      <c r="E768" t="s">
        <v>23</v>
      </c>
      <c r="F768">
        <v>45354</v>
      </c>
      <c r="G768">
        <v>4</v>
      </c>
      <c r="H768">
        <v>1679.79</v>
      </c>
    </row>
    <row r="769" spans="1:9" x14ac:dyDescent="0.3">
      <c r="A769" t="s">
        <v>610</v>
      </c>
      <c r="C769" t="s">
        <v>18</v>
      </c>
      <c r="D769" t="s">
        <v>10</v>
      </c>
      <c r="E769" t="s">
        <v>20</v>
      </c>
      <c r="F769">
        <v>45517</v>
      </c>
      <c r="I769" t="s">
        <v>21</v>
      </c>
    </row>
    <row r="770" spans="1:9" x14ac:dyDescent="0.3">
      <c r="A770" t="s">
        <v>611</v>
      </c>
      <c r="C770" t="s">
        <v>38</v>
      </c>
      <c r="D770" t="s">
        <v>45</v>
      </c>
      <c r="E770" t="s">
        <v>57</v>
      </c>
      <c r="F770">
        <v>45329</v>
      </c>
      <c r="G770">
        <v>16</v>
      </c>
      <c r="I770" t="s">
        <v>12</v>
      </c>
    </row>
    <row r="771" spans="1:9" x14ac:dyDescent="0.3">
      <c r="A771" t="s">
        <v>612</v>
      </c>
      <c r="B771">
        <v>29</v>
      </c>
      <c r="D771" t="s">
        <v>51</v>
      </c>
      <c r="E771" t="s">
        <v>57</v>
      </c>
      <c r="F771">
        <v>45300</v>
      </c>
      <c r="I771" t="s">
        <v>26</v>
      </c>
    </row>
    <row r="772" spans="1:9" x14ac:dyDescent="0.3">
      <c r="A772" t="s">
        <v>613</v>
      </c>
      <c r="D772" t="s">
        <v>10</v>
      </c>
      <c r="E772" t="s">
        <v>11</v>
      </c>
      <c r="F772">
        <v>45368</v>
      </c>
      <c r="I772" t="s">
        <v>12</v>
      </c>
    </row>
    <row r="773" spans="1:9" x14ac:dyDescent="0.3">
      <c r="A773" t="s">
        <v>614</v>
      </c>
      <c r="B773">
        <v>75</v>
      </c>
      <c r="C773" t="s">
        <v>18</v>
      </c>
      <c r="D773" t="s">
        <v>14</v>
      </c>
      <c r="E773" t="s">
        <v>11</v>
      </c>
      <c r="G773">
        <v>11</v>
      </c>
      <c r="I773" t="s">
        <v>16</v>
      </c>
    </row>
    <row r="774" spans="1:9" x14ac:dyDescent="0.3">
      <c r="A774" t="s">
        <v>89</v>
      </c>
      <c r="C774" t="s">
        <v>38</v>
      </c>
      <c r="D774" t="s">
        <v>48</v>
      </c>
      <c r="E774" t="s">
        <v>20</v>
      </c>
      <c r="F774">
        <v>45349</v>
      </c>
      <c r="H774">
        <v>1392.2</v>
      </c>
    </row>
    <row r="775" spans="1:9" x14ac:dyDescent="0.3">
      <c r="A775" t="s">
        <v>275</v>
      </c>
      <c r="D775" t="s">
        <v>25</v>
      </c>
      <c r="E775" t="s">
        <v>34</v>
      </c>
      <c r="F775">
        <v>45635</v>
      </c>
      <c r="I775" t="s">
        <v>16</v>
      </c>
    </row>
    <row r="776" spans="1:9" x14ac:dyDescent="0.3">
      <c r="A776" t="s">
        <v>615</v>
      </c>
      <c r="C776" t="s">
        <v>42</v>
      </c>
      <c r="D776" t="s">
        <v>25</v>
      </c>
      <c r="E776" t="s">
        <v>23</v>
      </c>
      <c r="F776">
        <v>45423</v>
      </c>
    </row>
    <row r="777" spans="1:9" x14ac:dyDescent="0.3">
      <c r="A777" t="s">
        <v>616</v>
      </c>
      <c r="C777" t="s">
        <v>28</v>
      </c>
      <c r="D777" t="s">
        <v>14</v>
      </c>
      <c r="E777" t="s">
        <v>43</v>
      </c>
      <c r="F777">
        <v>45336</v>
      </c>
    </row>
    <row r="778" spans="1:9" x14ac:dyDescent="0.3">
      <c r="A778" t="s">
        <v>617</v>
      </c>
      <c r="B778">
        <v>34</v>
      </c>
      <c r="D778" t="s">
        <v>25</v>
      </c>
      <c r="E778" t="s">
        <v>20</v>
      </c>
      <c r="F778">
        <v>45397</v>
      </c>
      <c r="H778">
        <v>1269.24</v>
      </c>
    </row>
    <row r="779" spans="1:9" x14ac:dyDescent="0.3">
      <c r="A779" t="s">
        <v>280</v>
      </c>
      <c r="C779" t="s">
        <v>18</v>
      </c>
      <c r="D779" t="s">
        <v>14</v>
      </c>
      <c r="E779" t="s">
        <v>20</v>
      </c>
      <c r="F779">
        <v>45431</v>
      </c>
      <c r="I779" t="s">
        <v>12</v>
      </c>
    </row>
    <row r="780" spans="1:9" x14ac:dyDescent="0.3">
      <c r="A780" t="s">
        <v>618</v>
      </c>
      <c r="C780" t="s">
        <v>38</v>
      </c>
      <c r="D780" t="s">
        <v>51</v>
      </c>
      <c r="E780" t="s">
        <v>34</v>
      </c>
      <c r="F780">
        <v>45389</v>
      </c>
      <c r="I780" t="s">
        <v>16</v>
      </c>
    </row>
    <row r="781" spans="1:9" x14ac:dyDescent="0.3">
      <c r="A781" t="s">
        <v>302</v>
      </c>
      <c r="C781" t="s">
        <v>42</v>
      </c>
      <c r="D781" t="s">
        <v>45</v>
      </c>
      <c r="E781" t="s">
        <v>34</v>
      </c>
      <c r="F781">
        <v>45499</v>
      </c>
      <c r="I781" t="s">
        <v>21</v>
      </c>
    </row>
    <row r="782" spans="1:9" x14ac:dyDescent="0.3">
      <c r="A782" t="s">
        <v>619</v>
      </c>
      <c r="D782" t="s">
        <v>51</v>
      </c>
      <c r="E782" t="s">
        <v>29</v>
      </c>
      <c r="I782" t="s">
        <v>21</v>
      </c>
    </row>
    <row r="783" spans="1:9" x14ac:dyDescent="0.3">
      <c r="A783" t="s">
        <v>620</v>
      </c>
      <c r="B783">
        <v>66</v>
      </c>
      <c r="D783" t="s">
        <v>33</v>
      </c>
      <c r="E783" t="s">
        <v>23</v>
      </c>
      <c r="F783">
        <v>45609</v>
      </c>
      <c r="G783">
        <v>8</v>
      </c>
      <c r="H783">
        <v>477.3</v>
      </c>
      <c r="I783" t="s">
        <v>12</v>
      </c>
    </row>
    <row r="784" spans="1:9" x14ac:dyDescent="0.3">
      <c r="A784" t="s">
        <v>477</v>
      </c>
      <c r="C784" t="s">
        <v>42</v>
      </c>
      <c r="D784" t="s">
        <v>48</v>
      </c>
      <c r="E784" t="s">
        <v>11</v>
      </c>
      <c r="F784">
        <v>45361</v>
      </c>
      <c r="G784">
        <v>10</v>
      </c>
    </row>
    <row r="785" spans="1:9" x14ac:dyDescent="0.3">
      <c r="A785" t="s">
        <v>416</v>
      </c>
      <c r="B785">
        <v>45</v>
      </c>
      <c r="C785" t="s">
        <v>42</v>
      </c>
      <c r="D785" t="s">
        <v>14</v>
      </c>
      <c r="E785" t="s">
        <v>11</v>
      </c>
      <c r="F785">
        <v>45401</v>
      </c>
      <c r="I785" t="s">
        <v>21</v>
      </c>
    </row>
    <row r="786" spans="1:9" x14ac:dyDescent="0.3">
      <c r="A786" t="s">
        <v>621</v>
      </c>
      <c r="C786" t="s">
        <v>18</v>
      </c>
      <c r="D786" t="s">
        <v>45</v>
      </c>
      <c r="E786" t="s">
        <v>29</v>
      </c>
      <c r="F786">
        <v>45440</v>
      </c>
      <c r="H786">
        <v>344.99</v>
      </c>
      <c r="I786" t="s">
        <v>26</v>
      </c>
    </row>
    <row r="787" spans="1:9" x14ac:dyDescent="0.3">
      <c r="A787" t="s">
        <v>528</v>
      </c>
      <c r="C787" t="s">
        <v>42</v>
      </c>
      <c r="D787" t="s">
        <v>33</v>
      </c>
      <c r="E787" t="s">
        <v>23</v>
      </c>
      <c r="F787">
        <v>45477</v>
      </c>
      <c r="G787">
        <v>17</v>
      </c>
    </row>
    <row r="788" spans="1:9" x14ac:dyDescent="0.3">
      <c r="A788" t="s">
        <v>228</v>
      </c>
      <c r="D788" t="s">
        <v>33</v>
      </c>
      <c r="E788" t="s">
        <v>34</v>
      </c>
      <c r="G788">
        <v>17</v>
      </c>
      <c r="I788" t="s">
        <v>26</v>
      </c>
    </row>
    <row r="789" spans="1:9" x14ac:dyDescent="0.3">
      <c r="A789" t="s">
        <v>622</v>
      </c>
      <c r="C789" t="s">
        <v>38</v>
      </c>
      <c r="D789" t="s">
        <v>19</v>
      </c>
      <c r="E789" t="s">
        <v>43</v>
      </c>
      <c r="F789">
        <v>45554</v>
      </c>
      <c r="I789" t="s">
        <v>12</v>
      </c>
    </row>
    <row r="790" spans="1:9" x14ac:dyDescent="0.3">
      <c r="A790" t="s">
        <v>623</v>
      </c>
      <c r="C790" t="s">
        <v>42</v>
      </c>
      <c r="D790" t="s">
        <v>48</v>
      </c>
      <c r="E790" t="s">
        <v>57</v>
      </c>
      <c r="F790">
        <v>45649</v>
      </c>
      <c r="H790">
        <v>1470.23</v>
      </c>
      <c r="I790" t="s">
        <v>26</v>
      </c>
    </row>
    <row r="791" spans="1:9" x14ac:dyDescent="0.3">
      <c r="A791" t="s">
        <v>37</v>
      </c>
      <c r="B791">
        <v>73</v>
      </c>
      <c r="C791" t="s">
        <v>42</v>
      </c>
      <c r="D791" t="s">
        <v>48</v>
      </c>
      <c r="E791" t="s">
        <v>57</v>
      </c>
      <c r="F791">
        <v>45426</v>
      </c>
      <c r="G791">
        <v>4</v>
      </c>
      <c r="I791" t="s">
        <v>26</v>
      </c>
    </row>
    <row r="792" spans="1:9" x14ac:dyDescent="0.3">
      <c r="A792" t="s">
        <v>624</v>
      </c>
      <c r="B792">
        <v>56</v>
      </c>
      <c r="D792" t="s">
        <v>51</v>
      </c>
      <c r="E792" t="s">
        <v>34</v>
      </c>
      <c r="G792">
        <v>15</v>
      </c>
      <c r="H792">
        <v>1154.6300000000001</v>
      </c>
      <c r="I792" t="s">
        <v>21</v>
      </c>
    </row>
    <row r="793" spans="1:9" x14ac:dyDescent="0.3">
      <c r="A793" t="s">
        <v>625</v>
      </c>
      <c r="C793" t="s">
        <v>38</v>
      </c>
      <c r="D793" t="s">
        <v>33</v>
      </c>
      <c r="E793" t="s">
        <v>43</v>
      </c>
      <c r="F793">
        <v>45343</v>
      </c>
      <c r="G793">
        <v>11</v>
      </c>
    </row>
    <row r="794" spans="1:9" x14ac:dyDescent="0.3">
      <c r="A794" t="s">
        <v>332</v>
      </c>
      <c r="B794">
        <v>48</v>
      </c>
      <c r="C794" t="s">
        <v>38</v>
      </c>
      <c r="D794" t="s">
        <v>19</v>
      </c>
      <c r="E794" t="s">
        <v>29</v>
      </c>
      <c r="F794">
        <v>45384</v>
      </c>
      <c r="I794" t="s">
        <v>26</v>
      </c>
    </row>
    <row r="795" spans="1:9" x14ac:dyDescent="0.3">
      <c r="A795" t="s">
        <v>386</v>
      </c>
      <c r="B795">
        <v>84</v>
      </c>
      <c r="C795" t="s">
        <v>18</v>
      </c>
      <c r="D795" t="s">
        <v>14</v>
      </c>
      <c r="E795" t="s">
        <v>43</v>
      </c>
      <c r="F795">
        <v>45508</v>
      </c>
      <c r="G795">
        <v>4</v>
      </c>
      <c r="I795" t="s">
        <v>26</v>
      </c>
    </row>
    <row r="796" spans="1:9" x14ac:dyDescent="0.3">
      <c r="A796" t="s">
        <v>53</v>
      </c>
      <c r="B796">
        <v>18</v>
      </c>
      <c r="C796" t="s">
        <v>18</v>
      </c>
      <c r="D796" t="s">
        <v>33</v>
      </c>
      <c r="E796" t="s">
        <v>29</v>
      </c>
      <c r="F796">
        <v>45456</v>
      </c>
      <c r="I796" t="s">
        <v>12</v>
      </c>
    </row>
    <row r="797" spans="1:9" x14ac:dyDescent="0.3">
      <c r="A797" t="s">
        <v>626</v>
      </c>
      <c r="B797">
        <v>54</v>
      </c>
      <c r="C797" t="s">
        <v>28</v>
      </c>
      <c r="D797" t="s">
        <v>51</v>
      </c>
      <c r="E797" t="s">
        <v>15</v>
      </c>
      <c r="I797" t="s">
        <v>21</v>
      </c>
    </row>
    <row r="798" spans="1:9" x14ac:dyDescent="0.3">
      <c r="A798" t="s">
        <v>214</v>
      </c>
      <c r="C798" t="s">
        <v>42</v>
      </c>
      <c r="D798" t="s">
        <v>45</v>
      </c>
      <c r="E798" t="s">
        <v>11</v>
      </c>
      <c r="F798">
        <v>45445</v>
      </c>
      <c r="H798">
        <v>1871.84</v>
      </c>
      <c r="I798" t="s">
        <v>21</v>
      </c>
    </row>
    <row r="799" spans="1:9" x14ac:dyDescent="0.3">
      <c r="A799" t="s">
        <v>627</v>
      </c>
      <c r="B799">
        <v>22</v>
      </c>
      <c r="C799" t="s">
        <v>18</v>
      </c>
      <c r="E799" t="s">
        <v>11</v>
      </c>
      <c r="I799" t="s">
        <v>12</v>
      </c>
    </row>
    <row r="800" spans="1:9" x14ac:dyDescent="0.3">
      <c r="A800" t="s">
        <v>155</v>
      </c>
      <c r="C800" t="s">
        <v>28</v>
      </c>
      <c r="D800" t="s">
        <v>33</v>
      </c>
      <c r="E800" t="s">
        <v>57</v>
      </c>
      <c r="F800">
        <v>45364</v>
      </c>
      <c r="G800">
        <v>10</v>
      </c>
      <c r="I800" t="s">
        <v>16</v>
      </c>
    </row>
    <row r="801" spans="1:9" x14ac:dyDescent="0.3">
      <c r="A801" t="s">
        <v>628</v>
      </c>
      <c r="C801" t="s">
        <v>18</v>
      </c>
      <c r="D801" t="s">
        <v>51</v>
      </c>
      <c r="E801" t="s">
        <v>23</v>
      </c>
      <c r="F801">
        <v>45543</v>
      </c>
      <c r="I801" t="s">
        <v>16</v>
      </c>
    </row>
    <row r="802" spans="1:9" x14ac:dyDescent="0.3">
      <c r="A802" t="s">
        <v>629</v>
      </c>
      <c r="B802">
        <v>22</v>
      </c>
      <c r="C802" t="s">
        <v>28</v>
      </c>
      <c r="D802" t="s">
        <v>14</v>
      </c>
      <c r="E802" t="s">
        <v>34</v>
      </c>
      <c r="F802">
        <v>45637</v>
      </c>
      <c r="G802">
        <v>4</v>
      </c>
      <c r="I802" t="s">
        <v>12</v>
      </c>
    </row>
    <row r="803" spans="1:9" x14ac:dyDescent="0.3">
      <c r="A803" t="s">
        <v>630</v>
      </c>
      <c r="C803" t="s">
        <v>38</v>
      </c>
      <c r="D803" t="s">
        <v>25</v>
      </c>
      <c r="E803" t="s">
        <v>11</v>
      </c>
      <c r="F803">
        <v>45417</v>
      </c>
      <c r="H803">
        <v>933.67</v>
      </c>
      <c r="I803" t="s">
        <v>12</v>
      </c>
    </row>
    <row r="804" spans="1:9" x14ac:dyDescent="0.3">
      <c r="A804" t="s">
        <v>435</v>
      </c>
      <c r="B804">
        <v>81</v>
      </c>
      <c r="C804" t="s">
        <v>38</v>
      </c>
      <c r="D804" t="s">
        <v>33</v>
      </c>
      <c r="E804" t="s">
        <v>43</v>
      </c>
      <c r="F804">
        <v>45451</v>
      </c>
      <c r="I804" t="s">
        <v>21</v>
      </c>
    </row>
    <row r="805" spans="1:9" x14ac:dyDescent="0.3">
      <c r="A805" t="s">
        <v>631</v>
      </c>
      <c r="C805" t="s">
        <v>42</v>
      </c>
      <c r="D805" t="s">
        <v>45</v>
      </c>
      <c r="E805" t="s">
        <v>15</v>
      </c>
      <c r="F805">
        <v>45636</v>
      </c>
      <c r="G805">
        <v>3</v>
      </c>
    </row>
    <row r="806" spans="1:9" x14ac:dyDescent="0.3">
      <c r="A806" t="s">
        <v>159</v>
      </c>
      <c r="C806" t="s">
        <v>18</v>
      </c>
      <c r="D806" t="s">
        <v>14</v>
      </c>
      <c r="E806" t="s">
        <v>23</v>
      </c>
      <c r="F806">
        <v>45417</v>
      </c>
      <c r="G806">
        <v>12</v>
      </c>
      <c r="I806" t="s">
        <v>12</v>
      </c>
    </row>
    <row r="807" spans="1:9" x14ac:dyDescent="0.3">
      <c r="A807" t="s">
        <v>632</v>
      </c>
      <c r="C807" t="s">
        <v>42</v>
      </c>
      <c r="D807" t="s">
        <v>10</v>
      </c>
      <c r="E807" t="s">
        <v>29</v>
      </c>
      <c r="F807">
        <v>45448</v>
      </c>
      <c r="G807">
        <v>5</v>
      </c>
    </row>
    <row r="808" spans="1:9" x14ac:dyDescent="0.3">
      <c r="A808" t="s">
        <v>260</v>
      </c>
      <c r="C808" t="s">
        <v>42</v>
      </c>
      <c r="D808" t="s">
        <v>48</v>
      </c>
      <c r="E808" t="s">
        <v>20</v>
      </c>
      <c r="F808">
        <v>45553</v>
      </c>
      <c r="I808" t="s">
        <v>21</v>
      </c>
    </row>
    <row r="809" spans="1:9" x14ac:dyDescent="0.3">
      <c r="A809" t="s">
        <v>633</v>
      </c>
      <c r="D809" t="s">
        <v>14</v>
      </c>
      <c r="E809" t="s">
        <v>43</v>
      </c>
      <c r="F809">
        <v>45341</v>
      </c>
      <c r="I809" t="s">
        <v>16</v>
      </c>
    </row>
    <row r="810" spans="1:9" x14ac:dyDescent="0.3">
      <c r="A810" t="s">
        <v>441</v>
      </c>
      <c r="B810">
        <v>65</v>
      </c>
      <c r="D810" t="s">
        <v>14</v>
      </c>
      <c r="E810" t="s">
        <v>34</v>
      </c>
      <c r="I810" t="s">
        <v>26</v>
      </c>
    </row>
    <row r="811" spans="1:9" x14ac:dyDescent="0.3">
      <c r="A811" t="s">
        <v>634</v>
      </c>
      <c r="C811" t="s">
        <v>28</v>
      </c>
      <c r="D811" t="s">
        <v>14</v>
      </c>
      <c r="E811" t="s">
        <v>23</v>
      </c>
      <c r="G811">
        <v>14</v>
      </c>
      <c r="H811">
        <v>1227.45</v>
      </c>
      <c r="I811" t="s">
        <v>26</v>
      </c>
    </row>
    <row r="812" spans="1:9" x14ac:dyDescent="0.3">
      <c r="A812" t="s">
        <v>635</v>
      </c>
      <c r="D812" t="s">
        <v>45</v>
      </c>
      <c r="E812" t="s">
        <v>34</v>
      </c>
      <c r="G812">
        <v>9</v>
      </c>
      <c r="I812" t="s">
        <v>21</v>
      </c>
    </row>
    <row r="813" spans="1:9" x14ac:dyDescent="0.3">
      <c r="A813" t="s">
        <v>213</v>
      </c>
      <c r="C813" t="s">
        <v>38</v>
      </c>
      <c r="E813" t="s">
        <v>15</v>
      </c>
      <c r="F813">
        <v>45596</v>
      </c>
      <c r="I813" t="s">
        <v>16</v>
      </c>
    </row>
    <row r="814" spans="1:9" x14ac:dyDescent="0.3">
      <c r="A814" t="s">
        <v>329</v>
      </c>
      <c r="B814">
        <v>52</v>
      </c>
      <c r="C814" t="s">
        <v>42</v>
      </c>
      <c r="D814" t="s">
        <v>45</v>
      </c>
      <c r="E814" t="s">
        <v>29</v>
      </c>
      <c r="F814">
        <v>45305</v>
      </c>
      <c r="G814">
        <v>13</v>
      </c>
      <c r="I814" t="s">
        <v>12</v>
      </c>
    </row>
    <row r="815" spans="1:9" x14ac:dyDescent="0.3">
      <c r="A815" t="s">
        <v>440</v>
      </c>
      <c r="C815" t="s">
        <v>18</v>
      </c>
      <c r="D815" t="s">
        <v>45</v>
      </c>
      <c r="E815" t="s">
        <v>20</v>
      </c>
      <c r="F815">
        <v>45600</v>
      </c>
      <c r="I815" t="s">
        <v>21</v>
      </c>
    </row>
    <row r="816" spans="1:9" x14ac:dyDescent="0.3">
      <c r="A816" t="s">
        <v>636</v>
      </c>
      <c r="C816" t="s">
        <v>18</v>
      </c>
      <c r="D816" t="s">
        <v>48</v>
      </c>
      <c r="E816" t="s">
        <v>23</v>
      </c>
      <c r="F816">
        <v>45637</v>
      </c>
      <c r="G816">
        <v>1</v>
      </c>
    </row>
    <row r="817" spans="1:9" x14ac:dyDescent="0.3">
      <c r="A817" t="s">
        <v>546</v>
      </c>
      <c r="C817" t="s">
        <v>38</v>
      </c>
      <c r="D817" t="s">
        <v>45</v>
      </c>
      <c r="E817" t="s">
        <v>34</v>
      </c>
      <c r="F817">
        <v>45485</v>
      </c>
      <c r="H817">
        <v>765.29</v>
      </c>
      <c r="I817" t="s">
        <v>16</v>
      </c>
    </row>
    <row r="818" spans="1:9" x14ac:dyDescent="0.3">
      <c r="A818" t="s">
        <v>530</v>
      </c>
      <c r="C818" t="s">
        <v>42</v>
      </c>
      <c r="D818" t="s">
        <v>33</v>
      </c>
      <c r="E818" t="s">
        <v>11</v>
      </c>
      <c r="F818">
        <v>45330</v>
      </c>
      <c r="G818">
        <v>3</v>
      </c>
      <c r="I818" t="s">
        <v>12</v>
      </c>
    </row>
    <row r="819" spans="1:9" x14ac:dyDescent="0.3">
      <c r="A819" t="s">
        <v>637</v>
      </c>
      <c r="C819" t="s">
        <v>18</v>
      </c>
      <c r="E819" t="s">
        <v>20</v>
      </c>
      <c r="F819">
        <v>45375</v>
      </c>
      <c r="H819">
        <v>525.79</v>
      </c>
      <c r="I819" t="s">
        <v>16</v>
      </c>
    </row>
    <row r="820" spans="1:9" x14ac:dyDescent="0.3">
      <c r="A820" t="s">
        <v>437</v>
      </c>
      <c r="C820" t="s">
        <v>18</v>
      </c>
      <c r="D820" t="s">
        <v>45</v>
      </c>
      <c r="E820" t="s">
        <v>23</v>
      </c>
      <c r="F820">
        <v>45497</v>
      </c>
      <c r="I820" t="s">
        <v>16</v>
      </c>
    </row>
    <row r="821" spans="1:9" x14ac:dyDescent="0.3">
      <c r="A821" t="s">
        <v>176</v>
      </c>
      <c r="D821" t="s">
        <v>19</v>
      </c>
      <c r="E821" t="s">
        <v>15</v>
      </c>
      <c r="F821">
        <v>45556</v>
      </c>
      <c r="H821">
        <v>1043.05</v>
      </c>
      <c r="I821" t="s">
        <v>12</v>
      </c>
    </row>
    <row r="822" spans="1:9" x14ac:dyDescent="0.3">
      <c r="A822" t="s">
        <v>171</v>
      </c>
      <c r="B822">
        <v>59</v>
      </c>
      <c r="C822" t="s">
        <v>42</v>
      </c>
      <c r="D822" t="s">
        <v>10</v>
      </c>
      <c r="E822" t="s">
        <v>23</v>
      </c>
      <c r="F822">
        <v>45363</v>
      </c>
      <c r="I822" t="s">
        <v>21</v>
      </c>
    </row>
    <row r="823" spans="1:9" x14ac:dyDescent="0.3">
      <c r="A823" t="s">
        <v>638</v>
      </c>
      <c r="C823" t="s">
        <v>42</v>
      </c>
      <c r="D823" t="s">
        <v>51</v>
      </c>
      <c r="E823" t="s">
        <v>34</v>
      </c>
      <c r="F823">
        <v>45504</v>
      </c>
      <c r="H823">
        <v>278.12</v>
      </c>
      <c r="I823" t="s">
        <v>26</v>
      </c>
    </row>
    <row r="824" spans="1:9" x14ac:dyDescent="0.3">
      <c r="A824" t="s">
        <v>607</v>
      </c>
      <c r="B824">
        <v>33</v>
      </c>
      <c r="C824" t="s">
        <v>38</v>
      </c>
      <c r="D824" t="s">
        <v>19</v>
      </c>
      <c r="E824" t="s">
        <v>11</v>
      </c>
      <c r="F824">
        <v>45356</v>
      </c>
      <c r="H824">
        <v>1002.86</v>
      </c>
      <c r="I824" t="s">
        <v>21</v>
      </c>
    </row>
    <row r="825" spans="1:9" x14ac:dyDescent="0.3">
      <c r="A825" t="s">
        <v>639</v>
      </c>
      <c r="C825" t="s">
        <v>28</v>
      </c>
      <c r="D825" t="s">
        <v>19</v>
      </c>
      <c r="E825" t="s">
        <v>11</v>
      </c>
      <c r="F825">
        <v>45397</v>
      </c>
      <c r="I825" t="s">
        <v>12</v>
      </c>
    </row>
    <row r="826" spans="1:9" x14ac:dyDescent="0.3">
      <c r="A826" t="s">
        <v>640</v>
      </c>
      <c r="B826">
        <v>28</v>
      </c>
      <c r="C826" t="s">
        <v>38</v>
      </c>
      <c r="D826" t="s">
        <v>25</v>
      </c>
      <c r="E826" t="s">
        <v>23</v>
      </c>
      <c r="F826">
        <v>45350</v>
      </c>
      <c r="I826" t="s">
        <v>16</v>
      </c>
    </row>
    <row r="827" spans="1:9" x14ac:dyDescent="0.3">
      <c r="A827" t="s">
        <v>641</v>
      </c>
      <c r="C827" t="s">
        <v>38</v>
      </c>
      <c r="D827" t="s">
        <v>10</v>
      </c>
      <c r="E827" t="s">
        <v>43</v>
      </c>
      <c r="F827">
        <v>45622</v>
      </c>
      <c r="H827">
        <v>1061.06</v>
      </c>
      <c r="I827" t="s">
        <v>16</v>
      </c>
    </row>
    <row r="828" spans="1:9" x14ac:dyDescent="0.3">
      <c r="A828" t="s">
        <v>642</v>
      </c>
      <c r="B828">
        <v>55</v>
      </c>
      <c r="C828" t="s">
        <v>42</v>
      </c>
      <c r="D828" t="s">
        <v>10</v>
      </c>
      <c r="E828" t="s">
        <v>15</v>
      </c>
      <c r="F828">
        <v>45299</v>
      </c>
      <c r="I828" t="s">
        <v>26</v>
      </c>
    </row>
    <row r="829" spans="1:9" x14ac:dyDescent="0.3">
      <c r="A829" t="s">
        <v>591</v>
      </c>
      <c r="B829">
        <v>45</v>
      </c>
      <c r="C829" t="s">
        <v>42</v>
      </c>
      <c r="D829" t="s">
        <v>19</v>
      </c>
      <c r="E829" t="s">
        <v>57</v>
      </c>
      <c r="F829">
        <v>45624</v>
      </c>
      <c r="G829">
        <v>14</v>
      </c>
      <c r="I829" t="s">
        <v>12</v>
      </c>
    </row>
    <row r="830" spans="1:9" x14ac:dyDescent="0.3">
      <c r="A830" t="s">
        <v>643</v>
      </c>
      <c r="B830">
        <v>47</v>
      </c>
      <c r="C830" t="s">
        <v>38</v>
      </c>
      <c r="D830" t="s">
        <v>33</v>
      </c>
      <c r="E830" t="s">
        <v>11</v>
      </c>
      <c r="F830">
        <v>45514</v>
      </c>
      <c r="H830">
        <v>1869.72</v>
      </c>
      <c r="I830" t="s">
        <v>21</v>
      </c>
    </row>
    <row r="831" spans="1:9" x14ac:dyDescent="0.3">
      <c r="A831" t="s">
        <v>644</v>
      </c>
      <c r="D831" t="s">
        <v>10</v>
      </c>
      <c r="E831" t="s">
        <v>43</v>
      </c>
      <c r="F831">
        <v>45473</v>
      </c>
      <c r="G831">
        <v>3</v>
      </c>
      <c r="I831" t="s">
        <v>21</v>
      </c>
    </row>
    <row r="832" spans="1:9" x14ac:dyDescent="0.3">
      <c r="A832" t="s">
        <v>645</v>
      </c>
      <c r="B832">
        <v>88</v>
      </c>
      <c r="C832" t="s">
        <v>42</v>
      </c>
      <c r="D832" t="s">
        <v>10</v>
      </c>
      <c r="E832" t="s">
        <v>43</v>
      </c>
      <c r="H832">
        <v>879.82</v>
      </c>
      <c r="I832" t="s">
        <v>26</v>
      </c>
    </row>
    <row r="833" spans="1:9" x14ac:dyDescent="0.3">
      <c r="A833" t="s">
        <v>484</v>
      </c>
      <c r="C833" t="s">
        <v>38</v>
      </c>
      <c r="D833" t="s">
        <v>25</v>
      </c>
      <c r="E833" t="s">
        <v>57</v>
      </c>
      <c r="F833">
        <v>45460</v>
      </c>
      <c r="H833">
        <v>1353.17</v>
      </c>
      <c r="I833" t="s">
        <v>26</v>
      </c>
    </row>
    <row r="834" spans="1:9" x14ac:dyDescent="0.3">
      <c r="A834" t="s">
        <v>646</v>
      </c>
      <c r="C834" t="s">
        <v>18</v>
      </c>
      <c r="D834" t="s">
        <v>48</v>
      </c>
      <c r="E834" t="s">
        <v>20</v>
      </c>
      <c r="F834">
        <v>45485</v>
      </c>
      <c r="I834" t="s">
        <v>12</v>
      </c>
    </row>
    <row r="835" spans="1:9" x14ac:dyDescent="0.3">
      <c r="A835" t="s">
        <v>156</v>
      </c>
      <c r="D835" t="s">
        <v>19</v>
      </c>
      <c r="E835" t="s">
        <v>57</v>
      </c>
      <c r="F835">
        <v>45456</v>
      </c>
      <c r="I835" t="s">
        <v>26</v>
      </c>
    </row>
    <row r="836" spans="1:9" x14ac:dyDescent="0.3">
      <c r="A836" t="s">
        <v>289</v>
      </c>
      <c r="C836" t="s">
        <v>18</v>
      </c>
      <c r="E836" t="s">
        <v>34</v>
      </c>
      <c r="F836">
        <v>45638</v>
      </c>
      <c r="H836">
        <v>426.17</v>
      </c>
      <c r="I836" t="s">
        <v>21</v>
      </c>
    </row>
    <row r="837" spans="1:9" x14ac:dyDescent="0.3">
      <c r="A837" t="s">
        <v>219</v>
      </c>
      <c r="B837">
        <v>85</v>
      </c>
      <c r="C837" t="s">
        <v>18</v>
      </c>
      <c r="D837" t="s">
        <v>25</v>
      </c>
      <c r="E837" t="s">
        <v>20</v>
      </c>
      <c r="F837">
        <v>45341</v>
      </c>
      <c r="I837" t="s">
        <v>21</v>
      </c>
    </row>
    <row r="838" spans="1:9" x14ac:dyDescent="0.3">
      <c r="A838" t="s">
        <v>647</v>
      </c>
      <c r="B838">
        <v>31</v>
      </c>
      <c r="C838" t="s">
        <v>42</v>
      </c>
      <c r="D838" t="s">
        <v>45</v>
      </c>
      <c r="E838" t="s">
        <v>29</v>
      </c>
      <c r="F838">
        <v>45508</v>
      </c>
    </row>
    <row r="839" spans="1:9" x14ac:dyDescent="0.3">
      <c r="A839" t="s">
        <v>97</v>
      </c>
      <c r="C839" t="s">
        <v>38</v>
      </c>
      <c r="D839" t="s">
        <v>33</v>
      </c>
      <c r="E839" t="s">
        <v>20</v>
      </c>
      <c r="F839">
        <v>45384</v>
      </c>
      <c r="I839" t="s">
        <v>16</v>
      </c>
    </row>
    <row r="840" spans="1:9" x14ac:dyDescent="0.3">
      <c r="A840" t="s">
        <v>98</v>
      </c>
      <c r="D840" t="s">
        <v>45</v>
      </c>
      <c r="E840" t="s">
        <v>11</v>
      </c>
    </row>
    <row r="841" spans="1:9" x14ac:dyDescent="0.3">
      <c r="A841" t="s">
        <v>187</v>
      </c>
      <c r="B841">
        <v>59</v>
      </c>
      <c r="C841" t="s">
        <v>18</v>
      </c>
      <c r="D841" t="s">
        <v>19</v>
      </c>
      <c r="E841" t="s">
        <v>57</v>
      </c>
      <c r="F841">
        <v>45480</v>
      </c>
      <c r="H841">
        <v>205.26</v>
      </c>
      <c r="I841" t="s">
        <v>26</v>
      </c>
    </row>
    <row r="842" spans="1:9" x14ac:dyDescent="0.3">
      <c r="A842" t="s">
        <v>250</v>
      </c>
      <c r="B842">
        <v>39</v>
      </c>
      <c r="C842" t="s">
        <v>18</v>
      </c>
      <c r="E842" t="s">
        <v>23</v>
      </c>
      <c r="F842">
        <v>45568</v>
      </c>
      <c r="I842" t="s">
        <v>26</v>
      </c>
    </row>
    <row r="843" spans="1:9" x14ac:dyDescent="0.3">
      <c r="A843" t="s">
        <v>648</v>
      </c>
      <c r="B843">
        <v>83</v>
      </c>
      <c r="D843" t="s">
        <v>51</v>
      </c>
      <c r="E843" t="s">
        <v>23</v>
      </c>
      <c r="F843">
        <v>45376</v>
      </c>
      <c r="H843">
        <v>1295.1500000000001</v>
      </c>
    </row>
    <row r="844" spans="1:9" x14ac:dyDescent="0.3">
      <c r="A844" t="s">
        <v>649</v>
      </c>
      <c r="C844" t="s">
        <v>38</v>
      </c>
      <c r="D844" t="s">
        <v>33</v>
      </c>
      <c r="E844" t="s">
        <v>57</v>
      </c>
      <c r="F844">
        <v>45549</v>
      </c>
      <c r="I844" t="s">
        <v>16</v>
      </c>
    </row>
    <row r="845" spans="1:9" x14ac:dyDescent="0.3">
      <c r="A845" t="s">
        <v>650</v>
      </c>
      <c r="B845">
        <v>80</v>
      </c>
      <c r="C845" t="s">
        <v>18</v>
      </c>
      <c r="E845" t="s">
        <v>20</v>
      </c>
      <c r="F845">
        <v>45652</v>
      </c>
      <c r="G845">
        <v>9</v>
      </c>
      <c r="H845">
        <v>1920.54</v>
      </c>
      <c r="I845" t="s">
        <v>16</v>
      </c>
    </row>
    <row r="846" spans="1:9" x14ac:dyDescent="0.3">
      <c r="A846" t="s">
        <v>144</v>
      </c>
      <c r="B846">
        <v>26</v>
      </c>
      <c r="C846" t="s">
        <v>38</v>
      </c>
      <c r="E846" t="s">
        <v>15</v>
      </c>
      <c r="F846">
        <v>45430</v>
      </c>
      <c r="I846" t="s">
        <v>26</v>
      </c>
    </row>
    <row r="847" spans="1:9" x14ac:dyDescent="0.3">
      <c r="A847" t="s">
        <v>40</v>
      </c>
      <c r="B847">
        <v>30</v>
      </c>
      <c r="D847" t="s">
        <v>19</v>
      </c>
      <c r="E847" t="s">
        <v>23</v>
      </c>
      <c r="F847">
        <v>45467</v>
      </c>
      <c r="I847" t="s">
        <v>26</v>
      </c>
    </row>
    <row r="848" spans="1:9" x14ac:dyDescent="0.3">
      <c r="A848" t="s">
        <v>651</v>
      </c>
      <c r="C848" t="s">
        <v>28</v>
      </c>
      <c r="D848" t="s">
        <v>10</v>
      </c>
      <c r="E848" t="s">
        <v>43</v>
      </c>
      <c r="F848">
        <v>45585</v>
      </c>
      <c r="H848">
        <v>712.1</v>
      </c>
    </row>
    <row r="849" spans="1:9" x14ac:dyDescent="0.3">
      <c r="A849" t="s">
        <v>24</v>
      </c>
      <c r="B849">
        <v>58</v>
      </c>
      <c r="C849" t="s">
        <v>42</v>
      </c>
      <c r="D849" t="s">
        <v>51</v>
      </c>
      <c r="E849" t="s">
        <v>23</v>
      </c>
      <c r="F849">
        <v>45420</v>
      </c>
      <c r="I849" t="s">
        <v>26</v>
      </c>
    </row>
    <row r="850" spans="1:9" x14ac:dyDescent="0.3">
      <c r="A850" t="s">
        <v>652</v>
      </c>
      <c r="C850" t="s">
        <v>42</v>
      </c>
      <c r="D850" t="s">
        <v>48</v>
      </c>
      <c r="E850" t="s">
        <v>57</v>
      </c>
      <c r="I850" t="s">
        <v>16</v>
      </c>
    </row>
    <row r="851" spans="1:9" x14ac:dyDescent="0.3">
      <c r="A851" t="s">
        <v>653</v>
      </c>
      <c r="B851">
        <v>29</v>
      </c>
      <c r="C851" t="s">
        <v>18</v>
      </c>
      <c r="D851" t="s">
        <v>48</v>
      </c>
      <c r="E851" t="s">
        <v>23</v>
      </c>
      <c r="F851">
        <v>45297</v>
      </c>
      <c r="G851">
        <v>15</v>
      </c>
      <c r="I851" t="s">
        <v>12</v>
      </c>
    </row>
    <row r="852" spans="1:9" x14ac:dyDescent="0.3">
      <c r="A852" t="s">
        <v>345</v>
      </c>
      <c r="B852">
        <v>26</v>
      </c>
      <c r="C852" t="s">
        <v>28</v>
      </c>
      <c r="D852" t="s">
        <v>48</v>
      </c>
      <c r="E852" t="s">
        <v>29</v>
      </c>
      <c r="F852">
        <v>45420</v>
      </c>
      <c r="G852">
        <v>3</v>
      </c>
      <c r="H852">
        <v>421.54</v>
      </c>
      <c r="I852" t="s">
        <v>16</v>
      </c>
    </row>
    <row r="853" spans="1:9" x14ac:dyDescent="0.3">
      <c r="A853" t="s">
        <v>654</v>
      </c>
      <c r="C853" t="s">
        <v>38</v>
      </c>
      <c r="E853" t="s">
        <v>23</v>
      </c>
      <c r="F853">
        <v>45408</v>
      </c>
    </row>
    <row r="854" spans="1:9" x14ac:dyDescent="0.3">
      <c r="A854" t="s">
        <v>655</v>
      </c>
      <c r="C854" t="s">
        <v>42</v>
      </c>
      <c r="D854" t="s">
        <v>14</v>
      </c>
      <c r="E854" t="s">
        <v>29</v>
      </c>
      <c r="G854">
        <v>1</v>
      </c>
      <c r="I854" t="s">
        <v>12</v>
      </c>
    </row>
    <row r="855" spans="1:9" x14ac:dyDescent="0.3">
      <c r="A855" t="s">
        <v>127</v>
      </c>
      <c r="C855" t="s">
        <v>18</v>
      </c>
      <c r="D855" t="s">
        <v>45</v>
      </c>
      <c r="E855" t="s">
        <v>57</v>
      </c>
      <c r="I855" t="s">
        <v>21</v>
      </c>
    </row>
    <row r="856" spans="1:9" x14ac:dyDescent="0.3">
      <c r="A856" t="s">
        <v>656</v>
      </c>
      <c r="D856" t="s">
        <v>51</v>
      </c>
      <c r="E856" t="s">
        <v>34</v>
      </c>
      <c r="I856" t="s">
        <v>16</v>
      </c>
    </row>
    <row r="857" spans="1:9" x14ac:dyDescent="0.3">
      <c r="A857" t="s">
        <v>202</v>
      </c>
      <c r="C857" t="s">
        <v>28</v>
      </c>
      <c r="D857" t="s">
        <v>25</v>
      </c>
      <c r="E857" t="s">
        <v>43</v>
      </c>
      <c r="F857">
        <v>45565</v>
      </c>
      <c r="H857">
        <v>66.52</v>
      </c>
    </row>
    <row r="858" spans="1:9" x14ac:dyDescent="0.3">
      <c r="A858" t="s">
        <v>486</v>
      </c>
      <c r="D858" t="s">
        <v>33</v>
      </c>
      <c r="E858" t="s">
        <v>57</v>
      </c>
      <c r="I858" t="s">
        <v>12</v>
      </c>
    </row>
    <row r="859" spans="1:9" x14ac:dyDescent="0.3">
      <c r="A859" t="s">
        <v>657</v>
      </c>
      <c r="C859" t="s">
        <v>38</v>
      </c>
      <c r="D859" t="s">
        <v>45</v>
      </c>
      <c r="E859" t="s">
        <v>34</v>
      </c>
      <c r="I859" t="s">
        <v>16</v>
      </c>
    </row>
    <row r="860" spans="1:9" x14ac:dyDescent="0.3">
      <c r="A860" t="s">
        <v>634</v>
      </c>
      <c r="B860">
        <v>31</v>
      </c>
      <c r="C860" t="s">
        <v>28</v>
      </c>
      <c r="E860" t="s">
        <v>15</v>
      </c>
      <c r="F860">
        <v>45312</v>
      </c>
      <c r="H860">
        <v>1156.93</v>
      </c>
      <c r="I860" t="s">
        <v>21</v>
      </c>
    </row>
    <row r="861" spans="1:9" x14ac:dyDescent="0.3">
      <c r="A861" t="s">
        <v>97</v>
      </c>
      <c r="C861" t="s">
        <v>28</v>
      </c>
      <c r="D861" t="s">
        <v>10</v>
      </c>
      <c r="E861" t="s">
        <v>15</v>
      </c>
      <c r="F861">
        <v>45511</v>
      </c>
      <c r="I861" t="s">
        <v>12</v>
      </c>
    </row>
    <row r="862" spans="1:9" x14ac:dyDescent="0.3">
      <c r="A862" t="s">
        <v>425</v>
      </c>
      <c r="C862" t="s">
        <v>38</v>
      </c>
      <c r="D862" t="s">
        <v>45</v>
      </c>
      <c r="E862" t="s">
        <v>43</v>
      </c>
    </row>
    <row r="863" spans="1:9" x14ac:dyDescent="0.3">
      <c r="A863" t="s">
        <v>153</v>
      </c>
      <c r="C863" t="s">
        <v>18</v>
      </c>
      <c r="D863" t="s">
        <v>19</v>
      </c>
      <c r="E863" t="s">
        <v>20</v>
      </c>
      <c r="F863">
        <v>45296</v>
      </c>
      <c r="H863">
        <v>529.98</v>
      </c>
      <c r="I863" t="s">
        <v>12</v>
      </c>
    </row>
    <row r="864" spans="1:9" x14ac:dyDescent="0.3">
      <c r="A864" t="s">
        <v>599</v>
      </c>
      <c r="B864">
        <v>27</v>
      </c>
      <c r="C864" t="s">
        <v>38</v>
      </c>
      <c r="D864" t="s">
        <v>19</v>
      </c>
      <c r="E864" t="s">
        <v>15</v>
      </c>
      <c r="F864">
        <v>45371</v>
      </c>
      <c r="G864">
        <v>12</v>
      </c>
      <c r="H864">
        <v>244.12</v>
      </c>
    </row>
    <row r="865" spans="1:9" x14ac:dyDescent="0.3">
      <c r="A865" t="s">
        <v>292</v>
      </c>
      <c r="C865" t="s">
        <v>42</v>
      </c>
      <c r="D865" t="s">
        <v>51</v>
      </c>
      <c r="E865" t="s">
        <v>23</v>
      </c>
      <c r="F865">
        <v>45465</v>
      </c>
      <c r="G865">
        <v>13</v>
      </c>
    </row>
    <row r="866" spans="1:9" x14ac:dyDescent="0.3">
      <c r="A866" t="s">
        <v>658</v>
      </c>
      <c r="C866" t="s">
        <v>38</v>
      </c>
      <c r="D866" t="s">
        <v>10</v>
      </c>
      <c r="E866" t="s">
        <v>57</v>
      </c>
      <c r="F866">
        <v>45644</v>
      </c>
      <c r="I866" t="s">
        <v>21</v>
      </c>
    </row>
    <row r="867" spans="1:9" x14ac:dyDescent="0.3">
      <c r="A867" t="s">
        <v>597</v>
      </c>
      <c r="C867" t="s">
        <v>38</v>
      </c>
      <c r="D867" t="s">
        <v>33</v>
      </c>
      <c r="E867" t="s">
        <v>11</v>
      </c>
      <c r="H867">
        <v>846.89</v>
      </c>
      <c r="I867" t="s">
        <v>16</v>
      </c>
    </row>
    <row r="868" spans="1:9" x14ac:dyDescent="0.3">
      <c r="A868" t="s">
        <v>320</v>
      </c>
      <c r="C868" t="s">
        <v>42</v>
      </c>
      <c r="D868" t="s">
        <v>45</v>
      </c>
      <c r="E868" t="s">
        <v>57</v>
      </c>
      <c r="F868">
        <v>45300</v>
      </c>
      <c r="H868">
        <v>308.39999999999998</v>
      </c>
      <c r="I868" t="s">
        <v>21</v>
      </c>
    </row>
    <row r="869" spans="1:9" x14ac:dyDescent="0.3">
      <c r="A869" t="s">
        <v>80</v>
      </c>
      <c r="B869">
        <v>57</v>
      </c>
      <c r="C869" t="s">
        <v>18</v>
      </c>
      <c r="D869" t="s">
        <v>25</v>
      </c>
      <c r="E869" t="s">
        <v>11</v>
      </c>
      <c r="F869">
        <v>45543</v>
      </c>
      <c r="G869">
        <v>4</v>
      </c>
      <c r="I869" t="s">
        <v>26</v>
      </c>
    </row>
    <row r="870" spans="1:9" x14ac:dyDescent="0.3">
      <c r="A870" t="s">
        <v>214</v>
      </c>
      <c r="B870">
        <v>29</v>
      </c>
      <c r="C870" t="s">
        <v>42</v>
      </c>
      <c r="D870" t="s">
        <v>45</v>
      </c>
      <c r="E870" t="s">
        <v>57</v>
      </c>
      <c r="F870">
        <v>45421</v>
      </c>
      <c r="I870" t="s">
        <v>26</v>
      </c>
    </row>
    <row r="871" spans="1:9" x14ac:dyDescent="0.3">
      <c r="A871" t="s">
        <v>659</v>
      </c>
      <c r="B871">
        <v>60</v>
      </c>
      <c r="C871" t="s">
        <v>38</v>
      </c>
      <c r="D871" t="s">
        <v>33</v>
      </c>
      <c r="E871" t="s">
        <v>20</v>
      </c>
      <c r="F871">
        <v>45483</v>
      </c>
      <c r="I871" t="s">
        <v>26</v>
      </c>
    </row>
    <row r="872" spans="1:9" x14ac:dyDescent="0.3">
      <c r="A872" t="s">
        <v>660</v>
      </c>
      <c r="C872" t="s">
        <v>42</v>
      </c>
      <c r="D872" t="s">
        <v>33</v>
      </c>
      <c r="E872" t="s">
        <v>43</v>
      </c>
      <c r="F872">
        <v>45332</v>
      </c>
      <c r="G872">
        <v>20</v>
      </c>
      <c r="H872">
        <v>1122.29</v>
      </c>
      <c r="I872" t="s">
        <v>26</v>
      </c>
    </row>
    <row r="873" spans="1:9" x14ac:dyDescent="0.3">
      <c r="A873" t="s">
        <v>661</v>
      </c>
      <c r="D873" t="s">
        <v>14</v>
      </c>
      <c r="E873" t="s">
        <v>43</v>
      </c>
      <c r="F873">
        <v>45352</v>
      </c>
      <c r="I873" t="s">
        <v>26</v>
      </c>
    </row>
    <row r="874" spans="1:9" x14ac:dyDescent="0.3">
      <c r="A874" t="s">
        <v>181</v>
      </c>
      <c r="B874">
        <v>95</v>
      </c>
      <c r="C874" t="s">
        <v>28</v>
      </c>
      <c r="D874" t="s">
        <v>33</v>
      </c>
      <c r="E874" t="s">
        <v>15</v>
      </c>
      <c r="F874">
        <v>45553</v>
      </c>
      <c r="I874" t="s">
        <v>26</v>
      </c>
    </row>
    <row r="875" spans="1:9" x14ac:dyDescent="0.3">
      <c r="A875" t="s">
        <v>581</v>
      </c>
      <c r="B875">
        <v>45</v>
      </c>
      <c r="C875" t="s">
        <v>28</v>
      </c>
      <c r="D875" t="s">
        <v>51</v>
      </c>
      <c r="E875" t="s">
        <v>57</v>
      </c>
      <c r="F875">
        <v>45577</v>
      </c>
      <c r="G875">
        <v>12</v>
      </c>
      <c r="I875" t="s">
        <v>16</v>
      </c>
    </row>
    <row r="876" spans="1:9" x14ac:dyDescent="0.3">
      <c r="A876" t="s">
        <v>349</v>
      </c>
      <c r="B876">
        <v>76</v>
      </c>
      <c r="C876" t="s">
        <v>38</v>
      </c>
      <c r="D876" t="s">
        <v>25</v>
      </c>
      <c r="E876" t="s">
        <v>57</v>
      </c>
      <c r="F876">
        <v>45417</v>
      </c>
      <c r="H876">
        <v>320.10000000000002</v>
      </c>
      <c r="I876" t="s">
        <v>26</v>
      </c>
    </row>
    <row r="877" spans="1:9" x14ac:dyDescent="0.3">
      <c r="A877" t="s">
        <v>662</v>
      </c>
      <c r="C877" t="s">
        <v>18</v>
      </c>
      <c r="E877" t="s">
        <v>34</v>
      </c>
      <c r="F877">
        <v>45655</v>
      </c>
      <c r="G877">
        <v>18</v>
      </c>
      <c r="I877" t="s">
        <v>16</v>
      </c>
    </row>
    <row r="878" spans="1:9" x14ac:dyDescent="0.3">
      <c r="A878" t="s">
        <v>307</v>
      </c>
      <c r="C878" t="s">
        <v>28</v>
      </c>
      <c r="D878" t="s">
        <v>19</v>
      </c>
      <c r="E878" t="s">
        <v>57</v>
      </c>
      <c r="G878">
        <v>16</v>
      </c>
    </row>
    <row r="879" spans="1:9" x14ac:dyDescent="0.3">
      <c r="A879" t="s">
        <v>545</v>
      </c>
      <c r="B879">
        <v>29</v>
      </c>
      <c r="C879" t="s">
        <v>28</v>
      </c>
      <c r="D879" t="s">
        <v>19</v>
      </c>
      <c r="E879" t="s">
        <v>23</v>
      </c>
      <c r="F879">
        <v>45429</v>
      </c>
      <c r="I879" t="s">
        <v>26</v>
      </c>
    </row>
    <row r="880" spans="1:9" x14ac:dyDescent="0.3">
      <c r="A880" t="s">
        <v>663</v>
      </c>
      <c r="B880">
        <v>41</v>
      </c>
      <c r="C880" t="s">
        <v>18</v>
      </c>
      <c r="E880" t="s">
        <v>15</v>
      </c>
      <c r="F880">
        <v>45572</v>
      </c>
      <c r="I880" t="s">
        <v>16</v>
      </c>
    </row>
    <row r="881" spans="1:9" x14ac:dyDescent="0.3">
      <c r="A881" t="s">
        <v>664</v>
      </c>
      <c r="C881" t="s">
        <v>28</v>
      </c>
      <c r="D881" t="s">
        <v>51</v>
      </c>
      <c r="E881" t="s">
        <v>23</v>
      </c>
      <c r="F881">
        <v>45370</v>
      </c>
      <c r="G881">
        <v>8</v>
      </c>
      <c r="I881" t="s">
        <v>21</v>
      </c>
    </row>
    <row r="882" spans="1:9" x14ac:dyDescent="0.3">
      <c r="A882" t="s">
        <v>111</v>
      </c>
      <c r="B882">
        <v>25</v>
      </c>
      <c r="C882" t="s">
        <v>42</v>
      </c>
      <c r="D882" t="s">
        <v>25</v>
      </c>
      <c r="E882" t="s">
        <v>11</v>
      </c>
      <c r="F882">
        <v>45453</v>
      </c>
    </row>
    <row r="883" spans="1:9" x14ac:dyDescent="0.3">
      <c r="A883" t="s">
        <v>665</v>
      </c>
      <c r="C883" t="s">
        <v>28</v>
      </c>
      <c r="D883" t="s">
        <v>51</v>
      </c>
      <c r="E883" t="s">
        <v>20</v>
      </c>
      <c r="F883">
        <v>45640</v>
      </c>
      <c r="I883" t="s">
        <v>21</v>
      </c>
    </row>
    <row r="884" spans="1:9" x14ac:dyDescent="0.3">
      <c r="A884" t="s">
        <v>666</v>
      </c>
      <c r="C884" t="s">
        <v>18</v>
      </c>
      <c r="D884" t="s">
        <v>19</v>
      </c>
      <c r="E884" t="s">
        <v>23</v>
      </c>
      <c r="F884">
        <v>45463</v>
      </c>
      <c r="H884">
        <v>1590.36</v>
      </c>
      <c r="I884" t="s">
        <v>16</v>
      </c>
    </row>
    <row r="885" spans="1:9" x14ac:dyDescent="0.3">
      <c r="A885" t="s">
        <v>604</v>
      </c>
      <c r="C885" t="s">
        <v>42</v>
      </c>
      <c r="D885" t="s">
        <v>51</v>
      </c>
      <c r="E885" t="s">
        <v>34</v>
      </c>
      <c r="F885">
        <v>45619</v>
      </c>
      <c r="H885">
        <v>813.24</v>
      </c>
      <c r="I885" t="s">
        <v>16</v>
      </c>
    </row>
    <row r="886" spans="1:9" x14ac:dyDescent="0.3">
      <c r="A886" t="s">
        <v>667</v>
      </c>
      <c r="B886">
        <v>76</v>
      </c>
      <c r="C886" t="s">
        <v>28</v>
      </c>
      <c r="D886" t="s">
        <v>48</v>
      </c>
      <c r="E886" t="s">
        <v>29</v>
      </c>
      <c r="F886">
        <v>45406</v>
      </c>
      <c r="G886">
        <v>15</v>
      </c>
      <c r="I886" t="s">
        <v>16</v>
      </c>
    </row>
    <row r="887" spans="1:9" x14ac:dyDescent="0.3">
      <c r="A887" t="s">
        <v>664</v>
      </c>
      <c r="C887" t="s">
        <v>28</v>
      </c>
      <c r="D887" t="s">
        <v>48</v>
      </c>
      <c r="E887" t="s">
        <v>29</v>
      </c>
      <c r="F887">
        <v>45552</v>
      </c>
    </row>
    <row r="888" spans="1:9" x14ac:dyDescent="0.3">
      <c r="A888" t="s">
        <v>359</v>
      </c>
      <c r="B888">
        <v>58</v>
      </c>
      <c r="C888" t="s">
        <v>18</v>
      </c>
      <c r="D888" t="s">
        <v>14</v>
      </c>
      <c r="E888" t="s">
        <v>57</v>
      </c>
      <c r="F888">
        <v>45448</v>
      </c>
      <c r="H888">
        <v>51.41</v>
      </c>
      <c r="I888" t="s">
        <v>21</v>
      </c>
    </row>
    <row r="889" spans="1:9" x14ac:dyDescent="0.3">
      <c r="A889" t="s">
        <v>668</v>
      </c>
      <c r="B889">
        <v>67</v>
      </c>
      <c r="C889" t="s">
        <v>42</v>
      </c>
      <c r="E889" t="s">
        <v>57</v>
      </c>
      <c r="F889">
        <v>45533</v>
      </c>
      <c r="I889" t="s">
        <v>16</v>
      </c>
    </row>
    <row r="890" spans="1:9" x14ac:dyDescent="0.3">
      <c r="A890" t="s">
        <v>639</v>
      </c>
      <c r="B890">
        <v>71</v>
      </c>
      <c r="D890" t="s">
        <v>33</v>
      </c>
      <c r="E890" t="s">
        <v>11</v>
      </c>
      <c r="F890">
        <v>45584</v>
      </c>
      <c r="H890">
        <v>1969.63</v>
      </c>
    </row>
    <row r="891" spans="1:9" x14ac:dyDescent="0.3">
      <c r="A891" t="s">
        <v>669</v>
      </c>
      <c r="C891" t="s">
        <v>18</v>
      </c>
      <c r="D891" t="s">
        <v>19</v>
      </c>
      <c r="E891" t="s">
        <v>57</v>
      </c>
      <c r="F891">
        <v>45585</v>
      </c>
      <c r="I891" t="s">
        <v>16</v>
      </c>
    </row>
    <row r="892" spans="1:9" x14ac:dyDescent="0.3">
      <c r="A892" t="s">
        <v>489</v>
      </c>
      <c r="C892" t="s">
        <v>18</v>
      </c>
      <c r="D892" t="s">
        <v>10</v>
      </c>
      <c r="E892" t="s">
        <v>43</v>
      </c>
      <c r="F892">
        <v>45508</v>
      </c>
      <c r="I892" t="s">
        <v>16</v>
      </c>
    </row>
    <row r="893" spans="1:9" x14ac:dyDescent="0.3">
      <c r="A893" t="s">
        <v>323</v>
      </c>
      <c r="C893" t="s">
        <v>38</v>
      </c>
      <c r="D893" t="s">
        <v>48</v>
      </c>
      <c r="E893" t="s">
        <v>20</v>
      </c>
      <c r="F893">
        <v>45524</v>
      </c>
      <c r="I893" t="s">
        <v>16</v>
      </c>
    </row>
    <row r="894" spans="1:9" x14ac:dyDescent="0.3">
      <c r="A894" t="s">
        <v>609</v>
      </c>
      <c r="C894" t="s">
        <v>18</v>
      </c>
      <c r="D894" t="s">
        <v>33</v>
      </c>
      <c r="E894" t="s">
        <v>11</v>
      </c>
      <c r="I894" t="s">
        <v>12</v>
      </c>
    </row>
    <row r="895" spans="1:9" x14ac:dyDescent="0.3">
      <c r="A895" t="s">
        <v>670</v>
      </c>
      <c r="B895">
        <v>33</v>
      </c>
      <c r="C895" t="s">
        <v>18</v>
      </c>
      <c r="E895" t="s">
        <v>57</v>
      </c>
      <c r="F895">
        <v>45381</v>
      </c>
      <c r="H895">
        <v>926.76</v>
      </c>
    </row>
    <row r="896" spans="1:9" x14ac:dyDescent="0.3">
      <c r="A896" t="s">
        <v>566</v>
      </c>
      <c r="B896">
        <v>53</v>
      </c>
      <c r="C896" t="s">
        <v>18</v>
      </c>
      <c r="D896" t="s">
        <v>14</v>
      </c>
      <c r="E896" t="s">
        <v>11</v>
      </c>
      <c r="F896">
        <v>45357</v>
      </c>
      <c r="H896">
        <v>1359.29</v>
      </c>
      <c r="I896" t="s">
        <v>26</v>
      </c>
    </row>
    <row r="897" spans="1:9" x14ac:dyDescent="0.3">
      <c r="A897" t="s">
        <v>474</v>
      </c>
      <c r="B897">
        <v>78</v>
      </c>
      <c r="C897" t="s">
        <v>28</v>
      </c>
      <c r="D897" t="s">
        <v>14</v>
      </c>
      <c r="E897" t="s">
        <v>43</v>
      </c>
      <c r="F897">
        <v>45510</v>
      </c>
      <c r="I897" t="s">
        <v>21</v>
      </c>
    </row>
    <row r="898" spans="1:9" x14ac:dyDescent="0.3">
      <c r="A898" t="s">
        <v>671</v>
      </c>
      <c r="C898" t="s">
        <v>42</v>
      </c>
      <c r="D898" t="s">
        <v>45</v>
      </c>
      <c r="E898" t="s">
        <v>29</v>
      </c>
      <c r="F898">
        <v>45607</v>
      </c>
      <c r="G898">
        <v>15</v>
      </c>
      <c r="H898">
        <v>205.21</v>
      </c>
    </row>
    <row r="899" spans="1:9" x14ac:dyDescent="0.3">
      <c r="A899" t="s">
        <v>507</v>
      </c>
      <c r="B899">
        <v>92</v>
      </c>
      <c r="C899" t="s">
        <v>28</v>
      </c>
      <c r="E899" t="s">
        <v>29</v>
      </c>
      <c r="F899">
        <v>45524</v>
      </c>
      <c r="I899" t="s">
        <v>16</v>
      </c>
    </row>
    <row r="900" spans="1:9" x14ac:dyDescent="0.3">
      <c r="A900" t="s">
        <v>672</v>
      </c>
      <c r="D900" t="s">
        <v>33</v>
      </c>
      <c r="E900" t="s">
        <v>34</v>
      </c>
      <c r="F900">
        <v>45412</v>
      </c>
      <c r="G900">
        <v>1</v>
      </c>
      <c r="H900">
        <v>1836.03</v>
      </c>
      <c r="I900" t="s">
        <v>12</v>
      </c>
    </row>
    <row r="901" spans="1:9" x14ac:dyDescent="0.3">
      <c r="A901" t="s">
        <v>122</v>
      </c>
      <c r="C901" t="s">
        <v>38</v>
      </c>
      <c r="D901" t="s">
        <v>45</v>
      </c>
      <c r="E901" t="s">
        <v>23</v>
      </c>
      <c r="F901">
        <v>45384</v>
      </c>
      <c r="H901">
        <v>1963.57</v>
      </c>
      <c r="I901" t="s">
        <v>16</v>
      </c>
    </row>
    <row r="902" spans="1:9" x14ac:dyDescent="0.3">
      <c r="A902" t="s">
        <v>673</v>
      </c>
      <c r="B902">
        <v>81</v>
      </c>
      <c r="C902" t="s">
        <v>38</v>
      </c>
      <c r="D902" t="s">
        <v>33</v>
      </c>
      <c r="E902" t="s">
        <v>20</v>
      </c>
      <c r="F902">
        <v>45451</v>
      </c>
      <c r="I902" t="s">
        <v>16</v>
      </c>
    </row>
    <row r="903" spans="1:9" x14ac:dyDescent="0.3">
      <c r="A903" t="s">
        <v>399</v>
      </c>
      <c r="C903" t="s">
        <v>38</v>
      </c>
      <c r="D903" t="s">
        <v>19</v>
      </c>
      <c r="E903" t="s">
        <v>23</v>
      </c>
      <c r="F903">
        <v>45612</v>
      </c>
      <c r="H903">
        <v>988.14</v>
      </c>
      <c r="I903" t="s">
        <v>26</v>
      </c>
    </row>
    <row r="904" spans="1:9" x14ac:dyDescent="0.3">
      <c r="A904" t="s">
        <v>674</v>
      </c>
      <c r="C904" t="s">
        <v>42</v>
      </c>
      <c r="D904" t="s">
        <v>10</v>
      </c>
      <c r="E904" t="s">
        <v>43</v>
      </c>
      <c r="F904">
        <v>45357</v>
      </c>
      <c r="H904">
        <v>1809.21</v>
      </c>
      <c r="I904" t="s">
        <v>12</v>
      </c>
    </row>
    <row r="905" spans="1:9" x14ac:dyDescent="0.3">
      <c r="A905" t="s">
        <v>675</v>
      </c>
      <c r="B905">
        <v>76</v>
      </c>
      <c r="C905" t="s">
        <v>38</v>
      </c>
      <c r="E905" t="s">
        <v>57</v>
      </c>
      <c r="F905">
        <v>45387</v>
      </c>
      <c r="G905">
        <v>2</v>
      </c>
      <c r="I905" t="s">
        <v>26</v>
      </c>
    </row>
    <row r="906" spans="1:9" x14ac:dyDescent="0.3">
      <c r="A906" t="s">
        <v>676</v>
      </c>
      <c r="B906">
        <v>54</v>
      </c>
      <c r="C906" t="s">
        <v>42</v>
      </c>
      <c r="D906" t="s">
        <v>10</v>
      </c>
      <c r="E906" t="s">
        <v>29</v>
      </c>
      <c r="F906">
        <v>45430</v>
      </c>
      <c r="I906" t="s">
        <v>21</v>
      </c>
    </row>
    <row r="907" spans="1:9" x14ac:dyDescent="0.3">
      <c r="A907" t="s">
        <v>677</v>
      </c>
      <c r="B907">
        <v>77</v>
      </c>
      <c r="C907" t="s">
        <v>38</v>
      </c>
      <c r="D907" t="s">
        <v>33</v>
      </c>
      <c r="E907" t="s">
        <v>29</v>
      </c>
      <c r="F907">
        <v>45341</v>
      </c>
      <c r="I907" t="s">
        <v>16</v>
      </c>
    </row>
    <row r="908" spans="1:9" x14ac:dyDescent="0.3">
      <c r="A908" t="s">
        <v>202</v>
      </c>
      <c r="C908" t="s">
        <v>28</v>
      </c>
      <c r="D908" t="s">
        <v>19</v>
      </c>
      <c r="E908" t="s">
        <v>29</v>
      </c>
      <c r="H908">
        <v>1827.5</v>
      </c>
      <c r="I908" t="s">
        <v>12</v>
      </c>
    </row>
    <row r="909" spans="1:9" x14ac:dyDescent="0.3">
      <c r="A909" t="s">
        <v>678</v>
      </c>
      <c r="B909">
        <v>23</v>
      </c>
      <c r="C909" t="s">
        <v>38</v>
      </c>
      <c r="D909" t="s">
        <v>45</v>
      </c>
      <c r="E909" t="s">
        <v>57</v>
      </c>
      <c r="F909">
        <v>45569</v>
      </c>
      <c r="G909">
        <v>3</v>
      </c>
      <c r="I909" t="s">
        <v>26</v>
      </c>
    </row>
    <row r="910" spans="1:9" x14ac:dyDescent="0.3">
      <c r="A910" t="s">
        <v>679</v>
      </c>
      <c r="C910" t="s">
        <v>18</v>
      </c>
      <c r="D910" t="s">
        <v>14</v>
      </c>
      <c r="E910" t="s">
        <v>11</v>
      </c>
      <c r="F910">
        <v>45593</v>
      </c>
      <c r="G910">
        <v>4</v>
      </c>
      <c r="I910" t="s">
        <v>12</v>
      </c>
    </row>
    <row r="911" spans="1:9" x14ac:dyDescent="0.3">
      <c r="A911" t="s">
        <v>370</v>
      </c>
      <c r="C911" t="s">
        <v>28</v>
      </c>
      <c r="D911" t="s">
        <v>19</v>
      </c>
      <c r="E911" t="s">
        <v>15</v>
      </c>
      <c r="F911">
        <v>45446</v>
      </c>
      <c r="H911">
        <v>1366.89</v>
      </c>
      <c r="I911" t="s">
        <v>16</v>
      </c>
    </row>
    <row r="912" spans="1:9" x14ac:dyDescent="0.3">
      <c r="A912" t="s">
        <v>680</v>
      </c>
      <c r="B912">
        <v>29</v>
      </c>
      <c r="C912" t="s">
        <v>28</v>
      </c>
      <c r="D912" t="s">
        <v>33</v>
      </c>
      <c r="E912" t="s">
        <v>29</v>
      </c>
      <c r="F912">
        <v>45572</v>
      </c>
      <c r="I912" t="s">
        <v>21</v>
      </c>
    </row>
    <row r="913" spans="1:9" x14ac:dyDescent="0.3">
      <c r="A913" t="s">
        <v>550</v>
      </c>
      <c r="B913">
        <v>82</v>
      </c>
      <c r="D913" t="s">
        <v>51</v>
      </c>
      <c r="E913" t="s">
        <v>34</v>
      </c>
      <c r="F913">
        <v>45331</v>
      </c>
      <c r="H913">
        <v>856.11</v>
      </c>
      <c r="I913" t="s">
        <v>16</v>
      </c>
    </row>
    <row r="914" spans="1:9" x14ac:dyDescent="0.3">
      <c r="A914" t="s">
        <v>681</v>
      </c>
      <c r="C914" t="s">
        <v>28</v>
      </c>
      <c r="D914" t="s">
        <v>25</v>
      </c>
      <c r="E914" t="s">
        <v>43</v>
      </c>
      <c r="F914">
        <v>45564</v>
      </c>
      <c r="G914">
        <v>19</v>
      </c>
      <c r="H914">
        <v>134.55000000000001</v>
      </c>
      <c r="I914" t="s">
        <v>26</v>
      </c>
    </row>
    <row r="915" spans="1:9" x14ac:dyDescent="0.3">
      <c r="A915" t="s">
        <v>619</v>
      </c>
      <c r="B915">
        <v>22</v>
      </c>
      <c r="C915" t="s">
        <v>28</v>
      </c>
      <c r="D915" t="s">
        <v>45</v>
      </c>
      <c r="E915" t="s">
        <v>34</v>
      </c>
      <c r="F915">
        <v>45300</v>
      </c>
      <c r="G915">
        <v>15</v>
      </c>
    </row>
    <row r="916" spans="1:9" x14ac:dyDescent="0.3">
      <c r="A916" t="s">
        <v>389</v>
      </c>
      <c r="C916" t="s">
        <v>18</v>
      </c>
      <c r="D916" t="s">
        <v>48</v>
      </c>
      <c r="E916" t="s">
        <v>20</v>
      </c>
      <c r="F916">
        <v>45426</v>
      </c>
      <c r="G916">
        <v>8</v>
      </c>
      <c r="H916">
        <v>423.26</v>
      </c>
      <c r="I916" t="s">
        <v>12</v>
      </c>
    </row>
    <row r="917" spans="1:9" x14ac:dyDescent="0.3">
      <c r="A917" t="s">
        <v>97</v>
      </c>
      <c r="C917" t="s">
        <v>42</v>
      </c>
      <c r="D917" t="s">
        <v>33</v>
      </c>
      <c r="E917" t="s">
        <v>11</v>
      </c>
      <c r="F917">
        <v>45642</v>
      </c>
      <c r="H917">
        <v>680.47</v>
      </c>
      <c r="I917" t="s">
        <v>21</v>
      </c>
    </row>
    <row r="918" spans="1:9" x14ac:dyDescent="0.3">
      <c r="A918" t="s">
        <v>682</v>
      </c>
      <c r="D918" t="s">
        <v>14</v>
      </c>
      <c r="E918" t="s">
        <v>57</v>
      </c>
      <c r="F918">
        <v>45523</v>
      </c>
      <c r="G918">
        <v>7</v>
      </c>
    </row>
    <row r="919" spans="1:9" x14ac:dyDescent="0.3">
      <c r="A919" t="s">
        <v>683</v>
      </c>
      <c r="B919">
        <v>79</v>
      </c>
      <c r="C919" t="s">
        <v>42</v>
      </c>
      <c r="D919" t="s">
        <v>19</v>
      </c>
      <c r="E919" t="s">
        <v>11</v>
      </c>
      <c r="F919">
        <v>45293</v>
      </c>
      <c r="G919">
        <v>8</v>
      </c>
      <c r="I919" t="s">
        <v>16</v>
      </c>
    </row>
    <row r="920" spans="1:9" x14ac:dyDescent="0.3">
      <c r="A920" t="s">
        <v>684</v>
      </c>
      <c r="C920" t="s">
        <v>18</v>
      </c>
      <c r="D920" t="s">
        <v>14</v>
      </c>
      <c r="E920" t="s">
        <v>15</v>
      </c>
      <c r="H920">
        <v>860.62</v>
      </c>
    </row>
    <row r="921" spans="1:9" x14ac:dyDescent="0.3">
      <c r="A921" t="s">
        <v>120</v>
      </c>
      <c r="B921">
        <v>93</v>
      </c>
      <c r="C921" t="s">
        <v>18</v>
      </c>
      <c r="D921" t="s">
        <v>14</v>
      </c>
      <c r="E921" t="s">
        <v>34</v>
      </c>
      <c r="F921">
        <v>45605</v>
      </c>
      <c r="H921">
        <v>1401.86</v>
      </c>
      <c r="I921" t="s">
        <v>16</v>
      </c>
    </row>
    <row r="922" spans="1:9" x14ac:dyDescent="0.3">
      <c r="A922" t="s">
        <v>548</v>
      </c>
      <c r="C922" t="s">
        <v>28</v>
      </c>
      <c r="E922" t="s">
        <v>34</v>
      </c>
      <c r="I922" t="s">
        <v>12</v>
      </c>
    </row>
    <row r="923" spans="1:9" x14ac:dyDescent="0.3">
      <c r="A923" t="s">
        <v>685</v>
      </c>
      <c r="C923" t="s">
        <v>42</v>
      </c>
      <c r="D923" t="s">
        <v>48</v>
      </c>
      <c r="E923" t="s">
        <v>29</v>
      </c>
      <c r="F923">
        <v>45293</v>
      </c>
      <c r="I923" t="s">
        <v>12</v>
      </c>
    </row>
    <row r="924" spans="1:9" x14ac:dyDescent="0.3">
      <c r="A924" t="s">
        <v>315</v>
      </c>
      <c r="B924">
        <v>31</v>
      </c>
      <c r="C924" t="s">
        <v>42</v>
      </c>
      <c r="D924" t="s">
        <v>45</v>
      </c>
      <c r="E924" t="s">
        <v>20</v>
      </c>
      <c r="H924">
        <v>768.36</v>
      </c>
      <c r="I924" t="s">
        <v>26</v>
      </c>
    </row>
    <row r="925" spans="1:9" x14ac:dyDescent="0.3">
      <c r="A925" t="s">
        <v>511</v>
      </c>
      <c r="B925">
        <v>51</v>
      </c>
      <c r="C925" t="s">
        <v>42</v>
      </c>
      <c r="D925" t="s">
        <v>25</v>
      </c>
      <c r="E925" t="s">
        <v>43</v>
      </c>
      <c r="F925">
        <v>45344</v>
      </c>
      <c r="G925">
        <v>2</v>
      </c>
      <c r="H925">
        <v>175.17</v>
      </c>
      <c r="I925" t="s">
        <v>12</v>
      </c>
    </row>
    <row r="926" spans="1:9" x14ac:dyDescent="0.3">
      <c r="A926" t="s">
        <v>191</v>
      </c>
      <c r="D926" t="s">
        <v>48</v>
      </c>
      <c r="E926" t="s">
        <v>11</v>
      </c>
      <c r="F926">
        <v>45332</v>
      </c>
      <c r="I926" t="s">
        <v>26</v>
      </c>
    </row>
    <row r="927" spans="1:9" x14ac:dyDescent="0.3">
      <c r="A927" t="s">
        <v>677</v>
      </c>
      <c r="B927">
        <v>94</v>
      </c>
      <c r="C927" t="s">
        <v>42</v>
      </c>
      <c r="D927" t="s">
        <v>48</v>
      </c>
      <c r="E927" t="s">
        <v>15</v>
      </c>
      <c r="G927">
        <v>13</v>
      </c>
      <c r="I927" t="s">
        <v>21</v>
      </c>
    </row>
    <row r="928" spans="1:9" x14ac:dyDescent="0.3">
      <c r="A928" t="s">
        <v>686</v>
      </c>
      <c r="B928">
        <v>58</v>
      </c>
      <c r="C928" t="s">
        <v>38</v>
      </c>
      <c r="D928" t="s">
        <v>48</v>
      </c>
      <c r="E928" t="s">
        <v>34</v>
      </c>
      <c r="F928">
        <v>45337</v>
      </c>
      <c r="G928">
        <v>10</v>
      </c>
      <c r="H928">
        <v>605.35</v>
      </c>
      <c r="I928" t="s">
        <v>16</v>
      </c>
    </row>
    <row r="929" spans="1:9" x14ac:dyDescent="0.3">
      <c r="A929" t="s">
        <v>687</v>
      </c>
      <c r="B929">
        <v>49</v>
      </c>
      <c r="C929" t="s">
        <v>38</v>
      </c>
      <c r="D929" t="s">
        <v>51</v>
      </c>
      <c r="E929" t="s">
        <v>57</v>
      </c>
      <c r="G929">
        <v>18</v>
      </c>
      <c r="I929" t="s">
        <v>21</v>
      </c>
    </row>
    <row r="930" spans="1:9" x14ac:dyDescent="0.3">
      <c r="A930" t="s">
        <v>494</v>
      </c>
      <c r="D930" t="s">
        <v>19</v>
      </c>
      <c r="E930" t="s">
        <v>43</v>
      </c>
      <c r="F930">
        <v>45381</v>
      </c>
      <c r="G930">
        <v>11</v>
      </c>
      <c r="I930" t="s">
        <v>26</v>
      </c>
    </row>
    <row r="931" spans="1:9" x14ac:dyDescent="0.3">
      <c r="A931" t="s">
        <v>688</v>
      </c>
      <c r="D931" t="s">
        <v>14</v>
      </c>
      <c r="E931" t="s">
        <v>11</v>
      </c>
      <c r="F931">
        <v>45326</v>
      </c>
      <c r="G931">
        <v>18</v>
      </c>
      <c r="H931">
        <v>1876.7</v>
      </c>
      <c r="I931" t="s">
        <v>26</v>
      </c>
    </row>
    <row r="932" spans="1:9" x14ac:dyDescent="0.3">
      <c r="A932" t="s">
        <v>458</v>
      </c>
      <c r="C932" t="s">
        <v>42</v>
      </c>
      <c r="D932" t="s">
        <v>48</v>
      </c>
      <c r="E932" t="s">
        <v>15</v>
      </c>
      <c r="F932">
        <v>45479</v>
      </c>
      <c r="G932">
        <v>16</v>
      </c>
      <c r="H932">
        <v>614.46</v>
      </c>
      <c r="I932" t="s">
        <v>26</v>
      </c>
    </row>
    <row r="933" spans="1:9" x14ac:dyDescent="0.3">
      <c r="A933" t="s">
        <v>689</v>
      </c>
      <c r="B933">
        <v>47</v>
      </c>
      <c r="C933" t="s">
        <v>38</v>
      </c>
      <c r="D933" t="s">
        <v>45</v>
      </c>
      <c r="E933" t="s">
        <v>20</v>
      </c>
      <c r="F933">
        <v>45304</v>
      </c>
      <c r="H933">
        <v>1298.96</v>
      </c>
      <c r="I933" t="s">
        <v>12</v>
      </c>
    </row>
    <row r="934" spans="1:9" x14ac:dyDescent="0.3">
      <c r="A934" t="s">
        <v>677</v>
      </c>
      <c r="B934">
        <v>20</v>
      </c>
      <c r="C934" t="s">
        <v>18</v>
      </c>
      <c r="E934" t="s">
        <v>43</v>
      </c>
      <c r="F934">
        <v>45560</v>
      </c>
      <c r="I934" t="s">
        <v>16</v>
      </c>
    </row>
    <row r="935" spans="1:9" x14ac:dyDescent="0.3">
      <c r="A935" t="s">
        <v>690</v>
      </c>
      <c r="C935" t="s">
        <v>42</v>
      </c>
      <c r="D935" t="s">
        <v>45</v>
      </c>
      <c r="E935" t="s">
        <v>23</v>
      </c>
      <c r="I935" t="s">
        <v>16</v>
      </c>
    </row>
    <row r="936" spans="1:9" x14ac:dyDescent="0.3">
      <c r="A936" t="s">
        <v>691</v>
      </c>
      <c r="D936" t="s">
        <v>14</v>
      </c>
      <c r="E936" t="s">
        <v>29</v>
      </c>
      <c r="G936">
        <v>18</v>
      </c>
      <c r="H936">
        <v>1933.14</v>
      </c>
      <c r="I936" t="s">
        <v>21</v>
      </c>
    </row>
    <row r="937" spans="1:9" x14ac:dyDescent="0.3">
      <c r="A937" t="s">
        <v>642</v>
      </c>
      <c r="C937" t="s">
        <v>38</v>
      </c>
      <c r="D937" t="s">
        <v>45</v>
      </c>
      <c r="E937" t="s">
        <v>11</v>
      </c>
      <c r="I937" t="s">
        <v>21</v>
      </c>
    </row>
    <row r="938" spans="1:9" x14ac:dyDescent="0.3">
      <c r="A938" t="s">
        <v>692</v>
      </c>
      <c r="B938">
        <v>36</v>
      </c>
      <c r="C938" t="s">
        <v>18</v>
      </c>
      <c r="D938" t="s">
        <v>48</v>
      </c>
      <c r="E938" t="s">
        <v>20</v>
      </c>
      <c r="F938">
        <v>45622</v>
      </c>
      <c r="G938">
        <v>5</v>
      </c>
      <c r="I938" t="s">
        <v>12</v>
      </c>
    </row>
    <row r="939" spans="1:9" x14ac:dyDescent="0.3">
      <c r="A939" t="s">
        <v>574</v>
      </c>
      <c r="C939" t="s">
        <v>42</v>
      </c>
      <c r="D939" t="s">
        <v>48</v>
      </c>
      <c r="E939" t="s">
        <v>15</v>
      </c>
      <c r="F939">
        <v>45363</v>
      </c>
      <c r="H939">
        <v>317.44</v>
      </c>
      <c r="I939" t="s">
        <v>26</v>
      </c>
    </row>
    <row r="940" spans="1:9" x14ac:dyDescent="0.3">
      <c r="A940" t="s">
        <v>408</v>
      </c>
      <c r="C940" t="s">
        <v>18</v>
      </c>
      <c r="D940" t="s">
        <v>14</v>
      </c>
      <c r="E940" t="s">
        <v>29</v>
      </c>
      <c r="I940" t="s">
        <v>12</v>
      </c>
    </row>
    <row r="941" spans="1:9" x14ac:dyDescent="0.3">
      <c r="A941" t="s">
        <v>585</v>
      </c>
      <c r="C941" t="s">
        <v>42</v>
      </c>
      <c r="D941" t="s">
        <v>51</v>
      </c>
      <c r="E941" t="s">
        <v>57</v>
      </c>
      <c r="H941">
        <v>1045.4000000000001</v>
      </c>
      <c r="I941" t="s">
        <v>21</v>
      </c>
    </row>
    <row r="942" spans="1:9" x14ac:dyDescent="0.3">
      <c r="A942" t="s">
        <v>410</v>
      </c>
      <c r="B942">
        <v>70</v>
      </c>
      <c r="C942" t="s">
        <v>42</v>
      </c>
      <c r="D942" t="s">
        <v>45</v>
      </c>
      <c r="E942" t="s">
        <v>29</v>
      </c>
      <c r="F942">
        <v>45572</v>
      </c>
      <c r="H942">
        <v>922.34</v>
      </c>
    </row>
    <row r="943" spans="1:9" x14ac:dyDescent="0.3">
      <c r="A943" t="s">
        <v>586</v>
      </c>
      <c r="C943" t="s">
        <v>38</v>
      </c>
      <c r="D943" t="s">
        <v>51</v>
      </c>
      <c r="E943" t="s">
        <v>57</v>
      </c>
      <c r="G943">
        <v>15</v>
      </c>
      <c r="I943" t="s">
        <v>12</v>
      </c>
    </row>
    <row r="944" spans="1:9" x14ac:dyDescent="0.3">
      <c r="A944" t="s">
        <v>693</v>
      </c>
      <c r="B944">
        <v>62</v>
      </c>
      <c r="E944" t="s">
        <v>57</v>
      </c>
      <c r="I944" t="s">
        <v>21</v>
      </c>
    </row>
    <row r="945" spans="1:9" x14ac:dyDescent="0.3">
      <c r="A945" t="s">
        <v>694</v>
      </c>
      <c r="C945" t="s">
        <v>38</v>
      </c>
      <c r="D945" t="s">
        <v>33</v>
      </c>
      <c r="E945" t="s">
        <v>11</v>
      </c>
      <c r="G945">
        <v>14</v>
      </c>
      <c r="H945">
        <v>232.81</v>
      </c>
      <c r="I945" t="s">
        <v>21</v>
      </c>
    </row>
    <row r="946" spans="1:9" x14ac:dyDescent="0.3">
      <c r="A946" t="s">
        <v>149</v>
      </c>
      <c r="B946">
        <v>22</v>
      </c>
      <c r="C946" t="s">
        <v>28</v>
      </c>
      <c r="D946" t="s">
        <v>25</v>
      </c>
      <c r="E946" t="s">
        <v>15</v>
      </c>
      <c r="F946">
        <v>45454</v>
      </c>
      <c r="G946">
        <v>2</v>
      </c>
      <c r="I946" t="s">
        <v>16</v>
      </c>
    </row>
    <row r="947" spans="1:9" x14ac:dyDescent="0.3">
      <c r="A947" t="s">
        <v>695</v>
      </c>
      <c r="C947" t="s">
        <v>18</v>
      </c>
      <c r="D947" t="s">
        <v>33</v>
      </c>
      <c r="E947" t="s">
        <v>23</v>
      </c>
      <c r="F947">
        <v>45363</v>
      </c>
      <c r="I947" t="s">
        <v>21</v>
      </c>
    </row>
    <row r="948" spans="1:9" x14ac:dyDescent="0.3">
      <c r="A948" t="s">
        <v>164</v>
      </c>
      <c r="B948">
        <v>22</v>
      </c>
      <c r="C948" t="s">
        <v>28</v>
      </c>
      <c r="D948" t="s">
        <v>19</v>
      </c>
      <c r="E948" t="s">
        <v>15</v>
      </c>
      <c r="F948">
        <v>45330</v>
      </c>
      <c r="I948" t="s">
        <v>26</v>
      </c>
    </row>
    <row r="949" spans="1:9" x14ac:dyDescent="0.3">
      <c r="A949" t="s">
        <v>696</v>
      </c>
      <c r="D949" t="s">
        <v>48</v>
      </c>
      <c r="E949" t="s">
        <v>11</v>
      </c>
      <c r="F949">
        <v>45525</v>
      </c>
      <c r="H949">
        <v>1338.19</v>
      </c>
      <c r="I949" t="s">
        <v>21</v>
      </c>
    </row>
    <row r="950" spans="1:9" x14ac:dyDescent="0.3">
      <c r="A950" t="s">
        <v>697</v>
      </c>
      <c r="C950" t="s">
        <v>28</v>
      </c>
      <c r="D950" t="s">
        <v>25</v>
      </c>
      <c r="E950" t="s">
        <v>20</v>
      </c>
      <c r="F950">
        <v>45521</v>
      </c>
    </row>
    <row r="951" spans="1:9" x14ac:dyDescent="0.3">
      <c r="A951" t="s">
        <v>698</v>
      </c>
      <c r="B951">
        <v>73</v>
      </c>
      <c r="C951" t="s">
        <v>28</v>
      </c>
      <c r="E951" t="s">
        <v>29</v>
      </c>
      <c r="F951">
        <v>45657</v>
      </c>
    </row>
    <row r="952" spans="1:9" x14ac:dyDescent="0.3">
      <c r="A952" t="s">
        <v>699</v>
      </c>
      <c r="D952" t="s">
        <v>14</v>
      </c>
      <c r="E952" t="s">
        <v>23</v>
      </c>
      <c r="F952">
        <v>45380</v>
      </c>
      <c r="I952" t="s">
        <v>21</v>
      </c>
    </row>
    <row r="953" spans="1:9" x14ac:dyDescent="0.3">
      <c r="A953" t="s">
        <v>269</v>
      </c>
      <c r="C953" t="s">
        <v>38</v>
      </c>
      <c r="D953" t="s">
        <v>10</v>
      </c>
      <c r="E953" t="s">
        <v>34</v>
      </c>
      <c r="F953">
        <v>45556</v>
      </c>
      <c r="G953">
        <v>15</v>
      </c>
      <c r="I953" t="s">
        <v>16</v>
      </c>
    </row>
    <row r="954" spans="1:9" x14ac:dyDescent="0.3">
      <c r="A954" t="s">
        <v>169</v>
      </c>
      <c r="B954">
        <v>45</v>
      </c>
      <c r="C954" t="s">
        <v>38</v>
      </c>
      <c r="D954" t="s">
        <v>25</v>
      </c>
      <c r="E954" t="s">
        <v>57</v>
      </c>
      <c r="F954">
        <v>45362</v>
      </c>
      <c r="G954">
        <v>13</v>
      </c>
    </row>
    <row r="955" spans="1:9" x14ac:dyDescent="0.3">
      <c r="A955" t="s">
        <v>676</v>
      </c>
      <c r="B955">
        <v>33</v>
      </c>
      <c r="E955" t="s">
        <v>43</v>
      </c>
      <c r="F955">
        <v>45396</v>
      </c>
      <c r="G955">
        <v>2</v>
      </c>
      <c r="H955">
        <v>293.10000000000002</v>
      </c>
      <c r="I955" t="s">
        <v>21</v>
      </c>
    </row>
    <row r="956" spans="1:9" x14ac:dyDescent="0.3">
      <c r="A956" t="s">
        <v>700</v>
      </c>
      <c r="B956">
        <v>19</v>
      </c>
      <c r="C956" t="s">
        <v>42</v>
      </c>
      <c r="D956" t="s">
        <v>51</v>
      </c>
      <c r="E956" t="s">
        <v>23</v>
      </c>
      <c r="F956">
        <v>45549</v>
      </c>
      <c r="H956">
        <v>1618.24</v>
      </c>
      <c r="I956" t="s">
        <v>21</v>
      </c>
    </row>
    <row r="957" spans="1:9" x14ac:dyDescent="0.3">
      <c r="A957" t="s">
        <v>55</v>
      </c>
      <c r="B957">
        <v>78</v>
      </c>
      <c r="C957" t="s">
        <v>38</v>
      </c>
      <c r="D957" t="s">
        <v>51</v>
      </c>
      <c r="E957" t="s">
        <v>57</v>
      </c>
      <c r="F957">
        <v>45533</v>
      </c>
      <c r="H957">
        <v>1404.7</v>
      </c>
      <c r="I957" t="s">
        <v>16</v>
      </c>
    </row>
    <row r="958" spans="1:9" x14ac:dyDescent="0.3">
      <c r="A958" t="s">
        <v>692</v>
      </c>
      <c r="C958" t="s">
        <v>28</v>
      </c>
      <c r="E958" t="s">
        <v>11</v>
      </c>
      <c r="F958">
        <v>45481</v>
      </c>
      <c r="I958" t="s">
        <v>26</v>
      </c>
    </row>
    <row r="959" spans="1:9" x14ac:dyDescent="0.3">
      <c r="A959" t="s">
        <v>362</v>
      </c>
      <c r="B959">
        <v>88</v>
      </c>
      <c r="D959" t="s">
        <v>10</v>
      </c>
      <c r="E959" t="s">
        <v>43</v>
      </c>
      <c r="F959">
        <v>45351</v>
      </c>
      <c r="G959">
        <v>1</v>
      </c>
      <c r="I959" t="s">
        <v>21</v>
      </c>
    </row>
    <row r="960" spans="1:9" x14ac:dyDescent="0.3">
      <c r="A960" t="s">
        <v>701</v>
      </c>
      <c r="C960" t="s">
        <v>42</v>
      </c>
      <c r="D960" t="s">
        <v>10</v>
      </c>
      <c r="E960" t="s">
        <v>43</v>
      </c>
      <c r="F960">
        <v>45585</v>
      </c>
      <c r="I960" t="s">
        <v>21</v>
      </c>
    </row>
    <row r="961" spans="1:9" x14ac:dyDescent="0.3">
      <c r="A961" t="s">
        <v>702</v>
      </c>
      <c r="C961" t="s">
        <v>38</v>
      </c>
      <c r="D961" t="s">
        <v>33</v>
      </c>
      <c r="E961" t="s">
        <v>29</v>
      </c>
      <c r="G961">
        <v>11</v>
      </c>
      <c r="I961" t="s">
        <v>16</v>
      </c>
    </row>
    <row r="962" spans="1:9" x14ac:dyDescent="0.3">
      <c r="A962" t="s">
        <v>703</v>
      </c>
      <c r="D962" t="s">
        <v>25</v>
      </c>
      <c r="E962" t="s">
        <v>43</v>
      </c>
      <c r="F962">
        <v>45407</v>
      </c>
    </row>
    <row r="963" spans="1:9" x14ac:dyDescent="0.3">
      <c r="A963" t="s">
        <v>280</v>
      </c>
      <c r="C963" t="s">
        <v>28</v>
      </c>
      <c r="D963" t="s">
        <v>19</v>
      </c>
      <c r="E963" t="s">
        <v>11</v>
      </c>
      <c r="G963">
        <v>17</v>
      </c>
      <c r="I963" t="s">
        <v>12</v>
      </c>
    </row>
    <row r="964" spans="1:9" x14ac:dyDescent="0.3">
      <c r="A964" t="s">
        <v>295</v>
      </c>
      <c r="B964">
        <v>68</v>
      </c>
      <c r="C964" t="s">
        <v>18</v>
      </c>
      <c r="D964" t="s">
        <v>19</v>
      </c>
      <c r="E964" t="s">
        <v>57</v>
      </c>
      <c r="F964">
        <v>45335</v>
      </c>
      <c r="I964" t="s">
        <v>26</v>
      </c>
    </row>
    <row r="965" spans="1:9" x14ac:dyDescent="0.3">
      <c r="A965" t="s">
        <v>515</v>
      </c>
      <c r="C965" t="s">
        <v>38</v>
      </c>
      <c r="D965" t="s">
        <v>25</v>
      </c>
      <c r="E965" t="s">
        <v>20</v>
      </c>
      <c r="F965">
        <v>45641</v>
      </c>
      <c r="I965" t="s">
        <v>21</v>
      </c>
    </row>
    <row r="966" spans="1:9" x14ac:dyDescent="0.3">
      <c r="A966" t="s">
        <v>538</v>
      </c>
      <c r="C966" t="s">
        <v>38</v>
      </c>
      <c r="D966" t="s">
        <v>48</v>
      </c>
      <c r="E966" t="s">
        <v>15</v>
      </c>
      <c r="F966">
        <v>45561</v>
      </c>
      <c r="I966" t="s">
        <v>26</v>
      </c>
    </row>
    <row r="967" spans="1:9" x14ac:dyDescent="0.3">
      <c r="A967" t="s">
        <v>704</v>
      </c>
      <c r="D967" t="s">
        <v>33</v>
      </c>
      <c r="E967" t="s">
        <v>34</v>
      </c>
      <c r="F967">
        <v>45364</v>
      </c>
      <c r="G967">
        <v>1</v>
      </c>
      <c r="I967" t="s">
        <v>26</v>
      </c>
    </row>
    <row r="968" spans="1:9" x14ac:dyDescent="0.3">
      <c r="A968" t="s">
        <v>705</v>
      </c>
      <c r="C968" t="s">
        <v>18</v>
      </c>
      <c r="D968" t="s">
        <v>51</v>
      </c>
      <c r="E968" t="s">
        <v>11</v>
      </c>
      <c r="F968">
        <v>45315</v>
      </c>
      <c r="G968">
        <v>10</v>
      </c>
    </row>
    <row r="969" spans="1:9" x14ac:dyDescent="0.3">
      <c r="A969" t="s">
        <v>105</v>
      </c>
      <c r="B969">
        <v>54</v>
      </c>
      <c r="C969" t="s">
        <v>38</v>
      </c>
      <c r="D969" t="s">
        <v>10</v>
      </c>
      <c r="E969" t="s">
        <v>34</v>
      </c>
      <c r="F969">
        <v>45589</v>
      </c>
      <c r="I969" t="s">
        <v>12</v>
      </c>
    </row>
    <row r="970" spans="1:9" x14ac:dyDescent="0.3">
      <c r="A970" t="s">
        <v>706</v>
      </c>
      <c r="B970">
        <v>59</v>
      </c>
      <c r="C970" t="s">
        <v>42</v>
      </c>
      <c r="D970" t="s">
        <v>14</v>
      </c>
      <c r="E970" t="s">
        <v>29</v>
      </c>
      <c r="H970">
        <v>851.73</v>
      </c>
      <c r="I970" t="s">
        <v>21</v>
      </c>
    </row>
    <row r="971" spans="1:9" x14ac:dyDescent="0.3">
      <c r="A971" t="s">
        <v>707</v>
      </c>
      <c r="B971">
        <v>92</v>
      </c>
      <c r="D971" t="s">
        <v>33</v>
      </c>
      <c r="E971" t="s">
        <v>23</v>
      </c>
      <c r="F971">
        <v>45587</v>
      </c>
    </row>
    <row r="972" spans="1:9" x14ac:dyDescent="0.3">
      <c r="A972" t="s">
        <v>37</v>
      </c>
      <c r="B972">
        <v>23</v>
      </c>
      <c r="C972" t="s">
        <v>28</v>
      </c>
      <c r="D972" t="s">
        <v>14</v>
      </c>
      <c r="E972" t="s">
        <v>20</v>
      </c>
      <c r="F972">
        <v>45468</v>
      </c>
      <c r="H972">
        <v>258.14</v>
      </c>
      <c r="I972" t="s">
        <v>12</v>
      </c>
    </row>
    <row r="973" spans="1:9" x14ac:dyDescent="0.3">
      <c r="A973" t="s">
        <v>708</v>
      </c>
      <c r="D973" t="s">
        <v>48</v>
      </c>
      <c r="E973" t="s">
        <v>15</v>
      </c>
      <c r="F973">
        <v>45479</v>
      </c>
      <c r="I973" t="s">
        <v>26</v>
      </c>
    </row>
    <row r="974" spans="1:9" x14ac:dyDescent="0.3">
      <c r="A974" t="s">
        <v>519</v>
      </c>
      <c r="B974">
        <v>83</v>
      </c>
      <c r="C974" t="s">
        <v>28</v>
      </c>
      <c r="D974" t="s">
        <v>51</v>
      </c>
      <c r="E974" t="s">
        <v>29</v>
      </c>
      <c r="F974">
        <v>45398</v>
      </c>
      <c r="H974">
        <v>1833.42</v>
      </c>
      <c r="I974" t="s">
        <v>12</v>
      </c>
    </row>
    <row r="975" spans="1:9" x14ac:dyDescent="0.3">
      <c r="A975" t="s">
        <v>709</v>
      </c>
      <c r="B975">
        <v>50</v>
      </c>
      <c r="C975" t="s">
        <v>28</v>
      </c>
      <c r="D975" t="s">
        <v>45</v>
      </c>
      <c r="E975" t="s">
        <v>29</v>
      </c>
      <c r="F975">
        <v>45365</v>
      </c>
      <c r="H975">
        <v>1519.65</v>
      </c>
      <c r="I975" t="s">
        <v>16</v>
      </c>
    </row>
    <row r="976" spans="1:9" x14ac:dyDescent="0.3">
      <c r="A976" t="s">
        <v>160</v>
      </c>
      <c r="B976">
        <v>87</v>
      </c>
      <c r="C976" t="s">
        <v>28</v>
      </c>
      <c r="D976" t="s">
        <v>19</v>
      </c>
      <c r="E976" t="s">
        <v>43</v>
      </c>
      <c r="F976">
        <v>45376</v>
      </c>
      <c r="I976" t="s">
        <v>12</v>
      </c>
    </row>
    <row r="977" spans="1:9" x14ac:dyDescent="0.3">
      <c r="A977" t="s">
        <v>563</v>
      </c>
      <c r="C977" t="s">
        <v>18</v>
      </c>
      <c r="D977" t="s">
        <v>48</v>
      </c>
      <c r="E977" t="s">
        <v>57</v>
      </c>
      <c r="F977">
        <v>45453</v>
      </c>
      <c r="H977">
        <v>432.47</v>
      </c>
      <c r="I977" t="s">
        <v>21</v>
      </c>
    </row>
    <row r="978" spans="1:9" x14ac:dyDescent="0.3">
      <c r="A978" t="s">
        <v>710</v>
      </c>
      <c r="B978">
        <v>79</v>
      </c>
      <c r="D978" t="s">
        <v>19</v>
      </c>
      <c r="E978" t="s">
        <v>23</v>
      </c>
      <c r="F978">
        <v>45569</v>
      </c>
      <c r="G978">
        <v>6</v>
      </c>
      <c r="H978">
        <v>1724.93</v>
      </c>
      <c r="I978" t="s">
        <v>21</v>
      </c>
    </row>
    <row r="979" spans="1:9" x14ac:dyDescent="0.3">
      <c r="A979" t="s">
        <v>201</v>
      </c>
      <c r="C979" t="s">
        <v>38</v>
      </c>
      <c r="D979" t="s">
        <v>14</v>
      </c>
      <c r="E979" t="s">
        <v>29</v>
      </c>
      <c r="F979">
        <v>45473</v>
      </c>
      <c r="I979" t="s">
        <v>16</v>
      </c>
    </row>
    <row r="980" spans="1:9" x14ac:dyDescent="0.3">
      <c r="A980" t="s">
        <v>711</v>
      </c>
      <c r="C980" t="s">
        <v>42</v>
      </c>
      <c r="D980" t="s">
        <v>10</v>
      </c>
      <c r="E980" t="s">
        <v>23</v>
      </c>
      <c r="H980">
        <v>598.19000000000005</v>
      </c>
      <c r="I980" t="s">
        <v>12</v>
      </c>
    </row>
    <row r="981" spans="1:9" x14ac:dyDescent="0.3">
      <c r="A981" t="s">
        <v>212</v>
      </c>
      <c r="D981" t="s">
        <v>45</v>
      </c>
      <c r="E981" t="s">
        <v>23</v>
      </c>
      <c r="F981">
        <v>45494</v>
      </c>
      <c r="I981" t="s">
        <v>26</v>
      </c>
    </row>
    <row r="982" spans="1:9" x14ac:dyDescent="0.3">
      <c r="A982" t="s">
        <v>414</v>
      </c>
      <c r="B982">
        <v>44</v>
      </c>
      <c r="D982" t="s">
        <v>14</v>
      </c>
      <c r="E982" t="s">
        <v>20</v>
      </c>
      <c r="G982">
        <v>1</v>
      </c>
      <c r="I982" t="s">
        <v>21</v>
      </c>
    </row>
    <row r="983" spans="1:9" x14ac:dyDescent="0.3">
      <c r="A983" t="s">
        <v>152</v>
      </c>
      <c r="C983" t="s">
        <v>42</v>
      </c>
      <c r="D983" t="s">
        <v>25</v>
      </c>
      <c r="E983" t="s">
        <v>15</v>
      </c>
      <c r="F983">
        <v>45300</v>
      </c>
      <c r="I983" t="s">
        <v>16</v>
      </c>
    </row>
    <row r="984" spans="1:9" x14ac:dyDescent="0.3">
      <c r="A984" t="s">
        <v>367</v>
      </c>
      <c r="C984" t="s">
        <v>28</v>
      </c>
      <c r="D984" t="s">
        <v>51</v>
      </c>
      <c r="E984" t="s">
        <v>57</v>
      </c>
      <c r="F984">
        <v>45652</v>
      </c>
      <c r="I984" t="s">
        <v>26</v>
      </c>
    </row>
    <row r="985" spans="1:9" x14ac:dyDescent="0.3">
      <c r="A985" t="s">
        <v>712</v>
      </c>
      <c r="B985">
        <v>71</v>
      </c>
      <c r="C985" t="s">
        <v>38</v>
      </c>
      <c r="D985" t="s">
        <v>45</v>
      </c>
      <c r="E985" t="s">
        <v>15</v>
      </c>
      <c r="F985">
        <v>45309</v>
      </c>
      <c r="I985" t="s">
        <v>26</v>
      </c>
    </row>
    <row r="986" spans="1:9" x14ac:dyDescent="0.3">
      <c r="A986" t="s">
        <v>189</v>
      </c>
      <c r="C986" t="s">
        <v>42</v>
      </c>
      <c r="D986" t="s">
        <v>33</v>
      </c>
      <c r="E986" t="s">
        <v>11</v>
      </c>
      <c r="F986">
        <v>45460</v>
      </c>
      <c r="I986" t="s">
        <v>12</v>
      </c>
    </row>
    <row r="987" spans="1:9" x14ac:dyDescent="0.3">
      <c r="A987" t="s">
        <v>265</v>
      </c>
      <c r="D987" t="s">
        <v>25</v>
      </c>
      <c r="E987" t="s">
        <v>23</v>
      </c>
      <c r="F987">
        <v>45488</v>
      </c>
    </row>
    <row r="988" spans="1:9" x14ac:dyDescent="0.3">
      <c r="A988" t="s">
        <v>713</v>
      </c>
      <c r="C988" t="s">
        <v>28</v>
      </c>
      <c r="D988" t="s">
        <v>10</v>
      </c>
      <c r="E988" t="s">
        <v>11</v>
      </c>
      <c r="H988">
        <v>1902.3</v>
      </c>
      <c r="I988" t="s">
        <v>16</v>
      </c>
    </row>
    <row r="989" spans="1:9" x14ac:dyDescent="0.3">
      <c r="A989" t="s">
        <v>714</v>
      </c>
      <c r="B989">
        <v>18</v>
      </c>
      <c r="C989" t="s">
        <v>38</v>
      </c>
      <c r="D989" t="s">
        <v>10</v>
      </c>
      <c r="E989" t="s">
        <v>43</v>
      </c>
      <c r="F989">
        <v>45646</v>
      </c>
      <c r="G989">
        <v>15</v>
      </c>
      <c r="H989">
        <v>1346.38</v>
      </c>
      <c r="I989" t="s">
        <v>16</v>
      </c>
    </row>
    <row r="990" spans="1:9" x14ac:dyDescent="0.3">
      <c r="A990" t="s">
        <v>715</v>
      </c>
      <c r="C990" t="s">
        <v>18</v>
      </c>
      <c r="D990" t="s">
        <v>19</v>
      </c>
      <c r="E990" t="s">
        <v>29</v>
      </c>
      <c r="I990" t="s">
        <v>26</v>
      </c>
    </row>
    <row r="991" spans="1:9" x14ac:dyDescent="0.3">
      <c r="A991" t="s">
        <v>716</v>
      </c>
      <c r="C991" t="s">
        <v>38</v>
      </c>
      <c r="E991" t="s">
        <v>11</v>
      </c>
      <c r="F991">
        <v>45446</v>
      </c>
      <c r="G991">
        <v>7</v>
      </c>
      <c r="H991">
        <v>514.61</v>
      </c>
    </row>
    <row r="992" spans="1:9" x14ac:dyDescent="0.3">
      <c r="A992" t="s">
        <v>717</v>
      </c>
      <c r="C992" t="s">
        <v>38</v>
      </c>
      <c r="E992" t="s">
        <v>43</v>
      </c>
      <c r="G992">
        <v>5</v>
      </c>
    </row>
    <row r="993" spans="1:9" x14ac:dyDescent="0.3">
      <c r="A993" t="s">
        <v>718</v>
      </c>
      <c r="C993" t="s">
        <v>38</v>
      </c>
      <c r="D993" t="s">
        <v>10</v>
      </c>
      <c r="E993" t="s">
        <v>34</v>
      </c>
      <c r="F993">
        <v>45389</v>
      </c>
      <c r="I993" t="s">
        <v>21</v>
      </c>
    </row>
    <row r="994" spans="1:9" x14ac:dyDescent="0.3">
      <c r="A994" t="s">
        <v>510</v>
      </c>
      <c r="B994">
        <v>44</v>
      </c>
      <c r="C994" t="s">
        <v>18</v>
      </c>
      <c r="D994" t="s">
        <v>14</v>
      </c>
      <c r="E994" t="s">
        <v>43</v>
      </c>
      <c r="F994">
        <v>45363</v>
      </c>
      <c r="I994" t="s">
        <v>12</v>
      </c>
    </row>
    <row r="995" spans="1:9" x14ac:dyDescent="0.3">
      <c r="A995" t="s">
        <v>719</v>
      </c>
      <c r="C995" t="s">
        <v>38</v>
      </c>
      <c r="D995" t="s">
        <v>19</v>
      </c>
      <c r="E995" t="s">
        <v>23</v>
      </c>
      <c r="F995">
        <v>45557</v>
      </c>
      <c r="I995" t="s">
        <v>16</v>
      </c>
    </row>
    <row r="996" spans="1:9" x14ac:dyDescent="0.3">
      <c r="A996" t="s">
        <v>720</v>
      </c>
      <c r="B996">
        <v>24</v>
      </c>
      <c r="C996" t="s">
        <v>38</v>
      </c>
      <c r="D996" t="s">
        <v>25</v>
      </c>
      <c r="E996" t="s">
        <v>20</v>
      </c>
      <c r="F996">
        <v>45618</v>
      </c>
      <c r="H996">
        <v>1651.85</v>
      </c>
      <c r="I996" t="s">
        <v>12</v>
      </c>
    </row>
    <row r="997" spans="1:9" x14ac:dyDescent="0.3">
      <c r="A997" t="s">
        <v>721</v>
      </c>
      <c r="B997">
        <v>52</v>
      </c>
      <c r="D997" t="s">
        <v>25</v>
      </c>
      <c r="E997" t="s">
        <v>23</v>
      </c>
      <c r="F997">
        <v>45544</v>
      </c>
      <c r="H997">
        <v>1327.75</v>
      </c>
      <c r="I997" t="s">
        <v>21</v>
      </c>
    </row>
    <row r="998" spans="1:9" x14ac:dyDescent="0.3">
      <c r="A998" t="s">
        <v>722</v>
      </c>
      <c r="D998" t="s">
        <v>14</v>
      </c>
      <c r="E998" t="s">
        <v>43</v>
      </c>
      <c r="F998">
        <v>45502</v>
      </c>
      <c r="I998" t="s">
        <v>26</v>
      </c>
    </row>
    <row r="999" spans="1:9" x14ac:dyDescent="0.3">
      <c r="A999" t="s">
        <v>723</v>
      </c>
      <c r="D999" t="s">
        <v>25</v>
      </c>
      <c r="E999" t="s">
        <v>43</v>
      </c>
      <c r="F999">
        <v>45369</v>
      </c>
      <c r="G999">
        <v>17</v>
      </c>
      <c r="I999" t="s">
        <v>16</v>
      </c>
    </row>
    <row r="1000" spans="1:9" x14ac:dyDescent="0.3">
      <c r="A1000" t="s">
        <v>664</v>
      </c>
      <c r="E1000" t="s">
        <v>15</v>
      </c>
      <c r="F1000">
        <v>45350</v>
      </c>
      <c r="H1000">
        <v>527.54999999999995</v>
      </c>
    </row>
    <row r="1001" spans="1:9" x14ac:dyDescent="0.3">
      <c r="A1001" t="s">
        <v>672</v>
      </c>
      <c r="B1001">
        <v>73</v>
      </c>
      <c r="C1001" t="s">
        <v>18</v>
      </c>
      <c r="D1001" t="s">
        <v>51</v>
      </c>
      <c r="E1001" t="s">
        <v>23</v>
      </c>
      <c r="F1001">
        <v>45352</v>
      </c>
      <c r="G1001">
        <v>1</v>
      </c>
      <c r="H1001">
        <v>370.62</v>
      </c>
      <c r="I1001" t="s">
        <v>21</v>
      </c>
    </row>
    <row r="1002" spans="1:9" x14ac:dyDescent="0.3">
      <c r="A1002" t="s">
        <v>380</v>
      </c>
      <c r="B1002">
        <v>25</v>
      </c>
      <c r="C1002" t="s">
        <v>42</v>
      </c>
      <c r="D1002" t="s">
        <v>25</v>
      </c>
      <c r="E1002" t="s">
        <v>11</v>
      </c>
      <c r="F1002">
        <v>45653</v>
      </c>
      <c r="G1002">
        <v>20</v>
      </c>
      <c r="H1002">
        <v>1561.98</v>
      </c>
      <c r="I1002" t="s">
        <v>16</v>
      </c>
    </row>
    <row r="1003" spans="1:9" x14ac:dyDescent="0.3">
      <c r="A1003" t="s">
        <v>724</v>
      </c>
      <c r="B1003">
        <v>75</v>
      </c>
      <c r="D1003" t="s">
        <v>14</v>
      </c>
      <c r="E1003" t="s">
        <v>57</v>
      </c>
      <c r="F1003">
        <v>45473</v>
      </c>
    </row>
    <row r="1004" spans="1:9" x14ac:dyDescent="0.3">
      <c r="A1004" t="s">
        <v>214</v>
      </c>
      <c r="B1004">
        <v>46</v>
      </c>
      <c r="D1004" t="s">
        <v>33</v>
      </c>
      <c r="E1004" t="s">
        <v>23</v>
      </c>
      <c r="F1004">
        <v>45315</v>
      </c>
      <c r="H1004">
        <v>976.95</v>
      </c>
      <c r="I1004" t="s">
        <v>12</v>
      </c>
    </row>
    <row r="1005" spans="1:9" x14ac:dyDescent="0.3">
      <c r="A1005" t="s">
        <v>725</v>
      </c>
      <c r="C1005" t="s">
        <v>38</v>
      </c>
      <c r="D1005" t="s">
        <v>14</v>
      </c>
      <c r="E1005" t="s">
        <v>43</v>
      </c>
      <c r="F1005">
        <v>45443</v>
      </c>
      <c r="I1005" t="s">
        <v>26</v>
      </c>
    </row>
    <row r="1006" spans="1:9" x14ac:dyDescent="0.3">
      <c r="A1006" t="s">
        <v>390</v>
      </c>
      <c r="C1006" t="s">
        <v>38</v>
      </c>
      <c r="D1006" t="s">
        <v>19</v>
      </c>
      <c r="E1006" t="s">
        <v>43</v>
      </c>
      <c r="F1006">
        <v>45498</v>
      </c>
      <c r="G1006">
        <v>17</v>
      </c>
      <c r="I1006" t="s">
        <v>21</v>
      </c>
    </row>
    <row r="1007" spans="1:9" x14ac:dyDescent="0.3">
      <c r="A1007" t="s">
        <v>107</v>
      </c>
      <c r="E1007" t="s">
        <v>20</v>
      </c>
      <c r="I1007" t="s">
        <v>16</v>
      </c>
    </row>
    <row r="1008" spans="1:9" x14ac:dyDescent="0.3">
      <c r="A1008" t="s">
        <v>726</v>
      </c>
      <c r="C1008" t="s">
        <v>42</v>
      </c>
      <c r="D1008" t="s">
        <v>48</v>
      </c>
      <c r="E1008" t="s">
        <v>43</v>
      </c>
      <c r="F1008">
        <v>45563</v>
      </c>
      <c r="I1008" t="s">
        <v>12</v>
      </c>
    </row>
    <row r="1009" spans="1:9" x14ac:dyDescent="0.3">
      <c r="A1009" t="s">
        <v>624</v>
      </c>
      <c r="C1009" t="s">
        <v>28</v>
      </c>
      <c r="D1009" t="s">
        <v>25</v>
      </c>
      <c r="E1009" t="s">
        <v>34</v>
      </c>
      <c r="F1009">
        <v>45432</v>
      </c>
      <c r="H1009">
        <v>281.41000000000003</v>
      </c>
      <c r="I1009" t="s">
        <v>26</v>
      </c>
    </row>
    <row r="1010" spans="1:9" x14ac:dyDescent="0.3">
      <c r="A1010" t="s">
        <v>727</v>
      </c>
      <c r="C1010" t="s">
        <v>38</v>
      </c>
      <c r="D1010" t="s">
        <v>19</v>
      </c>
      <c r="E1010" t="s">
        <v>34</v>
      </c>
      <c r="G1010">
        <v>13</v>
      </c>
    </row>
    <row r="1011" spans="1:9" x14ac:dyDescent="0.3">
      <c r="A1011" t="s">
        <v>136</v>
      </c>
      <c r="C1011" t="s">
        <v>38</v>
      </c>
      <c r="D1011" t="s">
        <v>14</v>
      </c>
      <c r="E1011" t="s">
        <v>57</v>
      </c>
      <c r="F1011">
        <v>45490</v>
      </c>
      <c r="I1011" t="s">
        <v>26</v>
      </c>
    </row>
    <row r="1012" spans="1:9" x14ac:dyDescent="0.3">
      <c r="A1012" t="s">
        <v>652</v>
      </c>
      <c r="C1012" t="s">
        <v>18</v>
      </c>
      <c r="D1012" t="s">
        <v>19</v>
      </c>
      <c r="E1012" t="s">
        <v>29</v>
      </c>
      <c r="F1012">
        <v>45464</v>
      </c>
      <c r="H1012">
        <v>1865.52</v>
      </c>
      <c r="I1012" t="s">
        <v>12</v>
      </c>
    </row>
    <row r="1013" spans="1:9" x14ac:dyDescent="0.3">
      <c r="A1013" t="s">
        <v>624</v>
      </c>
      <c r="B1013">
        <v>92</v>
      </c>
      <c r="C1013" t="s">
        <v>18</v>
      </c>
      <c r="E1013" t="s">
        <v>20</v>
      </c>
    </row>
    <row r="1014" spans="1:9" x14ac:dyDescent="0.3">
      <c r="A1014" t="s">
        <v>354</v>
      </c>
      <c r="C1014" t="s">
        <v>28</v>
      </c>
      <c r="D1014" t="s">
        <v>48</v>
      </c>
      <c r="E1014" t="s">
        <v>29</v>
      </c>
      <c r="G1014">
        <v>2</v>
      </c>
      <c r="I1014" t="s">
        <v>21</v>
      </c>
    </row>
    <row r="1015" spans="1:9" x14ac:dyDescent="0.3">
      <c r="A1015" t="s">
        <v>257</v>
      </c>
      <c r="B1015">
        <v>56</v>
      </c>
      <c r="C1015" t="s">
        <v>38</v>
      </c>
      <c r="D1015" t="s">
        <v>10</v>
      </c>
      <c r="E1015" t="s">
        <v>34</v>
      </c>
      <c r="F1015">
        <v>45619</v>
      </c>
      <c r="I1015" t="s">
        <v>12</v>
      </c>
    </row>
    <row r="1016" spans="1:9" x14ac:dyDescent="0.3">
      <c r="A1016" t="s">
        <v>343</v>
      </c>
      <c r="D1016" t="s">
        <v>10</v>
      </c>
      <c r="E1016" t="s">
        <v>23</v>
      </c>
      <c r="F1016">
        <v>45552</v>
      </c>
      <c r="G1016">
        <v>13</v>
      </c>
    </row>
    <row r="1017" spans="1:9" x14ac:dyDescent="0.3">
      <c r="A1017" t="s">
        <v>188</v>
      </c>
      <c r="C1017" t="s">
        <v>42</v>
      </c>
      <c r="D1017" t="s">
        <v>45</v>
      </c>
      <c r="E1017" t="s">
        <v>23</v>
      </c>
      <c r="F1017">
        <v>45292</v>
      </c>
      <c r="H1017">
        <v>1296.45</v>
      </c>
    </row>
    <row r="1018" spans="1:9" x14ac:dyDescent="0.3">
      <c r="A1018" t="s">
        <v>132</v>
      </c>
      <c r="B1018">
        <v>27</v>
      </c>
      <c r="C1018" t="s">
        <v>42</v>
      </c>
      <c r="D1018" t="s">
        <v>25</v>
      </c>
      <c r="E1018" t="s">
        <v>29</v>
      </c>
      <c r="G1018">
        <v>14</v>
      </c>
    </row>
    <row r="1019" spans="1:9" x14ac:dyDescent="0.3">
      <c r="A1019" t="s">
        <v>121</v>
      </c>
      <c r="C1019" t="s">
        <v>38</v>
      </c>
      <c r="D1019" t="s">
        <v>19</v>
      </c>
      <c r="E1019" t="s">
        <v>43</v>
      </c>
      <c r="I1019" t="s">
        <v>16</v>
      </c>
    </row>
    <row r="1020" spans="1:9" x14ac:dyDescent="0.3">
      <c r="A1020" t="s">
        <v>119</v>
      </c>
      <c r="C1020" t="s">
        <v>42</v>
      </c>
      <c r="D1020" t="s">
        <v>48</v>
      </c>
      <c r="E1020" t="s">
        <v>23</v>
      </c>
      <c r="F1020">
        <v>45538</v>
      </c>
      <c r="G1020">
        <v>4</v>
      </c>
      <c r="I1020" t="s">
        <v>16</v>
      </c>
    </row>
    <row r="1021" spans="1:9" x14ac:dyDescent="0.3">
      <c r="A1021" t="s">
        <v>728</v>
      </c>
      <c r="C1021" t="s">
        <v>28</v>
      </c>
      <c r="D1021" t="s">
        <v>33</v>
      </c>
      <c r="E1021" t="s">
        <v>23</v>
      </c>
      <c r="F1021">
        <v>45300</v>
      </c>
      <c r="G1021">
        <v>20</v>
      </c>
      <c r="I1021" t="s">
        <v>21</v>
      </c>
    </row>
    <row r="1022" spans="1:9" x14ac:dyDescent="0.3">
      <c r="A1022" t="s">
        <v>295</v>
      </c>
      <c r="C1022" t="s">
        <v>38</v>
      </c>
      <c r="D1022" t="s">
        <v>14</v>
      </c>
      <c r="E1022" t="s">
        <v>34</v>
      </c>
      <c r="F1022">
        <v>45305</v>
      </c>
      <c r="H1022">
        <v>698.46</v>
      </c>
      <c r="I1022" t="s">
        <v>12</v>
      </c>
    </row>
    <row r="1023" spans="1:9" x14ac:dyDescent="0.3">
      <c r="A1023" t="s">
        <v>729</v>
      </c>
      <c r="C1023" t="s">
        <v>28</v>
      </c>
      <c r="D1023" t="s">
        <v>19</v>
      </c>
      <c r="E1023" t="s">
        <v>29</v>
      </c>
      <c r="F1023">
        <v>45332</v>
      </c>
      <c r="H1023">
        <v>127.37</v>
      </c>
      <c r="I1023" t="s">
        <v>21</v>
      </c>
    </row>
    <row r="1024" spans="1:9" x14ac:dyDescent="0.3">
      <c r="A1024" t="s">
        <v>730</v>
      </c>
      <c r="B1024">
        <v>87</v>
      </c>
      <c r="C1024" t="s">
        <v>42</v>
      </c>
      <c r="D1024" t="s">
        <v>10</v>
      </c>
      <c r="E1024" t="s">
        <v>29</v>
      </c>
      <c r="I1024" t="s">
        <v>21</v>
      </c>
    </row>
    <row r="1025" spans="1:9" x14ac:dyDescent="0.3">
      <c r="A1025" t="s">
        <v>731</v>
      </c>
      <c r="C1025" t="s">
        <v>18</v>
      </c>
      <c r="D1025" t="s">
        <v>10</v>
      </c>
      <c r="E1025" t="s">
        <v>15</v>
      </c>
      <c r="G1025">
        <v>20</v>
      </c>
      <c r="I1025" t="s">
        <v>16</v>
      </c>
    </row>
    <row r="1026" spans="1:9" x14ac:dyDescent="0.3">
      <c r="A1026" t="s">
        <v>157</v>
      </c>
      <c r="B1026">
        <v>91</v>
      </c>
      <c r="C1026" t="s">
        <v>42</v>
      </c>
      <c r="D1026" t="s">
        <v>25</v>
      </c>
      <c r="E1026" t="s">
        <v>15</v>
      </c>
      <c r="F1026">
        <v>45643</v>
      </c>
      <c r="I1026" t="s">
        <v>26</v>
      </c>
    </row>
    <row r="1027" spans="1:9" x14ac:dyDescent="0.3">
      <c r="A1027" t="s">
        <v>482</v>
      </c>
      <c r="C1027" t="s">
        <v>28</v>
      </c>
      <c r="D1027" t="s">
        <v>25</v>
      </c>
      <c r="E1027" t="s">
        <v>43</v>
      </c>
      <c r="F1027">
        <v>45310</v>
      </c>
      <c r="I1027" t="s">
        <v>16</v>
      </c>
    </row>
    <row r="1028" spans="1:9" x14ac:dyDescent="0.3">
      <c r="A1028" t="s">
        <v>186</v>
      </c>
      <c r="D1028" t="s">
        <v>19</v>
      </c>
      <c r="E1028" t="s">
        <v>20</v>
      </c>
      <c r="G1028">
        <v>12</v>
      </c>
      <c r="I1028" t="s">
        <v>16</v>
      </c>
    </row>
    <row r="1029" spans="1:9" x14ac:dyDescent="0.3">
      <c r="A1029" t="s">
        <v>732</v>
      </c>
      <c r="D1029" t="s">
        <v>10</v>
      </c>
      <c r="E1029" t="s">
        <v>20</v>
      </c>
      <c r="F1029">
        <v>45402</v>
      </c>
      <c r="I1029" t="s">
        <v>16</v>
      </c>
    </row>
    <row r="1030" spans="1:9" x14ac:dyDescent="0.3">
      <c r="A1030" t="s">
        <v>733</v>
      </c>
      <c r="B1030">
        <v>42</v>
      </c>
      <c r="C1030" t="s">
        <v>18</v>
      </c>
      <c r="E1030" t="s">
        <v>34</v>
      </c>
      <c r="F1030">
        <v>45365</v>
      </c>
      <c r="G1030">
        <v>9</v>
      </c>
      <c r="H1030">
        <v>1736.16</v>
      </c>
      <c r="I1030" t="s">
        <v>16</v>
      </c>
    </row>
    <row r="1031" spans="1:9" x14ac:dyDescent="0.3">
      <c r="A1031" t="s">
        <v>515</v>
      </c>
      <c r="C1031" t="s">
        <v>18</v>
      </c>
      <c r="D1031" t="s">
        <v>10</v>
      </c>
      <c r="E1031" t="s">
        <v>34</v>
      </c>
      <c r="F1031">
        <v>45366</v>
      </c>
      <c r="I1031" t="s">
        <v>16</v>
      </c>
    </row>
    <row r="1032" spans="1:9" x14ac:dyDescent="0.3">
      <c r="A1032" t="s">
        <v>427</v>
      </c>
      <c r="E1032" t="s">
        <v>29</v>
      </c>
      <c r="F1032">
        <v>45628</v>
      </c>
      <c r="G1032">
        <v>11</v>
      </c>
      <c r="H1032">
        <v>1339.64</v>
      </c>
      <c r="I1032" t="s">
        <v>26</v>
      </c>
    </row>
    <row r="1033" spans="1:9" x14ac:dyDescent="0.3">
      <c r="A1033" t="s">
        <v>242</v>
      </c>
      <c r="D1033" t="s">
        <v>19</v>
      </c>
      <c r="E1033" t="s">
        <v>15</v>
      </c>
      <c r="F1033">
        <v>45617</v>
      </c>
      <c r="I1033" t="s">
        <v>16</v>
      </c>
    </row>
    <row r="1034" spans="1:9" x14ac:dyDescent="0.3">
      <c r="A1034" t="s">
        <v>734</v>
      </c>
      <c r="D1034" t="s">
        <v>14</v>
      </c>
      <c r="E1034" t="s">
        <v>11</v>
      </c>
      <c r="F1034">
        <v>45443</v>
      </c>
      <c r="G1034">
        <v>2</v>
      </c>
      <c r="H1034">
        <v>755.07</v>
      </c>
      <c r="I1034" t="s">
        <v>26</v>
      </c>
    </row>
    <row r="1035" spans="1:9" x14ac:dyDescent="0.3">
      <c r="A1035" t="s">
        <v>636</v>
      </c>
      <c r="C1035" t="s">
        <v>28</v>
      </c>
      <c r="D1035" t="s">
        <v>45</v>
      </c>
      <c r="E1035" t="s">
        <v>43</v>
      </c>
      <c r="F1035">
        <v>45344</v>
      </c>
      <c r="H1035">
        <v>1647.06</v>
      </c>
      <c r="I1035" t="s">
        <v>21</v>
      </c>
    </row>
    <row r="1036" spans="1:9" x14ac:dyDescent="0.3">
      <c r="A1036" t="s">
        <v>446</v>
      </c>
      <c r="B1036">
        <v>41</v>
      </c>
      <c r="C1036" t="s">
        <v>18</v>
      </c>
      <c r="D1036" t="s">
        <v>14</v>
      </c>
      <c r="E1036" t="s">
        <v>20</v>
      </c>
      <c r="F1036">
        <v>45596</v>
      </c>
      <c r="G1036">
        <v>16</v>
      </c>
      <c r="I1036" t="s">
        <v>21</v>
      </c>
    </row>
    <row r="1037" spans="1:9" x14ac:dyDescent="0.3">
      <c r="A1037" t="s">
        <v>469</v>
      </c>
      <c r="C1037" t="s">
        <v>42</v>
      </c>
      <c r="D1037" t="s">
        <v>25</v>
      </c>
      <c r="E1037" t="s">
        <v>34</v>
      </c>
      <c r="F1037">
        <v>45594</v>
      </c>
      <c r="G1037">
        <v>10</v>
      </c>
      <c r="I1037" t="s">
        <v>26</v>
      </c>
    </row>
    <row r="1038" spans="1:9" x14ac:dyDescent="0.3">
      <c r="A1038" t="s">
        <v>55</v>
      </c>
      <c r="C1038" t="s">
        <v>28</v>
      </c>
      <c r="D1038" t="s">
        <v>51</v>
      </c>
      <c r="E1038" t="s">
        <v>15</v>
      </c>
      <c r="F1038">
        <v>45556</v>
      </c>
      <c r="G1038">
        <v>7</v>
      </c>
    </row>
    <row r="1039" spans="1:9" x14ac:dyDescent="0.3">
      <c r="A1039" t="s">
        <v>735</v>
      </c>
      <c r="D1039" t="s">
        <v>51</v>
      </c>
      <c r="E1039" t="s">
        <v>57</v>
      </c>
      <c r="F1039">
        <v>45322</v>
      </c>
      <c r="I1039" t="s">
        <v>12</v>
      </c>
    </row>
    <row r="1040" spans="1:9" x14ac:dyDescent="0.3">
      <c r="A1040" t="s">
        <v>611</v>
      </c>
      <c r="C1040" t="s">
        <v>18</v>
      </c>
      <c r="D1040" t="s">
        <v>10</v>
      </c>
      <c r="E1040" t="s">
        <v>11</v>
      </c>
      <c r="F1040">
        <v>45349</v>
      </c>
      <c r="G1040">
        <v>13</v>
      </c>
    </row>
    <row r="1041" spans="1:9" x14ac:dyDescent="0.3">
      <c r="A1041" t="s">
        <v>120</v>
      </c>
      <c r="D1041" t="s">
        <v>51</v>
      </c>
      <c r="E1041" t="s">
        <v>43</v>
      </c>
      <c r="F1041">
        <v>45594</v>
      </c>
      <c r="H1041">
        <v>1889.5</v>
      </c>
      <c r="I1041" t="s">
        <v>16</v>
      </c>
    </row>
    <row r="1042" spans="1:9" x14ac:dyDescent="0.3">
      <c r="A1042" t="s">
        <v>234</v>
      </c>
      <c r="C1042" t="s">
        <v>18</v>
      </c>
      <c r="D1042" t="s">
        <v>45</v>
      </c>
      <c r="E1042" t="s">
        <v>43</v>
      </c>
      <c r="G1042">
        <v>4</v>
      </c>
      <c r="I1042" t="s">
        <v>12</v>
      </c>
    </row>
    <row r="1043" spans="1:9" x14ac:dyDescent="0.3">
      <c r="A1043" t="s">
        <v>629</v>
      </c>
      <c r="C1043" t="s">
        <v>42</v>
      </c>
      <c r="D1043" t="s">
        <v>10</v>
      </c>
      <c r="E1043" t="s">
        <v>29</v>
      </c>
      <c r="F1043">
        <v>45539</v>
      </c>
      <c r="H1043">
        <v>608.96</v>
      </c>
      <c r="I1043" t="s">
        <v>21</v>
      </c>
    </row>
    <row r="1044" spans="1:9" x14ac:dyDescent="0.3">
      <c r="A1044" t="s">
        <v>736</v>
      </c>
      <c r="D1044" t="s">
        <v>33</v>
      </c>
      <c r="E1044" t="s">
        <v>23</v>
      </c>
      <c r="F1044">
        <v>45352</v>
      </c>
      <c r="H1044">
        <v>1364.89</v>
      </c>
      <c r="I1044" t="s">
        <v>26</v>
      </c>
    </row>
    <row r="1045" spans="1:9" x14ac:dyDescent="0.3">
      <c r="A1045" t="s">
        <v>165</v>
      </c>
      <c r="C1045" t="s">
        <v>38</v>
      </c>
      <c r="D1045" t="s">
        <v>14</v>
      </c>
      <c r="E1045" t="s">
        <v>34</v>
      </c>
      <c r="F1045">
        <v>45608</v>
      </c>
      <c r="H1045">
        <v>217.3</v>
      </c>
      <c r="I1045" t="s">
        <v>26</v>
      </c>
    </row>
    <row r="1046" spans="1:9" x14ac:dyDescent="0.3">
      <c r="A1046" t="s">
        <v>218</v>
      </c>
      <c r="B1046">
        <v>83</v>
      </c>
      <c r="C1046" t="s">
        <v>38</v>
      </c>
      <c r="D1046" t="s">
        <v>45</v>
      </c>
      <c r="E1046" t="s">
        <v>23</v>
      </c>
      <c r="G1046">
        <v>18</v>
      </c>
      <c r="H1046">
        <v>966.46</v>
      </c>
      <c r="I1046" t="s">
        <v>16</v>
      </c>
    </row>
    <row r="1047" spans="1:9" x14ac:dyDescent="0.3">
      <c r="A1047" t="s">
        <v>330</v>
      </c>
      <c r="C1047" t="s">
        <v>28</v>
      </c>
      <c r="D1047" t="s">
        <v>33</v>
      </c>
      <c r="E1047" t="s">
        <v>34</v>
      </c>
      <c r="G1047">
        <v>18</v>
      </c>
      <c r="I1047" t="s">
        <v>21</v>
      </c>
    </row>
    <row r="1048" spans="1:9" x14ac:dyDescent="0.3">
      <c r="A1048" t="s">
        <v>708</v>
      </c>
      <c r="D1048" t="s">
        <v>45</v>
      </c>
      <c r="E1048" t="s">
        <v>15</v>
      </c>
      <c r="F1048">
        <v>45573</v>
      </c>
      <c r="I1048" t="s">
        <v>16</v>
      </c>
    </row>
    <row r="1049" spans="1:9" x14ac:dyDescent="0.3">
      <c r="A1049" t="s">
        <v>150</v>
      </c>
      <c r="C1049" t="s">
        <v>28</v>
      </c>
      <c r="D1049" t="s">
        <v>19</v>
      </c>
      <c r="E1049" t="s">
        <v>43</v>
      </c>
      <c r="F1049">
        <v>45616</v>
      </c>
      <c r="I1049" t="s">
        <v>21</v>
      </c>
    </row>
    <row r="1050" spans="1:9" x14ac:dyDescent="0.3">
      <c r="A1050" t="s">
        <v>639</v>
      </c>
      <c r="C1050" t="s">
        <v>28</v>
      </c>
      <c r="D1050" t="s">
        <v>33</v>
      </c>
      <c r="E1050" t="s">
        <v>43</v>
      </c>
      <c r="H1050">
        <v>809.98</v>
      </c>
      <c r="I1050" t="s">
        <v>21</v>
      </c>
    </row>
    <row r="1051" spans="1:9" x14ac:dyDescent="0.3">
      <c r="A1051" t="s">
        <v>394</v>
      </c>
      <c r="B1051">
        <v>21</v>
      </c>
      <c r="C1051" t="s">
        <v>28</v>
      </c>
      <c r="D1051" t="s">
        <v>19</v>
      </c>
      <c r="E1051" t="s">
        <v>34</v>
      </c>
      <c r="G1051">
        <v>2</v>
      </c>
      <c r="I1051" t="s">
        <v>12</v>
      </c>
    </row>
    <row r="1052" spans="1:9" x14ac:dyDescent="0.3">
      <c r="A1052" t="s">
        <v>507</v>
      </c>
      <c r="B1052">
        <v>55</v>
      </c>
      <c r="C1052" t="s">
        <v>38</v>
      </c>
      <c r="D1052" t="s">
        <v>33</v>
      </c>
      <c r="E1052" t="s">
        <v>34</v>
      </c>
      <c r="F1052">
        <v>45486</v>
      </c>
      <c r="G1052">
        <v>16</v>
      </c>
      <c r="I1052" t="s">
        <v>21</v>
      </c>
    </row>
    <row r="1053" spans="1:9" x14ac:dyDescent="0.3">
      <c r="A1053" t="s">
        <v>737</v>
      </c>
      <c r="D1053" t="s">
        <v>19</v>
      </c>
      <c r="E1053" t="s">
        <v>29</v>
      </c>
      <c r="F1053">
        <v>45476</v>
      </c>
      <c r="I1053" t="s">
        <v>12</v>
      </c>
    </row>
    <row r="1054" spans="1:9" x14ac:dyDescent="0.3">
      <c r="A1054" t="s">
        <v>738</v>
      </c>
      <c r="B1054">
        <v>43</v>
      </c>
      <c r="C1054" t="s">
        <v>18</v>
      </c>
      <c r="D1054" t="s">
        <v>33</v>
      </c>
      <c r="E1054" t="s">
        <v>43</v>
      </c>
      <c r="F1054">
        <v>45627</v>
      </c>
      <c r="H1054">
        <v>541.27</v>
      </c>
      <c r="I1054" t="s">
        <v>12</v>
      </c>
    </row>
    <row r="1055" spans="1:9" x14ac:dyDescent="0.3">
      <c r="A1055" t="s">
        <v>420</v>
      </c>
      <c r="C1055" t="s">
        <v>18</v>
      </c>
      <c r="D1055" t="s">
        <v>51</v>
      </c>
      <c r="E1055" t="s">
        <v>15</v>
      </c>
      <c r="I1055" t="s">
        <v>12</v>
      </c>
    </row>
    <row r="1056" spans="1:9" x14ac:dyDescent="0.3">
      <c r="A1056" t="s">
        <v>125</v>
      </c>
      <c r="C1056" t="s">
        <v>42</v>
      </c>
      <c r="E1056" t="s">
        <v>34</v>
      </c>
      <c r="H1056">
        <v>1663.52</v>
      </c>
      <c r="I1056" t="s">
        <v>12</v>
      </c>
    </row>
    <row r="1057" spans="1:9" x14ac:dyDescent="0.3">
      <c r="A1057" t="s">
        <v>648</v>
      </c>
      <c r="C1057" t="s">
        <v>28</v>
      </c>
      <c r="D1057" t="s">
        <v>14</v>
      </c>
      <c r="E1057" t="s">
        <v>57</v>
      </c>
      <c r="F1057">
        <v>45496</v>
      </c>
      <c r="H1057">
        <v>1945.47</v>
      </c>
      <c r="I1057" t="s">
        <v>12</v>
      </c>
    </row>
    <row r="1058" spans="1:9" x14ac:dyDescent="0.3">
      <c r="A1058" t="s">
        <v>492</v>
      </c>
      <c r="B1058">
        <v>86</v>
      </c>
      <c r="C1058" t="s">
        <v>38</v>
      </c>
      <c r="D1058" t="s">
        <v>25</v>
      </c>
      <c r="E1058" t="s">
        <v>43</v>
      </c>
      <c r="F1058">
        <v>45340</v>
      </c>
      <c r="I1058" t="s">
        <v>26</v>
      </c>
    </row>
    <row r="1059" spans="1:9" x14ac:dyDescent="0.3">
      <c r="A1059" t="s">
        <v>739</v>
      </c>
      <c r="E1059" t="s">
        <v>29</v>
      </c>
      <c r="F1059">
        <v>45474</v>
      </c>
      <c r="H1059">
        <v>1875.4</v>
      </c>
      <c r="I1059" t="s">
        <v>16</v>
      </c>
    </row>
    <row r="1060" spans="1:9" x14ac:dyDescent="0.3">
      <c r="A1060" t="s">
        <v>740</v>
      </c>
      <c r="C1060" t="s">
        <v>28</v>
      </c>
      <c r="D1060" t="s">
        <v>51</v>
      </c>
      <c r="E1060" t="s">
        <v>23</v>
      </c>
      <c r="F1060">
        <v>45492</v>
      </c>
      <c r="G1060">
        <v>17</v>
      </c>
      <c r="I1060" t="s">
        <v>26</v>
      </c>
    </row>
    <row r="1061" spans="1:9" x14ac:dyDescent="0.3">
      <c r="A1061" t="s">
        <v>460</v>
      </c>
      <c r="B1061">
        <v>85</v>
      </c>
      <c r="C1061" t="s">
        <v>38</v>
      </c>
      <c r="D1061" t="s">
        <v>51</v>
      </c>
      <c r="E1061" t="s">
        <v>57</v>
      </c>
      <c r="F1061">
        <v>45623</v>
      </c>
      <c r="I1061" t="s">
        <v>12</v>
      </c>
    </row>
    <row r="1062" spans="1:9" x14ac:dyDescent="0.3">
      <c r="A1062" t="s">
        <v>288</v>
      </c>
      <c r="C1062" t="s">
        <v>18</v>
      </c>
      <c r="D1062" t="s">
        <v>10</v>
      </c>
      <c r="E1062" t="s">
        <v>34</v>
      </c>
      <c r="F1062">
        <v>45407</v>
      </c>
      <c r="H1062">
        <v>102.09</v>
      </c>
    </row>
    <row r="1063" spans="1:9" x14ac:dyDescent="0.3">
      <c r="A1063" t="s">
        <v>248</v>
      </c>
      <c r="C1063" t="s">
        <v>28</v>
      </c>
      <c r="D1063" t="s">
        <v>14</v>
      </c>
      <c r="E1063" t="s">
        <v>57</v>
      </c>
      <c r="F1063">
        <v>45483</v>
      </c>
      <c r="H1063">
        <v>742.89</v>
      </c>
      <c r="I1063" t="s">
        <v>21</v>
      </c>
    </row>
    <row r="1064" spans="1:9" x14ac:dyDescent="0.3">
      <c r="A1064" t="s">
        <v>741</v>
      </c>
      <c r="B1064">
        <v>50</v>
      </c>
      <c r="C1064" t="s">
        <v>28</v>
      </c>
      <c r="E1064" t="s">
        <v>43</v>
      </c>
      <c r="F1064">
        <v>45597</v>
      </c>
      <c r="I1064" t="s">
        <v>12</v>
      </c>
    </row>
    <row r="1065" spans="1:9" x14ac:dyDescent="0.3">
      <c r="A1065" t="s">
        <v>742</v>
      </c>
      <c r="D1065" t="s">
        <v>33</v>
      </c>
      <c r="E1065" t="s">
        <v>29</v>
      </c>
      <c r="F1065">
        <v>45596</v>
      </c>
      <c r="G1065">
        <v>10</v>
      </c>
      <c r="I1065" t="s">
        <v>12</v>
      </c>
    </row>
    <row r="1066" spans="1:9" x14ac:dyDescent="0.3">
      <c r="A1066" t="s">
        <v>441</v>
      </c>
      <c r="C1066" t="s">
        <v>38</v>
      </c>
      <c r="D1066" t="s">
        <v>10</v>
      </c>
      <c r="E1066" t="s">
        <v>29</v>
      </c>
      <c r="F1066">
        <v>45544</v>
      </c>
      <c r="H1066">
        <v>998.41</v>
      </c>
      <c r="I1066" t="s">
        <v>12</v>
      </c>
    </row>
    <row r="1067" spans="1:9" x14ac:dyDescent="0.3">
      <c r="A1067" t="s">
        <v>31</v>
      </c>
      <c r="C1067" t="s">
        <v>38</v>
      </c>
      <c r="E1067" t="s">
        <v>29</v>
      </c>
      <c r="H1067">
        <v>1037.8399999999999</v>
      </c>
      <c r="I1067" t="s">
        <v>16</v>
      </c>
    </row>
    <row r="1068" spans="1:9" x14ac:dyDescent="0.3">
      <c r="A1068" t="s">
        <v>743</v>
      </c>
      <c r="D1068" t="s">
        <v>48</v>
      </c>
      <c r="E1068" t="s">
        <v>20</v>
      </c>
      <c r="F1068">
        <v>45491</v>
      </c>
      <c r="G1068">
        <v>20</v>
      </c>
    </row>
    <row r="1069" spans="1:9" x14ac:dyDescent="0.3">
      <c r="A1069" t="s">
        <v>744</v>
      </c>
      <c r="C1069" t="s">
        <v>42</v>
      </c>
      <c r="D1069" t="s">
        <v>45</v>
      </c>
      <c r="E1069" t="s">
        <v>43</v>
      </c>
      <c r="F1069">
        <v>45553</v>
      </c>
      <c r="I1069" t="s">
        <v>12</v>
      </c>
    </row>
    <row r="1070" spans="1:9" x14ac:dyDescent="0.3">
      <c r="A1070" t="s">
        <v>625</v>
      </c>
      <c r="C1070" t="s">
        <v>42</v>
      </c>
      <c r="D1070" t="s">
        <v>48</v>
      </c>
      <c r="E1070" t="s">
        <v>11</v>
      </c>
      <c r="F1070">
        <v>45407</v>
      </c>
      <c r="G1070">
        <v>4</v>
      </c>
    </row>
    <row r="1071" spans="1:9" x14ac:dyDescent="0.3">
      <c r="A1071" t="s">
        <v>718</v>
      </c>
      <c r="B1071">
        <v>61</v>
      </c>
      <c r="C1071" t="s">
        <v>38</v>
      </c>
      <c r="D1071" t="s">
        <v>10</v>
      </c>
      <c r="E1071" t="s">
        <v>15</v>
      </c>
      <c r="G1071">
        <v>11</v>
      </c>
      <c r="I1071" t="s">
        <v>16</v>
      </c>
    </row>
    <row r="1072" spans="1:9" x14ac:dyDescent="0.3">
      <c r="A1072" t="s">
        <v>223</v>
      </c>
      <c r="B1072">
        <v>48</v>
      </c>
      <c r="C1072" t="s">
        <v>18</v>
      </c>
      <c r="D1072" t="s">
        <v>48</v>
      </c>
      <c r="E1072" t="s">
        <v>57</v>
      </c>
      <c r="I1072" t="s">
        <v>21</v>
      </c>
    </row>
    <row r="1073" spans="1:9" x14ac:dyDescent="0.3">
      <c r="A1073" t="s">
        <v>714</v>
      </c>
      <c r="D1073" t="s">
        <v>25</v>
      </c>
      <c r="E1073" t="s">
        <v>15</v>
      </c>
      <c r="F1073">
        <v>45343</v>
      </c>
      <c r="H1073">
        <v>1389.74</v>
      </c>
      <c r="I1073" t="s">
        <v>12</v>
      </c>
    </row>
    <row r="1074" spans="1:9" x14ac:dyDescent="0.3">
      <c r="A1074" t="s">
        <v>484</v>
      </c>
      <c r="D1074" t="s">
        <v>51</v>
      </c>
      <c r="E1074" t="s">
        <v>43</v>
      </c>
      <c r="F1074">
        <v>45420</v>
      </c>
    </row>
    <row r="1075" spans="1:9" x14ac:dyDescent="0.3">
      <c r="A1075" t="s">
        <v>439</v>
      </c>
      <c r="C1075" t="s">
        <v>18</v>
      </c>
      <c r="D1075" t="s">
        <v>48</v>
      </c>
      <c r="E1075" t="s">
        <v>29</v>
      </c>
      <c r="F1075">
        <v>45471</v>
      </c>
      <c r="H1075">
        <v>772.64</v>
      </c>
      <c r="I1075" t="s">
        <v>12</v>
      </c>
    </row>
    <row r="1076" spans="1:9" x14ac:dyDescent="0.3">
      <c r="A1076" t="s">
        <v>745</v>
      </c>
      <c r="C1076" t="s">
        <v>18</v>
      </c>
      <c r="D1076" t="s">
        <v>14</v>
      </c>
      <c r="E1076" t="s">
        <v>29</v>
      </c>
      <c r="F1076">
        <v>45297</v>
      </c>
      <c r="G1076">
        <v>8</v>
      </c>
      <c r="I1076" t="s">
        <v>16</v>
      </c>
    </row>
    <row r="1077" spans="1:9" x14ac:dyDescent="0.3">
      <c r="A1077" t="s">
        <v>746</v>
      </c>
      <c r="C1077" t="s">
        <v>38</v>
      </c>
      <c r="D1077" t="s">
        <v>14</v>
      </c>
      <c r="E1077" t="s">
        <v>23</v>
      </c>
      <c r="F1077">
        <v>45505</v>
      </c>
      <c r="I1077" t="s">
        <v>21</v>
      </c>
    </row>
    <row r="1078" spans="1:9" x14ac:dyDescent="0.3">
      <c r="A1078" t="s">
        <v>320</v>
      </c>
      <c r="B1078">
        <v>45</v>
      </c>
      <c r="C1078" t="s">
        <v>38</v>
      </c>
      <c r="D1078" t="s">
        <v>48</v>
      </c>
      <c r="E1078" t="s">
        <v>34</v>
      </c>
      <c r="F1078">
        <v>45597</v>
      </c>
      <c r="I1078" t="s">
        <v>16</v>
      </c>
    </row>
    <row r="1079" spans="1:9" x14ac:dyDescent="0.3">
      <c r="A1079" t="s">
        <v>123</v>
      </c>
      <c r="D1079" t="s">
        <v>25</v>
      </c>
      <c r="E1079" t="s">
        <v>29</v>
      </c>
      <c r="I1079" t="s">
        <v>12</v>
      </c>
    </row>
    <row r="1080" spans="1:9" x14ac:dyDescent="0.3">
      <c r="A1080" t="s">
        <v>360</v>
      </c>
      <c r="B1080">
        <v>43</v>
      </c>
      <c r="C1080" t="s">
        <v>38</v>
      </c>
      <c r="D1080" t="s">
        <v>33</v>
      </c>
      <c r="E1080" t="s">
        <v>57</v>
      </c>
      <c r="H1080">
        <v>1356.47</v>
      </c>
      <c r="I1080" t="s">
        <v>21</v>
      </c>
    </row>
    <row r="1081" spans="1:9" x14ac:dyDescent="0.3">
      <c r="A1081" t="s">
        <v>666</v>
      </c>
      <c r="B1081">
        <v>63</v>
      </c>
      <c r="C1081" t="s">
        <v>28</v>
      </c>
      <c r="D1081" t="s">
        <v>19</v>
      </c>
      <c r="E1081" t="s">
        <v>20</v>
      </c>
      <c r="F1081">
        <v>45450</v>
      </c>
      <c r="H1081">
        <v>1808.47</v>
      </c>
    </row>
    <row r="1082" spans="1:9" x14ac:dyDescent="0.3">
      <c r="A1082" t="s">
        <v>154</v>
      </c>
      <c r="C1082" t="s">
        <v>28</v>
      </c>
      <c r="D1082" t="s">
        <v>14</v>
      </c>
      <c r="E1082" t="s">
        <v>29</v>
      </c>
      <c r="F1082">
        <v>45548</v>
      </c>
    </row>
    <row r="1083" spans="1:9" x14ac:dyDescent="0.3">
      <c r="A1083" t="s">
        <v>355</v>
      </c>
      <c r="B1083">
        <v>41</v>
      </c>
      <c r="C1083" t="s">
        <v>28</v>
      </c>
      <c r="D1083" t="s">
        <v>19</v>
      </c>
      <c r="E1083" t="s">
        <v>15</v>
      </c>
      <c r="F1083">
        <v>45380</v>
      </c>
      <c r="G1083">
        <v>5</v>
      </c>
      <c r="I1083" t="s">
        <v>12</v>
      </c>
    </row>
    <row r="1084" spans="1:9" x14ac:dyDescent="0.3">
      <c r="A1084" t="s">
        <v>431</v>
      </c>
      <c r="C1084" t="s">
        <v>42</v>
      </c>
      <c r="D1084" t="s">
        <v>51</v>
      </c>
      <c r="E1084" t="s">
        <v>20</v>
      </c>
      <c r="F1084">
        <v>45343</v>
      </c>
      <c r="I1084" t="s">
        <v>16</v>
      </c>
    </row>
    <row r="1085" spans="1:9" x14ac:dyDescent="0.3">
      <c r="A1085" t="s">
        <v>47</v>
      </c>
      <c r="D1085" t="s">
        <v>14</v>
      </c>
      <c r="E1085" t="s">
        <v>15</v>
      </c>
      <c r="F1085">
        <v>45505</v>
      </c>
      <c r="I1085" t="s">
        <v>26</v>
      </c>
    </row>
    <row r="1086" spans="1:9" x14ac:dyDescent="0.3">
      <c r="A1086" t="s">
        <v>622</v>
      </c>
      <c r="C1086" t="s">
        <v>38</v>
      </c>
      <c r="D1086" t="s">
        <v>10</v>
      </c>
      <c r="E1086" t="s">
        <v>11</v>
      </c>
      <c r="F1086">
        <v>45414</v>
      </c>
      <c r="I1086" t="s">
        <v>26</v>
      </c>
    </row>
    <row r="1087" spans="1:9" x14ac:dyDescent="0.3">
      <c r="A1087" t="s">
        <v>747</v>
      </c>
      <c r="C1087" t="s">
        <v>28</v>
      </c>
      <c r="D1087" t="s">
        <v>14</v>
      </c>
      <c r="E1087" t="s">
        <v>11</v>
      </c>
      <c r="F1087">
        <v>45507</v>
      </c>
      <c r="I1087" t="s">
        <v>21</v>
      </c>
    </row>
    <row r="1088" spans="1:9" x14ac:dyDescent="0.3">
      <c r="A1088" t="s">
        <v>394</v>
      </c>
      <c r="D1088" t="s">
        <v>45</v>
      </c>
      <c r="E1088" t="s">
        <v>29</v>
      </c>
      <c r="F1088">
        <v>45360</v>
      </c>
      <c r="G1088">
        <v>8</v>
      </c>
    </row>
    <row r="1089" spans="1:9" x14ac:dyDescent="0.3">
      <c r="A1089" t="s">
        <v>748</v>
      </c>
      <c r="C1089" t="s">
        <v>18</v>
      </c>
      <c r="D1089" t="s">
        <v>51</v>
      </c>
      <c r="E1089" t="s">
        <v>43</v>
      </c>
      <c r="F1089">
        <v>45360</v>
      </c>
      <c r="H1089">
        <v>630.05999999999995</v>
      </c>
      <c r="I1089" t="s">
        <v>12</v>
      </c>
    </row>
    <row r="1090" spans="1:9" x14ac:dyDescent="0.3">
      <c r="A1090" t="s">
        <v>493</v>
      </c>
      <c r="C1090" t="s">
        <v>18</v>
      </c>
      <c r="D1090" t="s">
        <v>45</v>
      </c>
      <c r="E1090" t="s">
        <v>34</v>
      </c>
      <c r="F1090">
        <v>45458</v>
      </c>
      <c r="I1090" t="s">
        <v>26</v>
      </c>
    </row>
    <row r="1091" spans="1:9" x14ac:dyDescent="0.3">
      <c r="A1091" t="s">
        <v>749</v>
      </c>
      <c r="C1091" t="s">
        <v>28</v>
      </c>
      <c r="D1091" t="s">
        <v>45</v>
      </c>
      <c r="E1091" t="s">
        <v>29</v>
      </c>
      <c r="F1091">
        <v>45585</v>
      </c>
      <c r="I1091" t="s">
        <v>21</v>
      </c>
    </row>
    <row r="1092" spans="1:9" x14ac:dyDescent="0.3">
      <c r="A1092" t="s">
        <v>69</v>
      </c>
      <c r="B1092">
        <v>56</v>
      </c>
      <c r="C1092" t="s">
        <v>28</v>
      </c>
      <c r="D1092" t="s">
        <v>25</v>
      </c>
      <c r="E1092" t="s">
        <v>29</v>
      </c>
      <c r="F1092">
        <v>45598</v>
      </c>
      <c r="H1092">
        <v>1699.68</v>
      </c>
      <c r="I1092" t="s">
        <v>21</v>
      </c>
    </row>
    <row r="1093" spans="1:9" x14ac:dyDescent="0.3">
      <c r="A1093" t="s">
        <v>224</v>
      </c>
      <c r="B1093">
        <v>75</v>
      </c>
      <c r="D1093" t="s">
        <v>45</v>
      </c>
      <c r="E1093" t="s">
        <v>23</v>
      </c>
      <c r="F1093">
        <v>45557</v>
      </c>
      <c r="I1093" t="s">
        <v>16</v>
      </c>
    </row>
    <row r="1094" spans="1:9" x14ac:dyDescent="0.3">
      <c r="A1094" t="s">
        <v>188</v>
      </c>
      <c r="B1094">
        <v>24</v>
      </c>
      <c r="C1094" t="s">
        <v>38</v>
      </c>
      <c r="D1094" t="s">
        <v>45</v>
      </c>
      <c r="E1094" t="s">
        <v>43</v>
      </c>
      <c r="F1094">
        <v>45531</v>
      </c>
      <c r="H1094">
        <v>94.52</v>
      </c>
      <c r="I1094" t="s">
        <v>21</v>
      </c>
    </row>
    <row r="1095" spans="1:9" x14ac:dyDescent="0.3">
      <c r="A1095" t="s">
        <v>727</v>
      </c>
      <c r="C1095" t="s">
        <v>42</v>
      </c>
      <c r="D1095" t="s">
        <v>19</v>
      </c>
      <c r="E1095" t="s">
        <v>20</v>
      </c>
      <c r="F1095">
        <v>45333</v>
      </c>
    </row>
    <row r="1096" spans="1:9" x14ac:dyDescent="0.3">
      <c r="A1096" t="s">
        <v>750</v>
      </c>
      <c r="B1096">
        <v>76</v>
      </c>
      <c r="C1096" t="s">
        <v>42</v>
      </c>
      <c r="D1096" t="s">
        <v>45</v>
      </c>
      <c r="E1096" t="s">
        <v>34</v>
      </c>
      <c r="F1096">
        <v>45457</v>
      </c>
      <c r="G1096">
        <v>4</v>
      </c>
      <c r="I1096" t="s">
        <v>12</v>
      </c>
    </row>
    <row r="1097" spans="1:9" x14ac:dyDescent="0.3">
      <c r="A1097" t="s">
        <v>751</v>
      </c>
      <c r="C1097" t="s">
        <v>18</v>
      </c>
      <c r="D1097" t="s">
        <v>33</v>
      </c>
      <c r="E1097" t="s">
        <v>23</v>
      </c>
      <c r="F1097">
        <v>45397</v>
      </c>
      <c r="H1097">
        <v>1981.64</v>
      </c>
      <c r="I1097" t="s">
        <v>12</v>
      </c>
    </row>
    <row r="1098" spans="1:9" x14ac:dyDescent="0.3">
      <c r="A1098" t="s">
        <v>752</v>
      </c>
      <c r="B1098">
        <v>54</v>
      </c>
      <c r="C1098" t="s">
        <v>42</v>
      </c>
      <c r="D1098" t="s">
        <v>33</v>
      </c>
      <c r="E1098" t="s">
        <v>23</v>
      </c>
      <c r="F1098">
        <v>45640</v>
      </c>
      <c r="H1098">
        <v>449.26</v>
      </c>
    </row>
    <row r="1099" spans="1:9" x14ac:dyDescent="0.3">
      <c r="A1099" t="s">
        <v>577</v>
      </c>
      <c r="C1099" t="s">
        <v>18</v>
      </c>
      <c r="D1099" t="s">
        <v>48</v>
      </c>
      <c r="E1099" t="s">
        <v>11</v>
      </c>
      <c r="F1099">
        <v>45335</v>
      </c>
      <c r="G1099">
        <v>2</v>
      </c>
      <c r="I1099" t="s">
        <v>16</v>
      </c>
    </row>
    <row r="1100" spans="1:9" x14ac:dyDescent="0.3">
      <c r="A1100" t="s">
        <v>110</v>
      </c>
      <c r="B1100">
        <v>37</v>
      </c>
      <c r="D1100" t="s">
        <v>10</v>
      </c>
      <c r="E1100" t="s">
        <v>20</v>
      </c>
      <c r="F1100">
        <v>45324</v>
      </c>
      <c r="I1100" t="s">
        <v>26</v>
      </c>
    </row>
    <row r="1101" spans="1:9" x14ac:dyDescent="0.3">
      <c r="A1101" t="s">
        <v>392</v>
      </c>
      <c r="B1101">
        <v>23</v>
      </c>
      <c r="C1101" t="s">
        <v>38</v>
      </c>
      <c r="D1101" t="s">
        <v>33</v>
      </c>
      <c r="E1101" t="s">
        <v>34</v>
      </c>
      <c r="F1101">
        <v>45475</v>
      </c>
      <c r="G1101">
        <v>7</v>
      </c>
      <c r="I1101" t="s">
        <v>21</v>
      </c>
    </row>
    <row r="1102" spans="1:9" x14ac:dyDescent="0.3">
      <c r="A1102" t="s">
        <v>387</v>
      </c>
      <c r="C1102" t="s">
        <v>28</v>
      </c>
      <c r="D1102" t="s">
        <v>19</v>
      </c>
      <c r="E1102" t="s">
        <v>20</v>
      </c>
      <c r="F1102">
        <v>45553</v>
      </c>
      <c r="I1102" t="s">
        <v>26</v>
      </c>
    </row>
    <row r="1103" spans="1:9" x14ac:dyDescent="0.3">
      <c r="A1103" t="s">
        <v>753</v>
      </c>
      <c r="D1103" t="s">
        <v>14</v>
      </c>
      <c r="E1103" t="s">
        <v>34</v>
      </c>
      <c r="F1103">
        <v>45418</v>
      </c>
    </row>
    <row r="1104" spans="1:9" x14ac:dyDescent="0.3">
      <c r="A1104" t="s">
        <v>64</v>
      </c>
      <c r="D1104" t="s">
        <v>19</v>
      </c>
      <c r="E1104" t="s">
        <v>23</v>
      </c>
      <c r="F1104">
        <v>45516</v>
      </c>
      <c r="H1104">
        <v>771.58</v>
      </c>
      <c r="I1104" t="s">
        <v>12</v>
      </c>
    </row>
    <row r="1105" spans="1:9" x14ac:dyDescent="0.3">
      <c r="A1105" t="s">
        <v>754</v>
      </c>
      <c r="D1105" t="s">
        <v>19</v>
      </c>
      <c r="E1105" t="s">
        <v>11</v>
      </c>
      <c r="F1105">
        <v>45505</v>
      </c>
      <c r="I1105" t="s">
        <v>12</v>
      </c>
    </row>
    <row r="1106" spans="1:9" x14ac:dyDescent="0.3">
      <c r="A1106" t="s">
        <v>755</v>
      </c>
      <c r="C1106" t="s">
        <v>42</v>
      </c>
      <c r="E1106" t="s">
        <v>34</v>
      </c>
      <c r="F1106">
        <v>45354</v>
      </c>
      <c r="G1106">
        <v>16</v>
      </c>
      <c r="I1106" t="s">
        <v>12</v>
      </c>
    </row>
    <row r="1107" spans="1:9" x14ac:dyDescent="0.3">
      <c r="A1107" t="s">
        <v>450</v>
      </c>
      <c r="D1107" t="s">
        <v>33</v>
      </c>
      <c r="E1107" t="s">
        <v>34</v>
      </c>
      <c r="F1107">
        <v>45315</v>
      </c>
      <c r="H1107">
        <v>1880.17</v>
      </c>
      <c r="I1107" t="s">
        <v>21</v>
      </c>
    </row>
    <row r="1108" spans="1:9" x14ac:dyDescent="0.3">
      <c r="A1108" t="s">
        <v>756</v>
      </c>
      <c r="B1108">
        <v>75</v>
      </c>
      <c r="C1108" t="s">
        <v>38</v>
      </c>
      <c r="E1108" t="s">
        <v>43</v>
      </c>
      <c r="F1108">
        <v>45585</v>
      </c>
      <c r="I1108" t="s">
        <v>16</v>
      </c>
    </row>
    <row r="1109" spans="1:9" x14ac:dyDescent="0.3">
      <c r="A1109" t="s">
        <v>93</v>
      </c>
      <c r="C1109" t="s">
        <v>18</v>
      </c>
      <c r="D1109" t="s">
        <v>48</v>
      </c>
      <c r="E1109" t="s">
        <v>29</v>
      </c>
      <c r="I1109" t="s">
        <v>12</v>
      </c>
    </row>
    <row r="1110" spans="1:9" x14ac:dyDescent="0.3">
      <c r="A1110" t="s">
        <v>757</v>
      </c>
      <c r="C1110" t="s">
        <v>42</v>
      </c>
      <c r="D1110" t="s">
        <v>25</v>
      </c>
      <c r="E1110" t="s">
        <v>57</v>
      </c>
      <c r="F1110">
        <v>45640</v>
      </c>
      <c r="G1110">
        <v>11</v>
      </c>
      <c r="I1110" t="s">
        <v>21</v>
      </c>
    </row>
    <row r="1111" spans="1:9" x14ac:dyDescent="0.3">
      <c r="A1111" t="s">
        <v>678</v>
      </c>
      <c r="D1111" t="s">
        <v>33</v>
      </c>
      <c r="E1111" t="s">
        <v>15</v>
      </c>
      <c r="F1111">
        <v>45323</v>
      </c>
    </row>
    <row r="1112" spans="1:9" x14ac:dyDescent="0.3">
      <c r="A1112" t="s">
        <v>13</v>
      </c>
      <c r="B1112">
        <v>37</v>
      </c>
      <c r="C1112" t="s">
        <v>42</v>
      </c>
      <c r="D1112" t="s">
        <v>51</v>
      </c>
      <c r="E1112" t="s">
        <v>15</v>
      </c>
      <c r="F1112">
        <v>45600</v>
      </c>
      <c r="G1112">
        <v>13</v>
      </c>
      <c r="H1112">
        <v>479.48</v>
      </c>
      <c r="I1112" t="s">
        <v>26</v>
      </c>
    </row>
    <row r="1113" spans="1:9" x14ac:dyDescent="0.3">
      <c r="A1113" t="s">
        <v>758</v>
      </c>
      <c r="C1113" t="s">
        <v>18</v>
      </c>
      <c r="D1113" t="s">
        <v>33</v>
      </c>
      <c r="E1113" t="s">
        <v>34</v>
      </c>
      <c r="F1113">
        <v>45510</v>
      </c>
      <c r="H1113">
        <v>1940.16</v>
      </c>
      <c r="I1113" t="s">
        <v>12</v>
      </c>
    </row>
    <row r="1114" spans="1:9" x14ac:dyDescent="0.3">
      <c r="A1114" t="s">
        <v>291</v>
      </c>
      <c r="B1114">
        <v>64</v>
      </c>
      <c r="C1114" t="s">
        <v>42</v>
      </c>
      <c r="D1114" t="s">
        <v>10</v>
      </c>
      <c r="E1114" t="s">
        <v>23</v>
      </c>
      <c r="F1114">
        <v>45504</v>
      </c>
      <c r="I1114" t="s">
        <v>16</v>
      </c>
    </row>
    <row r="1115" spans="1:9" x14ac:dyDescent="0.3">
      <c r="A1115" t="s">
        <v>524</v>
      </c>
      <c r="C1115" t="s">
        <v>28</v>
      </c>
      <c r="D1115" t="s">
        <v>25</v>
      </c>
      <c r="E1115" t="s">
        <v>11</v>
      </c>
      <c r="G1115">
        <v>1</v>
      </c>
      <c r="I1115" t="s">
        <v>26</v>
      </c>
    </row>
    <row r="1116" spans="1:9" x14ac:dyDescent="0.3">
      <c r="A1116" t="s">
        <v>759</v>
      </c>
      <c r="C1116" t="s">
        <v>38</v>
      </c>
      <c r="E1116" t="s">
        <v>34</v>
      </c>
      <c r="G1116">
        <v>16</v>
      </c>
      <c r="H1116">
        <v>853.82</v>
      </c>
      <c r="I1116" t="s">
        <v>16</v>
      </c>
    </row>
    <row r="1117" spans="1:9" x14ac:dyDescent="0.3">
      <c r="A1117" t="s">
        <v>501</v>
      </c>
      <c r="B1117">
        <v>47</v>
      </c>
      <c r="C1117" t="s">
        <v>42</v>
      </c>
      <c r="D1117" t="s">
        <v>25</v>
      </c>
      <c r="E1117" t="s">
        <v>43</v>
      </c>
      <c r="I1117" t="s">
        <v>21</v>
      </c>
    </row>
    <row r="1118" spans="1:9" x14ac:dyDescent="0.3">
      <c r="A1118" t="s">
        <v>566</v>
      </c>
      <c r="C1118" t="s">
        <v>38</v>
      </c>
      <c r="D1118" t="s">
        <v>10</v>
      </c>
      <c r="E1118" t="s">
        <v>11</v>
      </c>
      <c r="F1118">
        <v>45595</v>
      </c>
      <c r="I1118" t="s">
        <v>26</v>
      </c>
    </row>
    <row r="1119" spans="1:9" x14ac:dyDescent="0.3">
      <c r="A1119" t="s">
        <v>539</v>
      </c>
      <c r="C1119" t="s">
        <v>38</v>
      </c>
      <c r="D1119" t="s">
        <v>10</v>
      </c>
      <c r="E1119" t="s">
        <v>43</v>
      </c>
      <c r="H1119">
        <v>1421.91</v>
      </c>
      <c r="I1119" t="s">
        <v>12</v>
      </c>
    </row>
    <row r="1120" spans="1:9" x14ac:dyDescent="0.3">
      <c r="A1120" t="s">
        <v>760</v>
      </c>
      <c r="C1120" t="s">
        <v>18</v>
      </c>
      <c r="D1120" t="s">
        <v>25</v>
      </c>
      <c r="E1120" t="s">
        <v>43</v>
      </c>
      <c r="F1120">
        <v>45393</v>
      </c>
      <c r="G1120">
        <v>20</v>
      </c>
    </row>
    <row r="1121" spans="1:9" x14ac:dyDescent="0.3">
      <c r="A1121" t="s">
        <v>730</v>
      </c>
      <c r="B1121">
        <v>56</v>
      </c>
      <c r="C1121" t="s">
        <v>18</v>
      </c>
      <c r="E1121" t="s">
        <v>20</v>
      </c>
      <c r="F1121">
        <v>45461</v>
      </c>
      <c r="G1121">
        <v>8</v>
      </c>
      <c r="I1121" t="s">
        <v>26</v>
      </c>
    </row>
    <row r="1122" spans="1:9" x14ac:dyDescent="0.3">
      <c r="A1122" t="s">
        <v>761</v>
      </c>
      <c r="C1122" t="s">
        <v>38</v>
      </c>
      <c r="D1122" t="s">
        <v>33</v>
      </c>
      <c r="E1122" t="s">
        <v>34</v>
      </c>
      <c r="I1122" t="s">
        <v>21</v>
      </c>
    </row>
    <row r="1123" spans="1:9" x14ac:dyDescent="0.3">
      <c r="A1123" t="s">
        <v>762</v>
      </c>
      <c r="B1123">
        <v>42</v>
      </c>
      <c r="C1123" t="s">
        <v>42</v>
      </c>
      <c r="D1123" t="s">
        <v>45</v>
      </c>
      <c r="E1123" t="s">
        <v>11</v>
      </c>
      <c r="F1123">
        <v>45337</v>
      </c>
      <c r="I1123" t="s">
        <v>12</v>
      </c>
    </row>
    <row r="1124" spans="1:9" x14ac:dyDescent="0.3">
      <c r="A1124" t="s">
        <v>538</v>
      </c>
      <c r="B1124">
        <v>59</v>
      </c>
      <c r="D1124" t="s">
        <v>48</v>
      </c>
      <c r="E1124" t="s">
        <v>43</v>
      </c>
      <c r="F1124">
        <v>45301</v>
      </c>
      <c r="I1124" t="s">
        <v>16</v>
      </c>
    </row>
    <row r="1125" spans="1:9" x14ac:dyDescent="0.3">
      <c r="A1125" t="s">
        <v>763</v>
      </c>
      <c r="C1125" t="s">
        <v>28</v>
      </c>
      <c r="D1125" t="s">
        <v>45</v>
      </c>
      <c r="E1125" t="s">
        <v>20</v>
      </c>
      <c r="F1125">
        <v>45473</v>
      </c>
      <c r="G1125">
        <v>3</v>
      </c>
      <c r="H1125">
        <v>568.07000000000005</v>
      </c>
      <c r="I1125" t="s">
        <v>26</v>
      </c>
    </row>
    <row r="1126" spans="1:9" x14ac:dyDescent="0.3">
      <c r="A1126" t="s">
        <v>764</v>
      </c>
      <c r="B1126">
        <v>27</v>
      </c>
      <c r="C1126" t="s">
        <v>28</v>
      </c>
      <c r="D1126" t="s">
        <v>33</v>
      </c>
      <c r="E1126" t="s">
        <v>43</v>
      </c>
      <c r="F1126">
        <v>45344</v>
      </c>
      <c r="H1126">
        <v>1201.01</v>
      </c>
      <c r="I1126" t="s">
        <v>16</v>
      </c>
    </row>
    <row r="1127" spans="1:9" x14ac:dyDescent="0.3">
      <c r="A1127" t="s">
        <v>765</v>
      </c>
      <c r="C1127" t="s">
        <v>18</v>
      </c>
      <c r="D1127" t="s">
        <v>14</v>
      </c>
      <c r="E1127" t="s">
        <v>29</v>
      </c>
      <c r="F1127">
        <v>45386</v>
      </c>
      <c r="G1127">
        <v>14</v>
      </c>
      <c r="I1127" t="s">
        <v>26</v>
      </c>
    </row>
    <row r="1128" spans="1:9" x14ac:dyDescent="0.3">
      <c r="A1128" t="s">
        <v>766</v>
      </c>
      <c r="B1128">
        <v>48</v>
      </c>
      <c r="C1128" t="s">
        <v>28</v>
      </c>
      <c r="D1128" t="s">
        <v>51</v>
      </c>
      <c r="E1128" t="s">
        <v>11</v>
      </c>
      <c r="G1128">
        <v>12</v>
      </c>
      <c r="H1128">
        <v>503.91</v>
      </c>
      <c r="I1128" t="s">
        <v>16</v>
      </c>
    </row>
    <row r="1129" spans="1:9" x14ac:dyDescent="0.3">
      <c r="A1129" t="s">
        <v>556</v>
      </c>
      <c r="B1129">
        <v>38</v>
      </c>
      <c r="C1129" t="s">
        <v>18</v>
      </c>
      <c r="D1129" t="s">
        <v>19</v>
      </c>
      <c r="E1129" t="s">
        <v>34</v>
      </c>
      <c r="F1129">
        <v>45371</v>
      </c>
      <c r="G1129">
        <v>13</v>
      </c>
    </row>
    <row r="1130" spans="1:9" x14ac:dyDescent="0.3">
      <c r="A1130" t="s">
        <v>767</v>
      </c>
      <c r="C1130" t="s">
        <v>28</v>
      </c>
      <c r="D1130" t="s">
        <v>19</v>
      </c>
      <c r="E1130" t="s">
        <v>15</v>
      </c>
      <c r="F1130">
        <v>45440</v>
      </c>
      <c r="I1130" t="s">
        <v>16</v>
      </c>
    </row>
    <row r="1131" spans="1:9" x14ac:dyDescent="0.3">
      <c r="A1131" t="s">
        <v>768</v>
      </c>
      <c r="D1131" t="s">
        <v>10</v>
      </c>
      <c r="E1131" t="s">
        <v>29</v>
      </c>
      <c r="F1131">
        <v>45317</v>
      </c>
    </row>
    <row r="1132" spans="1:9" x14ac:dyDescent="0.3">
      <c r="A1132" t="s">
        <v>769</v>
      </c>
      <c r="B1132">
        <v>64</v>
      </c>
      <c r="C1132" t="s">
        <v>18</v>
      </c>
      <c r="D1132" t="s">
        <v>19</v>
      </c>
      <c r="E1132" t="s">
        <v>29</v>
      </c>
      <c r="F1132">
        <v>45494</v>
      </c>
      <c r="G1132">
        <v>8</v>
      </c>
      <c r="I1132" t="s">
        <v>21</v>
      </c>
    </row>
    <row r="1133" spans="1:9" x14ac:dyDescent="0.3">
      <c r="A1133" t="s">
        <v>291</v>
      </c>
      <c r="C1133" t="s">
        <v>42</v>
      </c>
      <c r="D1133" t="s">
        <v>14</v>
      </c>
      <c r="E1133" t="s">
        <v>15</v>
      </c>
      <c r="F1133">
        <v>45342</v>
      </c>
      <c r="G1133">
        <v>19</v>
      </c>
      <c r="H1133">
        <v>1556.53</v>
      </c>
      <c r="I1133" t="s">
        <v>26</v>
      </c>
    </row>
    <row r="1134" spans="1:9" x14ac:dyDescent="0.3">
      <c r="A1134" t="s">
        <v>567</v>
      </c>
      <c r="B1134">
        <v>95</v>
      </c>
      <c r="C1134" t="s">
        <v>18</v>
      </c>
      <c r="D1134" t="s">
        <v>10</v>
      </c>
      <c r="E1134" t="s">
        <v>20</v>
      </c>
      <c r="F1134">
        <v>45416</v>
      </c>
      <c r="H1134">
        <v>289.02999999999997</v>
      </c>
      <c r="I1134" t="s">
        <v>26</v>
      </c>
    </row>
    <row r="1135" spans="1:9" x14ac:dyDescent="0.3">
      <c r="A1135" t="s">
        <v>770</v>
      </c>
      <c r="B1135">
        <v>87</v>
      </c>
      <c r="D1135" t="s">
        <v>51</v>
      </c>
      <c r="E1135" t="s">
        <v>43</v>
      </c>
      <c r="F1135">
        <v>45593</v>
      </c>
      <c r="I1135" t="s">
        <v>26</v>
      </c>
    </row>
    <row r="1136" spans="1:9" x14ac:dyDescent="0.3">
      <c r="A1136" t="s">
        <v>771</v>
      </c>
      <c r="C1136" t="s">
        <v>28</v>
      </c>
      <c r="E1136" t="s">
        <v>43</v>
      </c>
      <c r="F1136">
        <v>45517</v>
      </c>
    </row>
    <row r="1137" spans="1:9" x14ac:dyDescent="0.3">
      <c r="A1137" t="s">
        <v>233</v>
      </c>
      <c r="B1137">
        <v>25</v>
      </c>
      <c r="C1137" t="s">
        <v>38</v>
      </c>
      <c r="E1137" t="s">
        <v>11</v>
      </c>
      <c r="F1137">
        <v>45547</v>
      </c>
      <c r="G1137">
        <v>16</v>
      </c>
    </row>
    <row r="1138" spans="1:9" x14ac:dyDescent="0.3">
      <c r="A1138" t="s">
        <v>221</v>
      </c>
      <c r="B1138">
        <v>75</v>
      </c>
      <c r="C1138" t="s">
        <v>38</v>
      </c>
      <c r="D1138" t="s">
        <v>19</v>
      </c>
      <c r="E1138" t="s">
        <v>23</v>
      </c>
      <c r="G1138">
        <v>19</v>
      </c>
      <c r="H1138">
        <v>717.58</v>
      </c>
      <c r="I1138" t="s">
        <v>21</v>
      </c>
    </row>
    <row r="1139" spans="1:9" x14ac:dyDescent="0.3">
      <c r="A1139" t="s">
        <v>350</v>
      </c>
      <c r="D1139" t="s">
        <v>10</v>
      </c>
      <c r="E1139" t="s">
        <v>20</v>
      </c>
      <c r="F1139">
        <v>45656</v>
      </c>
      <c r="G1139">
        <v>14</v>
      </c>
      <c r="H1139">
        <v>1257.98</v>
      </c>
      <c r="I1139" t="s">
        <v>26</v>
      </c>
    </row>
    <row r="1140" spans="1:9" x14ac:dyDescent="0.3">
      <c r="A1140" t="s">
        <v>772</v>
      </c>
      <c r="C1140" t="s">
        <v>28</v>
      </c>
      <c r="D1140" t="s">
        <v>33</v>
      </c>
      <c r="E1140" t="s">
        <v>43</v>
      </c>
      <c r="F1140">
        <v>45345</v>
      </c>
      <c r="I1140" t="s">
        <v>26</v>
      </c>
    </row>
    <row r="1141" spans="1:9" x14ac:dyDescent="0.3">
      <c r="A1141" t="s">
        <v>773</v>
      </c>
      <c r="B1141">
        <v>68</v>
      </c>
      <c r="C1141" t="s">
        <v>18</v>
      </c>
      <c r="D1141" t="s">
        <v>33</v>
      </c>
      <c r="E1141" t="s">
        <v>57</v>
      </c>
      <c r="F1141">
        <v>45366</v>
      </c>
      <c r="H1141">
        <v>1678.28</v>
      </c>
      <c r="I1141" t="s">
        <v>12</v>
      </c>
    </row>
    <row r="1142" spans="1:9" x14ac:dyDescent="0.3">
      <c r="A1142" t="s">
        <v>774</v>
      </c>
      <c r="B1142">
        <v>64</v>
      </c>
      <c r="C1142" t="s">
        <v>38</v>
      </c>
      <c r="D1142" t="s">
        <v>45</v>
      </c>
      <c r="E1142" t="s">
        <v>11</v>
      </c>
      <c r="F1142">
        <v>45311</v>
      </c>
      <c r="G1142">
        <v>20</v>
      </c>
    </row>
    <row r="1143" spans="1:9" x14ac:dyDescent="0.3">
      <c r="A1143" t="s">
        <v>775</v>
      </c>
      <c r="D1143" t="s">
        <v>33</v>
      </c>
      <c r="E1143" t="s">
        <v>43</v>
      </c>
      <c r="F1143">
        <v>45544</v>
      </c>
      <c r="I1143" t="s">
        <v>12</v>
      </c>
    </row>
    <row r="1144" spans="1:9" x14ac:dyDescent="0.3">
      <c r="A1144" t="s">
        <v>551</v>
      </c>
      <c r="B1144">
        <v>70</v>
      </c>
      <c r="D1144" t="s">
        <v>45</v>
      </c>
      <c r="E1144" t="s">
        <v>11</v>
      </c>
      <c r="F1144">
        <v>45392</v>
      </c>
      <c r="H1144">
        <v>1451.89</v>
      </c>
      <c r="I1144" t="s">
        <v>21</v>
      </c>
    </row>
    <row r="1145" spans="1:9" x14ac:dyDescent="0.3">
      <c r="A1145" t="s">
        <v>81</v>
      </c>
      <c r="D1145" t="s">
        <v>14</v>
      </c>
      <c r="E1145" t="s">
        <v>15</v>
      </c>
      <c r="F1145">
        <v>45403</v>
      </c>
      <c r="H1145">
        <v>476.77</v>
      </c>
      <c r="I1145" t="s">
        <v>12</v>
      </c>
    </row>
    <row r="1146" spans="1:9" x14ac:dyDescent="0.3">
      <c r="A1146" t="s">
        <v>776</v>
      </c>
      <c r="B1146">
        <v>84</v>
      </c>
      <c r="C1146" t="s">
        <v>28</v>
      </c>
      <c r="D1146" t="s">
        <v>10</v>
      </c>
      <c r="E1146" t="s">
        <v>23</v>
      </c>
      <c r="H1146">
        <v>587.36</v>
      </c>
      <c r="I1146" t="s">
        <v>16</v>
      </c>
    </row>
    <row r="1147" spans="1:9" x14ac:dyDescent="0.3">
      <c r="A1147" t="s">
        <v>749</v>
      </c>
      <c r="C1147" t="s">
        <v>28</v>
      </c>
      <c r="D1147" t="s">
        <v>10</v>
      </c>
      <c r="E1147" t="s">
        <v>34</v>
      </c>
      <c r="F1147">
        <v>45509</v>
      </c>
      <c r="I1147" t="s">
        <v>26</v>
      </c>
    </row>
    <row r="1148" spans="1:9" x14ac:dyDescent="0.3">
      <c r="A1148" t="s">
        <v>777</v>
      </c>
      <c r="C1148" t="s">
        <v>42</v>
      </c>
      <c r="D1148" t="s">
        <v>51</v>
      </c>
      <c r="E1148" t="s">
        <v>57</v>
      </c>
      <c r="F1148">
        <v>45415</v>
      </c>
      <c r="G1148">
        <v>12</v>
      </c>
    </row>
    <row r="1149" spans="1:9" x14ac:dyDescent="0.3">
      <c r="A1149" t="s">
        <v>778</v>
      </c>
      <c r="B1149">
        <v>87</v>
      </c>
      <c r="C1149" t="s">
        <v>28</v>
      </c>
      <c r="D1149" t="s">
        <v>51</v>
      </c>
      <c r="E1149" t="s">
        <v>34</v>
      </c>
      <c r="G1149">
        <v>12</v>
      </c>
      <c r="I1149" t="s">
        <v>21</v>
      </c>
    </row>
    <row r="1150" spans="1:9" x14ac:dyDescent="0.3">
      <c r="A1150" t="s">
        <v>779</v>
      </c>
      <c r="D1150" t="s">
        <v>48</v>
      </c>
      <c r="E1150" t="s">
        <v>11</v>
      </c>
      <c r="F1150">
        <v>45377</v>
      </c>
      <c r="G1150">
        <v>14</v>
      </c>
      <c r="H1150">
        <v>351.34</v>
      </c>
      <c r="I1150" t="s">
        <v>16</v>
      </c>
    </row>
    <row r="1151" spans="1:9" x14ac:dyDescent="0.3">
      <c r="A1151" t="s">
        <v>780</v>
      </c>
      <c r="B1151">
        <v>76</v>
      </c>
      <c r="C1151" t="s">
        <v>28</v>
      </c>
      <c r="D1151" t="s">
        <v>51</v>
      </c>
      <c r="E1151" t="s">
        <v>23</v>
      </c>
      <c r="F1151">
        <v>45565</v>
      </c>
      <c r="I1151" t="s">
        <v>26</v>
      </c>
    </row>
    <row r="1152" spans="1:9" x14ac:dyDescent="0.3">
      <c r="A1152" t="s">
        <v>395</v>
      </c>
      <c r="C1152" t="s">
        <v>42</v>
      </c>
      <c r="D1152" t="s">
        <v>14</v>
      </c>
      <c r="E1152" t="s">
        <v>15</v>
      </c>
      <c r="F1152">
        <v>45448</v>
      </c>
      <c r="H1152">
        <v>970.46</v>
      </c>
      <c r="I1152" t="s">
        <v>21</v>
      </c>
    </row>
    <row r="1153" spans="1:9" x14ac:dyDescent="0.3">
      <c r="A1153" t="s">
        <v>183</v>
      </c>
      <c r="B1153">
        <v>88</v>
      </c>
      <c r="C1153" t="s">
        <v>28</v>
      </c>
      <c r="D1153" t="s">
        <v>45</v>
      </c>
      <c r="E1153" t="s">
        <v>11</v>
      </c>
      <c r="F1153">
        <v>45484</v>
      </c>
      <c r="G1153">
        <v>20</v>
      </c>
      <c r="I1153" t="s">
        <v>21</v>
      </c>
    </row>
    <row r="1154" spans="1:9" x14ac:dyDescent="0.3">
      <c r="A1154" t="s">
        <v>781</v>
      </c>
      <c r="C1154" t="s">
        <v>28</v>
      </c>
      <c r="D1154" t="s">
        <v>25</v>
      </c>
      <c r="E1154" t="s">
        <v>57</v>
      </c>
      <c r="F1154">
        <v>45403</v>
      </c>
      <c r="I1154" t="s">
        <v>12</v>
      </c>
    </row>
    <row r="1155" spans="1:9" x14ac:dyDescent="0.3">
      <c r="A1155" t="s">
        <v>427</v>
      </c>
      <c r="C1155" t="s">
        <v>18</v>
      </c>
      <c r="D1155" t="s">
        <v>10</v>
      </c>
      <c r="E1155" t="s">
        <v>20</v>
      </c>
      <c r="F1155">
        <v>45353</v>
      </c>
      <c r="G1155">
        <v>10</v>
      </c>
      <c r="H1155">
        <v>853.44</v>
      </c>
      <c r="I1155" t="s">
        <v>12</v>
      </c>
    </row>
    <row r="1156" spans="1:9" x14ac:dyDescent="0.3">
      <c r="A1156" t="s">
        <v>700</v>
      </c>
      <c r="B1156">
        <v>69</v>
      </c>
      <c r="C1156" t="s">
        <v>18</v>
      </c>
      <c r="D1156" t="s">
        <v>25</v>
      </c>
      <c r="E1156" t="s">
        <v>43</v>
      </c>
      <c r="F1156">
        <v>45357</v>
      </c>
      <c r="G1156">
        <v>9</v>
      </c>
    </row>
    <row r="1157" spans="1:9" x14ac:dyDescent="0.3">
      <c r="A1157" t="s">
        <v>782</v>
      </c>
      <c r="C1157" t="s">
        <v>18</v>
      </c>
      <c r="D1157" t="s">
        <v>33</v>
      </c>
      <c r="E1157" t="s">
        <v>29</v>
      </c>
      <c r="F1157">
        <v>45380</v>
      </c>
      <c r="I1157" t="s">
        <v>12</v>
      </c>
    </row>
    <row r="1158" spans="1:9" x14ac:dyDescent="0.3">
      <c r="A1158" t="s">
        <v>783</v>
      </c>
      <c r="B1158">
        <v>58</v>
      </c>
      <c r="C1158" t="s">
        <v>38</v>
      </c>
      <c r="D1158" t="s">
        <v>45</v>
      </c>
      <c r="E1158" t="s">
        <v>15</v>
      </c>
      <c r="F1158">
        <v>45567</v>
      </c>
      <c r="I1158" t="s">
        <v>16</v>
      </c>
    </row>
    <row r="1159" spans="1:9" x14ac:dyDescent="0.3">
      <c r="A1159" t="s">
        <v>148</v>
      </c>
      <c r="B1159">
        <v>18</v>
      </c>
      <c r="C1159" t="s">
        <v>38</v>
      </c>
      <c r="D1159" t="s">
        <v>33</v>
      </c>
      <c r="E1159" t="s">
        <v>34</v>
      </c>
      <c r="F1159">
        <v>45478</v>
      </c>
      <c r="I1159" t="s">
        <v>16</v>
      </c>
    </row>
    <row r="1160" spans="1:9" x14ac:dyDescent="0.3">
      <c r="A1160" t="s">
        <v>409</v>
      </c>
      <c r="B1160">
        <v>28</v>
      </c>
      <c r="D1160" t="s">
        <v>25</v>
      </c>
      <c r="E1160" t="s">
        <v>23</v>
      </c>
      <c r="I1160" t="s">
        <v>12</v>
      </c>
    </row>
    <row r="1161" spans="1:9" x14ac:dyDescent="0.3">
      <c r="A1161" t="s">
        <v>179</v>
      </c>
      <c r="C1161" t="s">
        <v>28</v>
      </c>
      <c r="E1161" t="s">
        <v>29</v>
      </c>
      <c r="F1161">
        <v>45405</v>
      </c>
      <c r="G1161">
        <v>6</v>
      </c>
      <c r="H1161">
        <v>942.09</v>
      </c>
      <c r="I1161" t="s">
        <v>12</v>
      </c>
    </row>
    <row r="1162" spans="1:9" x14ac:dyDescent="0.3">
      <c r="A1162" t="s">
        <v>784</v>
      </c>
      <c r="B1162">
        <v>54</v>
      </c>
      <c r="C1162" t="s">
        <v>38</v>
      </c>
      <c r="D1162" t="s">
        <v>33</v>
      </c>
      <c r="E1162" t="s">
        <v>23</v>
      </c>
      <c r="F1162">
        <v>45437</v>
      </c>
      <c r="G1162">
        <v>16</v>
      </c>
    </row>
    <row r="1163" spans="1:9" x14ac:dyDescent="0.3">
      <c r="A1163" t="s">
        <v>118</v>
      </c>
      <c r="B1163">
        <v>52</v>
      </c>
      <c r="D1163" t="s">
        <v>14</v>
      </c>
      <c r="E1163" t="s">
        <v>29</v>
      </c>
      <c r="F1163">
        <v>45358</v>
      </c>
      <c r="I1163" t="s">
        <v>26</v>
      </c>
    </row>
    <row r="1164" spans="1:9" x14ac:dyDescent="0.3">
      <c r="A1164" t="s">
        <v>60</v>
      </c>
      <c r="B1164">
        <v>69</v>
      </c>
      <c r="C1164" t="s">
        <v>28</v>
      </c>
      <c r="D1164" t="s">
        <v>25</v>
      </c>
      <c r="E1164" t="s">
        <v>15</v>
      </c>
      <c r="G1164">
        <v>6</v>
      </c>
    </row>
    <row r="1165" spans="1:9" x14ac:dyDescent="0.3">
      <c r="A1165" t="s">
        <v>785</v>
      </c>
      <c r="B1165">
        <v>76</v>
      </c>
      <c r="C1165" t="s">
        <v>38</v>
      </c>
      <c r="D1165" t="s">
        <v>33</v>
      </c>
      <c r="E1165" t="s">
        <v>43</v>
      </c>
      <c r="F1165">
        <v>45553</v>
      </c>
      <c r="I1165" t="s">
        <v>12</v>
      </c>
    </row>
    <row r="1166" spans="1:9" x14ac:dyDescent="0.3">
      <c r="A1166" t="s">
        <v>786</v>
      </c>
      <c r="C1166" t="s">
        <v>28</v>
      </c>
      <c r="D1166" t="s">
        <v>14</v>
      </c>
      <c r="E1166" t="s">
        <v>29</v>
      </c>
      <c r="G1166">
        <v>11</v>
      </c>
    </row>
    <row r="1167" spans="1:9" x14ac:dyDescent="0.3">
      <c r="A1167" t="s">
        <v>686</v>
      </c>
      <c r="C1167" t="s">
        <v>42</v>
      </c>
      <c r="E1167" t="s">
        <v>34</v>
      </c>
      <c r="I1167" t="s">
        <v>12</v>
      </c>
    </row>
    <row r="1168" spans="1:9" x14ac:dyDescent="0.3">
      <c r="A1168" t="s">
        <v>503</v>
      </c>
      <c r="B1168">
        <v>90</v>
      </c>
      <c r="C1168" t="s">
        <v>28</v>
      </c>
      <c r="D1168" t="s">
        <v>19</v>
      </c>
      <c r="E1168" t="s">
        <v>11</v>
      </c>
      <c r="I1168" t="s">
        <v>12</v>
      </c>
    </row>
    <row r="1169" spans="1:9" x14ac:dyDescent="0.3">
      <c r="A1169" t="s">
        <v>750</v>
      </c>
      <c r="B1169">
        <v>43</v>
      </c>
      <c r="C1169" t="s">
        <v>42</v>
      </c>
      <c r="D1169" t="s">
        <v>48</v>
      </c>
      <c r="E1169" t="s">
        <v>57</v>
      </c>
      <c r="F1169">
        <v>45633</v>
      </c>
      <c r="G1169">
        <v>18</v>
      </c>
      <c r="I1169" t="s">
        <v>21</v>
      </c>
    </row>
    <row r="1170" spans="1:9" x14ac:dyDescent="0.3">
      <c r="A1170" t="s">
        <v>320</v>
      </c>
      <c r="C1170" t="s">
        <v>42</v>
      </c>
      <c r="D1170" t="s">
        <v>51</v>
      </c>
      <c r="E1170" t="s">
        <v>23</v>
      </c>
      <c r="H1170">
        <v>751.83</v>
      </c>
      <c r="I1170" t="s">
        <v>16</v>
      </c>
    </row>
    <row r="1171" spans="1:9" x14ac:dyDescent="0.3">
      <c r="A1171" t="s">
        <v>170</v>
      </c>
      <c r="B1171">
        <v>94</v>
      </c>
      <c r="C1171" t="s">
        <v>28</v>
      </c>
      <c r="D1171" t="s">
        <v>48</v>
      </c>
      <c r="E1171" t="s">
        <v>11</v>
      </c>
      <c r="F1171">
        <v>45354</v>
      </c>
      <c r="G1171">
        <v>6</v>
      </c>
      <c r="H1171">
        <v>1399.65</v>
      </c>
    </row>
    <row r="1172" spans="1:9" x14ac:dyDescent="0.3">
      <c r="A1172" t="s">
        <v>787</v>
      </c>
      <c r="D1172" t="s">
        <v>25</v>
      </c>
      <c r="E1172" t="s">
        <v>15</v>
      </c>
      <c r="F1172">
        <v>45313</v>
      </c>
      <c r="I1172" t="s">
        <v>12</v>
      </c>
    </row>
    <row r="1173" spans="1:9" x14ac:dyDescent="0.3">
      <c r="A1173" t="s">
        <v>730</v>
      </c>
      <c r="C1173" t="s">
        <v>18</v>
      </c>
      <c r="D1173" t="s">
        <v>48</v>
      </c>
      <c r="E1173" t="s">
        <v>57</v>
      </c>
      <c r="F1173">
        <v>45295</v>
      </c>
      <c r="H1173">
        <v>1067.21</v>
      </c>
      <c r="I1173" t="s">
        <v>16</v>
      </c>
    </row>
    <row r="1174" spans="1:9" x14ac:dyDescent="0.3">
      <c r="A1174" t="s">
        <v>628</v>
      </c>
      <c r="C1174" t="s">
        <v>42</v>
      </c>
      <c r="D1174" t="s">
        <v>14</v>
      </c>
      <c r="E1174" t="s">
        <v>20</v>
      </c>
      <c r="F1174">
        <v>45348</v>
      </c>
      <c r="G1174">
        <v>12</v>
      </c>
      <c r="H1174">
        <v>1614.61</v>
      </c>
    </row>
    <row r="1175" spans="1:9" x14ac:dyDescent="0.3">
      <c r="A1175" t="s">
        <v>308</v>
      </c>
      <c r="B1175">
        <v>63</v>
      </c>
      <c r="C1175" t="s">
        <v>18</v>
      </c>
      <c r="D1175" t="s">
        <v>33</v>
      </c>
      <c r="E1175" t="s">
        <v>23</v>
      </c>
      <c r="F1175">
        <v>45360</v>
      </c>
      <c r="I1175" t="s">
        <v>26</v>
      </c>
    </row>
    <row r="1176" spans="1:9" x14ac:dyDescent="0.3">
      <c r="A1176" t="s">
        <v>243</v>
      </c>
      <c r="C1176" t="s">
        <v>18</v>
      </c>
      <c r="D1176" t="s">
        <v>51</v>
      </c>
      <c r="E1176" t="s">
        <v>23</v>
      </c>
      <c r="F1176">
        <v>45645</v>
      </c>
      <c r="I1176" t="s">
        <v>26</v>
      </c>
    </row>
    <row r="1177" spans="1:9" x14ac:dyDescent="0.3">
      <c r="A1177" t="s">
        <v>70</v>
      </c>
      <c r="C1177" t="s">
        <v>38</v>
      </c>
      <c r="D1177" t="s">
        <v>33</v>
      </c>
      <c r="E1177" t="s">
        <v>15</v>
      </c>
      <c r="F1177">
        <v>45423</v>
      </c>
      <c r="H1177">
        <v>412.64</v>
      </c>
      <c r="I1177" t="s">
        <v>16</v>
      </c>
    </row>
    <row r="1178" spans="1:9" x14ac:dyDescent="0.3">
      <c r="A1178" t="s">
        <v>167</v>
      </c>
      <c r="C1178" t="s">
        <v>18</v>
      </c>
      <c r="D1178" t="s">
        <v>10</v>
      </c>
      <c r="E1178" t="s">
        <v>29</v>
      </c>
      <c r="F1178">
        <v>45616</v>
      </c>
      <c r="G1178">
        <v>19</v>
      </c>
    </row>
    <row r="1179" spans="1:9" x14ac:dyDescent="0.3">
      <c r="A1179" t="s">
        <v>786</v>
      </c>
      <c r="C1179" t="s">
        <v>42</v>
      </c>
      <c r="D1179" t="s">
        <v>45</v>
      </c>
      <c r="E1179" t="s">
        <v>23</v>
      </c>
      <c r="F1179">
        <v>45650</v>
      </c>
      <c r="H1179">
        <v>932.23</v>
      </c>
      <c r="I1179" t="s">
        <v>21</v>
      </c>
    </row>
    <row r="1180" spans="1:9" x14ac:dyDescent="0.3">
      <c r="A1180" t="s">
        <v>788</v>
      </c>
      <c r="C1180" t="s">
        <v>38</v>
      </c>
      <c r="E1180" t="s">
        <v>29</v>
      </c>
      <c r="F1180">
        <v>45512</v>
      </c>
      <c r="H1180">
        <v>399.13</v>
      </c>
    </row>
    <row r="1181" spans="1:9" x14ac:dyDescent="0.3">
      <c r="A1181" t="s">
        <v>78</v>
      </c>
      <c r="B1181">
        <v>72</v>
      </c>
      <c r="C1181" t="s">
        <v>28</v>
      </c>
      <c r="D1181" t="s">
        <v>25</v>
      </c>
      <c r="E1181" t="s">
        <v>15</v>
      </c>
      <c r="F1181">
        <v>45585</v>
      </c>
      <c r="H1181">
        <v>1908.1</v>
      </c>
      <c r="I1181" t="s">
        <v>16</v>
      </c>
    </row>
    <row r="1182" spans="1:9" x14ac:dyDescent="0.3">
      <c r="A1182" t="s">
        <v>395</v>
      </c>
      <c r="E1182" t="s">
        <v>15</v>
      </c>
      <c r="F1182">
        <v>45580</v>
      </c>
      <c r="G1182">
        <v>6</v>
      </c>
      <c r="H1182">
        <v>701.24</v>
      </c>
      <c r="I1182" t="s">
        <v>12</v>
      </c>
    </row>
    <row r="1183" spans="1:9" x14ac:dyDescent="0.3">
      <c r="A1183" t="s">
        <v>518</v>
      </c>
      <c r="B1183">
        <v>67</v>
      </c>
      <c r="D1183" t="s">
        <v>25</v>
      </c>
      <c r="E1183" t="s">
        <v>57</v>
      </c>
      <c r="F1183">
        <v>45380</v>
      </c>
      <c r="G1183">
        <v>2</v>
      </c>
      <c r="H1183">
        <v>1732.17</v>
      </c>
      <c r="I1183" t="s">
        <v>21</v>
      </c>
    </row>
    <row r="1184" spans="1:9" x14ac:dyDescent="0.3">
      <c r="A1184" t="s">
        <v>789</v>
      </c>
      <c r="B1184">
        <v>21</v>
      </c>
      <c r="C1184" t="s">
        <v>18</v>
      </c>
      <c r="D1184" t="s">
        <v>14</v>
      </c>
      <c r="E1184" t="s">
        <v>11</v>
      </c>
      <c r="H1184">
        <v>1121.5</v>
      </c>
      <c r="I1184" t="s">
        <v>16</v>
      </c>
    </row>
    <row r="1185" spans="1:9" x14ac:dyDescent="0.3">
      <c r="A1185" t="s">
        <v>639</v>
      </c>
      <c r="E1185" t="s">
        <v>43</v>
      </c>
      <c r="F1185">
        <v>45536</v>
      </c>
      <c r="G1185">
        <v>12</v>
      </c>
      <c r="H1185">
        <v>1695.82</v>
      </c>
      <c r="I1185" t="s">
        <v>21</v>
      </c>
    </row>
    <row r="1186" spans="1:9" x14ac:dyDescent="0.3">
      <c r="A1186" t="s">
        <v>790</v>
      </c>
      <c r="D1186" t="s">
        <v>14</v>
      </c>
      <c r="E1186" t="s">
        <v>29</v>
      </c>
      <c r="F1186">
        <v>45637</v>
      </c>
      <c r="H1186">
        <v>1195.4000000000001</v>
      </c>
      <c r="I1186" t="s">
        <v>16</v>
      </c>
    </row>
    <row r="1187" spans="1:9" x14ac:dyDescent="0.3">
      <c r="A1187" t="s">
        <v>791</v>
      </c>
      <c r="D1187" t="s">
        <v>25</v>
      </c>
      <c r="E1187" t="s">
        <v>15</v>
      </c>
      <c r="F1187">
        <v>45292</v>
      </c>
      <c r="G1187">
        <v>11</v>
      </c>
      <c r="I1187" t="s">
        <v>21</v>
      </c>
    </row>
    <row r="1188" spans="1:9" x14ac:dyDescent="0.3">
      <c r="A1188" t="s">
        <v>792</v>
      </c>
      <c r="B1188">
        <v>84</v>
      </c>
      <c r="C1188" t="s">
        <v>18</v>
      </c>
      <c r="D1188" t="s">
        <v>48</v>
      </c>
      <c r="E1188" t="s">
        <v>20</v>
      </c>
      <c r="F1188">
        <v>45385</v>
      </c>
      <c r="H1188">
        <v>1071.3499999999999</v>
      </c>
      <c r="I1188" t="s">
        <v>16</v>
      </c>
    </row>
    <row r="1189" spans="1:9" x14ac:dyDescent="0.3">
      <c r="A1189" t="s">
        <v>470</v>
      </c>
      <c r="B1189">
        <v>26</v>
      </c>
      <c r="C1189" t="s">
        <v>28</v>
      </c>
      <c r="D1189" t="s">
        <v>45</v>
      </c>
      <c r="E1189" t="s">
        <v>23</v>
      </c>
      <c r="G1189">
        <v>13</v>
      </c>
      <c r="H1189">
        <v>1002.4</v>
      </c>
      <c r="I1189" t="s">
        <v>26</v>
      </c>
    </row>
    <row r="1190" spans="1:9" x14ac:dyDescent="0.3">
      <c r="A1190" t="s">
        <v>793</v>
      </c>
      <c r="C1190" t="s">
        <v>38</v>
      </c>
      <c r="E1190" t="s">
        <v>34</v>
      </c>
      <c r="F1190">
        <v>45617</v>
      </c>
      <c r="G1190">
        <v>19</v>
      </c>
      <c r="H1190">
        <v>708.27</v>
      </c>
      <c r="I1190" t="s">
        <v>12</v>
      </c>
    </row>
    <row r="1191" spans="1:9" x14ac:dyDescent="0.3">
      <c r="A1191" t="s">
        <v>794</v>
      </c>
      <c r="C1191" t="s">
        <v>42</v>
      </c>
      <c r="E1191" t="s">
        <v>43</v>
      </c>
      <c r="F1191">
        <v>45390</v>
      </c>
      <c r="I1191" t="s">
        <v>21</v>
      </c>
    </row>
    <row r="1192" spans="1:9" x14ac:dyDescent="0.3">
      <c r="A1192" t="s">
        <v>454</v>
      </c>
      <c r="D1192" t="s">
        <v>33</v>
      </c>
      <c r="E1192" t="s">
        <v>20</v>
      </c>
    </row>
    <row r="1193" spans="1:9" x14ac:dyDescent="0.3">
      <c r="A1193" t="s">
        <v>788</v>
      </c>
      <c r="C1193" t="s">
        <v>42</v>
      </c>
      <c r="D1193" t="s">
        <v>51</v>
      </c>
      <c r="E1193" t="s">
        <v>23</v>
      </c>
      <c r="F1193">
        <v>45654</v>
      </c>
      <c r="I1193" t="s">
        <v>12</v>
      </c>
    </row>
    <row r="1194" spans="1:9" x14ac:dyDescent="0.3">
      <c r="A1194" t="s">
        <v>795</v>
      </c>
      <c r="B1194">
        <v>91</v>
      </c>
      <c r="C1194" t="s">
        <v>18</v>
      </c>
      <c r="D1194" t="s">
        <v>25</v>
      </c>
      <c r="E1194" t="s">
        <v>11</v>
      </c>
      <c r="G1194">
        <v>16</v>
      </c>
    </row>
    <row r="1195" spans="1:9" x14ac:dyDescent="0.3">
      <c r="A1195" t="s">
        <v>796</v>
      </c>
      <c r="B1195">
        <v>79</v>
      </c>
      <c r="D1195" t="s">
        <v>45</v>
      </c>
      <c r="E1195" t="s">
        <v>57</v>
      </c>
      <c r="G1195">
        <v>7</v>
      </c>
      <c r="I1195" t="s">
        <v>12</v>
      </c>
    </row>
    <row r="1196" spans="1:9" x14ac:dyDescent="0.3">
      <c r="A1196" t="s">
        <v>418</v>
      </c>
      <c r="D1196" t="s">
        <v>48</v>
      </c>
      <c r="E1196" t="s">
        <v>29</v>
      </c>
      <c r="F1196">
        <v>45300</v>
      </c>
      <c r="G1196">
        <v>10</v>
      </c>
      <c r="H1196">
        <v>1250.23</v>
      </c>
      <c r="I1196" t="s">
        <v>12</v>
      </c>
    </row>
    <row r="1197" spans="1:9" x14ac:dyDescent="0.3">
      <c r="A1197" t="s">
        <v>393</v>
      </c>
      <c r="C1197" t="s">
        <v>42</v>
      </c>
      <c r="E1197" t="s">
        <v>20</v>
      </c>
      <c r="F1197">
        <v>45346</v>
      </c>
      <c r="G1197">
        <v>5</v>
      </c>
      <c r="H1197">
        <v>1509.82</v>
      </c>
      <c r="I1197" t="s">
        <v>16</v>
      </c>
    </row>
    <row r="1198" spans="1:9" x14ac:dyDescent="0.3">
      <c r="A1198" t="s">
        <v>797</v>
      </c>
      <c r="B1198">
        <v>71</v>
      </c>
      <c r="C1198" t="s">
        <v>42</v>
      </c>
      <c r="D1198" t="s">
        <v>33</v>
      </c>
      <c r="E1198" t="s">
        <v>29</v>
      </c>
      <c r="F1198">
        <v>45460</v>
      </c>
      <c r="G1198">
        <v>15</v>
      </c>
      <c r="I1198" t="s">
        <v>21</v>
      </c>
    </row>
    <row r="1199" spans="1:9" x14ac:dyDescent="0.3">
      <c r="A1199" t="s">
        <v>269</v>
      </c>
      <c r="B1199">
        <v>79</v>
      </c>
      <c r="C1199" t="s">
        <v>28</v>
      </c>
      <c r="D1199" t="s">
        <v>14</v>
      </c>
      <c r="E1199" t="s">
        <v>43</v>
      </c>
      <c r="G1199">
        <v>15</v>
      </c>
    </row>
    <row r="1200" spans="1:9" x14ac:dyDescent="0.3">
      <c r="A1200" t="s">
        <v>798</v>
      </c>
      <c r="B1200">
        <v>69</v>
      </c>
      <c r="C1200" t="s">
        <v>28</v>
      </c>
      <c r="D1200" t="s">
        <v>33</v>
      </c>
      <c r="E1200" t="s">
        <v>20</v>
      </c>
      <c r="F1200">
        <v>45378</v>
      </c>
      <c r="G1200">
        <v>20</v>
      </c>
      <c r="H1200">
        <v>819</v>
      </c>
      <c r="I1200" t="s">
        <v>26</v>
      </c>
    </row>
    <row r="1201" spans="1:9" x14ac:dyDescent="0.3">
      <c r="A1201" t="s">
        <v>529</v>
      </c>
      <c r="B1201">
        <v>20</v>
      </c>
      <c r="C1201" t="s">
        <v>28</v>
      </c>
      <c r="D1201" t="s">
        <v>14</v>
      </c>
      <c r="E1201" t="s">
        <v>23</v>
      </c>
      <c r="F1201">
        <v>45429</v>
      </c>
      <c r="H1201">
        <v>1665.86</v>
      </c>
    </row>
    <row r="1202" spans="1:9" x14ac:dyDescent="0.3">
      <c r="A1202" t="s">
        <v>745</v>
      </c>
      <c r="C1202" t="s">
        <v>28</v>
      </c>
      <c r="D1202" t="s">
        <v>33</v>
      </c>
      <c r="E1202" t="s">
        <v>43</v>
      </c>
      <c r="F1202">
        <v>45443</v>
      </c>
      <c r="G1202">
        <v>7</v>
      </c>
      <c r="I1202" t="s">
        <v>16</v>
      </c>
    </row>
    <row r="1203" spans="1:9" x14ac:dyDescent="0.3">
      <c r="A1203" t="s">
        <v>595</v>
      </c>
      <c r="C1203" t="s">
        <v>38</v>
      </c>
      <c r="E1203" t="s">
        <v>34</v>
      </c>
      <c r="F1203">
        <v>45397</v>
      </c>
      <c r="G1203">
        <v>16</v>
      </c>
      <c r="H1203">
        <v>1890.25</v>
      </c>
      <c r="I1203" t="s">
        <v>21</v>
      </c>
    </row>
    <row r="1204" spans="1:9" x14ac:dyDescent="0.3">
      <c r="A1204" t="s">
        <v>228</v>
      </c>
      <c r="C1204" t="s">
        <v>28</v>
      </c>
      <c r="D1204" t="s">
        <v>33</v>
      </c>
      <c r="E1204" t="s">
        <v>20</v>
      </c>
      <c r="F1204">
        <v>45313</v>
      </c>
      <c r="I1204" t="s">
        <v>16</v>
      </c>
    </row>
    <row r="1205" spans="1:9" x14ac:dyDescent="0.3">
      <c r="A1205" t="s">
        <v>725</v>
      </c>
      <c r="B1205">
        <v>55</v>
      </c>
      <c r="C1205" t="s">
        <v>42</v>
      </c>
      <c r="D1205" t="s">
        <v>14</v>
      </c>
      <c r="E1205" t="s">
        <v>43</v>
      </c>
      <c r="F1205">
        <v>45617</v>
      </c>
      <c r="I1205" t="s">
        <v>26</v>
      </c>
    </row>
    <row r="1206" spans="1:9" x14ac:dyDescent="0.3">
      <c r="A1206" t="s">
        <v>533</v>
      </c>
      <c r="B1206">
        <v>63</v>
      </c>
      <c r="C1206" t="s">
        <v>42</v>
      </c>
      <c r="D1206" t="s">
        <v>25</v>
      </c>
      <c r="E1206" t="s">
        <v>34</v>
      </c>
      <c r="F1206">
        <v>45521</v>
      </c>
      <c r="H1206">
        <v>194.9</v>
      </c>
      <c r="I1206" t="s">
        <v>12</v>
      </c>
    </row>
    <row r="1207" spans="1:9" x14ac:dyDescent="0.3">
      <c r="A1207" t="s">
        <v>799</v>
      </c>
      <c r="C1207" t="s">
        <v>18</v>
      </c>
      <c r="D1207" t="s">
        <v>25</v>
      </c>
      <c r="E1207" t="s">
        <v>23</v>
      </c>
      <c r="F1207">
        <v>45630</v>
      </c>
      <c r="I1207" t="s">
        <v>16</v>
      </c>
    </row>
    <row r="1208" spans="1:9" x14ac:dyDescent="0.3">
      <c r="A1208" t="s">
        <v>273</v>
      </c>
      <c r="C1208" t="s">
        <v>28</v>
      </c>
      <c r="D1208" t="s">
        <v>45</v>
      </c>
      <c r="E1208" t="s">
        <v>20</v>
      </c>
      <c r="F1208">
        <v>45320</v>
      </c>
      <c r="H1208">
        <v>1953.16</v>
      </c>
      <c r="I1208" t="s">
        <v>12</v>
      </c>
    </row>
    <row r="1209" spans="1:9" x14ac:dyDescent="0.3">
      <c r="A1209" t="s">
        <v>712</v>
      </c>
      <c r="C1209" t="s">
        <v>18</v>
      </c>
      <c r="E1209" t="s">
        <v>15</v>
      </c>
      <c r="F1209">
        <v>45377</v>
      </c>
      <c r="H1209">
        <v>369.53</v>
      </c>
      <c r="I1209" t="s">
        <v>16</v>
      </c>
    </row>
    <row r="1210" spans="1:9" x14ac:dyDescent="0.3">
      <c r="A1210" t="s">
        <v>505</v>
      </c>
      <c r="B1210">
        <v>20</v>
      </c>
      <c r="C1210" t="s">
        <v>28</v>
      </c>
      <c r="D1210" t="s">
        <v>19</v>
      </c>
      <c r="E1210" t="s">
        <v>11</v>
      </c>
      <c r="F1210">
        <v>45566</v>
      </c>
      <c r="I1210" t="s">
        <v>26</v>
      </c>
    </row>
    <row r="1211" spans="1:9" x14ac:dyDescent="0.3">
      <c r="A1211" t="s">
        <v>564</v>
      </c>
      <c r="C1211" t="s">
        <v>28</v>
      </c>
      <c r="D1211" t="s">
        <v>45</v>
      </c>
      <c r="E1211" t="s">
        <v>43</v>
      </c>
      <c r="F1211">
        <v>45461</v>
      </c>
      <c r="I1211" t="s">
        <v>12</v>
      </c>
    </row>
    <row r="1212" spans="1:9" x14ac:dyDescent="0.3">
      <c r="A1212" t="s">
        <v>800</v>
      </c>
      <c r="B1212">
        <v>43</v>
      </c>
      <c r="C1212" t="s">
        <v>42</v>
      </c>
      <c r="E1212" t="s">
        <v>57</v>
      </c>
      <c r="H1212">
        <v>1358.4</v>
      </c>
      <c r="I1212" t="s">
        <v>16</v>
      </c>
    </row>
    <row r="1213" spans="1:9" x14ac:dyDescent="0.3">
      <c r="A1213" t="s">
        <v>293</v>
      </c>
      <c r="B1213">
        <v>22</v>
      </c>
      <c r="C1213" t="s">
        <v>38</v>
      </c>
      <c r="E1213" t="s">
        <v>20</v>
      </c>
      <c r="F1213">
        <v>45517</v>
      </c>
      <c r="H1213">
        <v>546.99</v>
      </c>
    </row>
    <row r="1214" spans="1:9" x14ac:dyDescent="0.3">
      <c r="A1214" t="s">
        <v>713</v>
      </c>
      <c r="E1214" t="s">
        <v>34</v>
      </c>
      <c r="F1214">
        <v>45402</v>
      </c>
      <c r="H1214">
        <v>1637.4</v>
      </c>
      <c r="I1214" t="s">
        <v>12</v>
      </c>
    </row>
    <row r="1215" spans="1:9" x14ac:dyDescent="0.3">
      <c r="A1215" t="s">
        <v>213</v>
      </c>
      <c r="C1215" t="s">
        <v>42</v>
      </c>
      <c r="D1215" t="s">
        <v>48</v>
      </c>
      <c r="E1215" t="s">
        <v>57</v>
      </c>
      <c r="F1215">
        <v>45561</v>
      </c>
      <c r="I1215" t="s">
        <v>26</v>
      </c>
    </row>
    <row r="1216" spans="1:9" x14ac:dyDescent="0.3">
      <c r="A1216" t="s">
        <v>305</v>
      </c>
      <c r="C1216" t="s">
        <v>28</v>
      </c>
      <c r="D1216" t="s">
        <v>19</v>
      </c>
      <c r="E1216" t="s">
        <v>29</v>
      </c>
      <c r="F1216">
        <v>45520</v>
      </c>
      <c r="G1216">
        <v>3</v>
      </c>
      <c r="I1216" t="s">
        <v>12</v>
      </c>
    </row>
    <row r="1217" spans="1:9" x14ac:dyDescent="0.3">
      <c r="A1217" t="s">
        <v>801</v>
      </c>
      <c r="B1217">
        <v>59</v>
      </c>
      <c r="C1217" t="s">
        <v>42</v>
      </c>
      <c r="D1217" t="s">
        <v>14</v>
      </c>
      <c r="E1217" t="s">
        <v>57</v>
      </c>
      <c r="I1217" t="s">
        <v>16</v>
      </c>
    </row>
    <row r="1218" spans="1:9" x14ac:dyDescent="0.3">
      <c r="A1218" t="s">
        <v>81</v>
      </c>
      <c r="C1218" t="s">
        <v>38</v>
      </c>
      <c r="D1218" t="s">
        <v>14</v>
      </c>
      <c r="E1218" t="s">
        <v>34</v>
      </c>
      <c r="I1218" t="s">
        <v>16</v>
      </c>
    </row>
    <row r="1219" spans="1:9" x14ac:dyDescent="0.3">
      <c r="A1219" t="s">
        <v>802</v>
      </c>
      <c r="C1219" t="s">
        <v>42</v>
      </c>
      <c r="D1219" t="s">
        <v>45</v>
      </c>
      <c r="E1219" t="s">
        <v>23</v>
      </c>
      <c r="G1219">
        <v>2</v>
      </c>
      <c r="H1219">
        <v>1856.95</v>
      </c>
      <c r="I1219" t="s">
        <v>21</v>
      </c>
    </row>
    <row r="1220" spans="1:9" x14ac:dyDescent="0.3">
      <c r="A1220" t="s">
        <v>803</v>
      </c>
      <c r="B1220">
        <v>79</v>
      </c>
      <c r="C1220" t="s">
        <v>28</v>
      </c>
      <c r="E1220" t="s">
        <v>15</v>
      </c>
      <c r="F1220">
        <v>45466</v>
      </c>
      <c r="H1220">
        <v>475.96</v>
      </c>
      <c r="I1220" t="s">
        <v>16</v>
      </c>
    </row>
    <row r="1221" spans="1:9" x14ac:dyDescent="0.3">
      <c r="A1221" t="s">
        <v>804</v>
      </c>
      <c r="C1221" t="s">
        <v>18</v>
      </c>
      <c r="D1221" t="s">
        <v>14</v>
      </c>
      <c r="E1221" t="s">
        <v>29</v>
      </c>
      <c r="F1221">
        <v>45459</v>
      </c>
      <c r="G1221">
        <v>4</v>
      </c>
      <c r="I1221" t="s">
        <v>21</v>
      </c>
    </row>
    <row r="1222" spans="1:9" x14ac:dyDescent="0.3">
      <c r="A1222" t="s">
        <v>160</v>
      </c>
      <c r="B1222">
        <v>50</v>
      </c>
      <c r="C1222" t="s">
        <v>42</v>
      </c>
      <c r="D1222" t="s">
        <v>48</v>
      </c>
      <c r="E1222" t="s">
        <v>23</v>
      </c>
      <c r="F1222">
        <v>45463</v>
      </c>
    </row>
    <row r="1223" spans="1:9" x14ac:dyDescent="0.3">
      <c r="A1223" t="s">
        <v>567</v>
      </c>
      <c r="B1223">
        <v>61</v>
      </c>
      <c r="C1223" t="s">
        <v>42</v>
      </c>
      <c r="D1223" t="s">
        <v>51</v>
      </c>
      <c r="E1223" t="s">
        <v>29</v>
      </c>
      <c r="H1223">
        <v>1947.87</v>
      </c>
      <c r="I1223" t="s">
        <v>16</v>
      </c>
    </row>
    <row r="1224" spans="1:9" x14ac:dyDescent="0.3">
      <c r="A1224" t="s">
        <v>517</v>
      </c>
      <c r="B1224">
        <v>92</v>
      </c>
      <c r="C1224" t="s">
        <v>28</v>
      </c>
      <c r="D1224" t="s">
        <v>48</v>
      </c>
      <c r="E1224" t="s">
        <v>29</v>
      </c>
      <c r="G1224">
        <v>6</v>
      </c>
      <c r="H1224">
        <v>747.25</v>
      </c>
    </row>
    <row r="1225" spans="1:9" x14ac:dyDescent="0.3">
      <c r="A1225" t="s">
        <v>805</v>
      </c>
      <c r="B1225">
        <v>47</v>
      </c>
      <c r="C1225" t="s">
        <v>42</v>
      </c>
      <c r="D1225" t="s">
        <v>10</v>
      </c>
      <c r="E1225" t="s">
        <v>34</v>
      </c>
      <c r="F1225">
        <v>45600</v>
      </c>
      <c r="H1225">
        <v>243.28</v>
      </c>
    </row>
    <row r="1226" spans="1:9" x14ac:dyDescent="0.3">
      <c r="A1226" t="s">
        <v>163</v>
      </c>
      <c r="B1226">
        <v>44</v>
      </c>
      <c r="C1226" t="s">
        <v>38</v>
      </c>
      <c r="D1226" t="s">
        <v>45</v>
      </c>
      <c r="E1226" t="s">
        <v>23</v>
      </c>
    </row>
    <row r="1227" spans="1:9" x14ac:dyDescent="0.3">
      <c r="A1227" t="s">
        <v>587</v>
      </c>
      <c r="C1227" t="s">
        <v>28</v>
      </c>
      <c r="D1227" t="s">
        <v>14</v>
      </c>
      <c r="E1227" t="s">
        <v>11</v>
      </c>
      <c r="G1227">
        <v>16</v>
      </c>
      <c r="H1227">
        <v>119.38</v>
      </c>
    </row>
    <row r="1228" spans="1:9" x14ac:dyDescent="0.3">
      <c r="A1228" t="s">
        <v>337</v>
      </c>
      <c r="D1228" t="s">
        <v>19</v>
      </c>
      <c r="E1228" t="s">
        <v>34</v>
      </c>
    </row>
    <row r="1229" spans="1:9" x14ac:dyDescent="0.3">
      <c r="A1229" t="s">
        <v>806</v>
      </c>
      <c r="D1229" t="s">
        <v>25</v>
      </c>
      <c r="E1229" t="s">
        <v>43</v>
      </c>
      <c r="F1229">
        <v>45655</v>
      </c>
      <c r="G1229">
        <v>2</v>
      </c>
      <c r="I1229" t="s">
        <v>16</v>
      </c>
    </row>
    <row r="1230" spans="1:9" x14ac:dyDescent="0.3">
      <c r="A1230" t="s">
        <v>807</v>
      </c>
      <c r="B1230">
        <v>61</v>
      </c>
      <c r="D1230" t="s">
        <v>25</v>
      </c>
      <c r="E1230" t="s">
        <v>23</v>
      </c>
      <c r="H1230">
        <v>383.36</v>
      </c>
      <c r="I1230" t="s">
        <v>12</v>
      </c>
    </row>
    <row r="1231" spans="1:9" x14ac:dyDescent="0.3">
      <c r="A1231" t="s">
        <v>697</v>
      </c>
      <c r="C1231" t="s">
        <v>42</v>
      </c>
      <c r="D1231" t="s">
        <v>45</v>
      </c>
      <c r="E1231" t="s">
        <v>57</v>
      </c>
      <c r="F1231">
        <v>45534</v>
      </c>
      <c r="G1231">
        <v>9</v>
      </c>
      <c r="H1231">
        <v>73.31</v>
      </c>
    </row>
    <row r="1232" spans="1:9" x14ac:dyDescent="0.3">
      <c r="A1232" t="s">
        <v>103</v>
      </c>
      <c r="C1232" t="s">
        <v>38</v>
      </c>
      <c r="D1232" t="s">
        <v>33</v>
      </c>
      <c r="E1232" t="s">
        <v>23</v>
      </c>
      <c r="F1232">
        <v>45580</v>
      </c>
      <c r="G1232">
        <v>11</v>
      </c>
      <c r="H1232">
        <v>193.29</v>
      </c>
      <c r="I1232" t="s">
        <v>16</v>
      </c>
    </row>
    <row r="1233" spans="1:9" x14ac:dyDescent="0.3">
      <c r="A1233" t="s">
        <v>808</v>
      </c>
      <c r="C1233" t="s">
        <v>38</v>
      </c>
      <c r="D1233" t="s">
        <v>19</v>
      </c>
      <c r="E1233" t="s">
        <v>20</v>
      </c>
      <c r="F1233">
        <v>45321</v>
      </c>
      <c r="G1233">
        <v>14</v>
      </c>
    </row>
    <row r="1234" spans="1:9" x14ac:dyDescent="0.3">
      <c r="A1234" t="s">
        <v>53</v>
      </c>
      <c r="B1234">
        <v>28</v>
      </c>
      <c r="C1234" t="s">
        <v>42</v>
      </c>
      <c r="D1234" t="s">
        <v>10</v>
      </c>
      <c r="E1234" t="s">
        <v>11</v>
      </c>
      <c r="F1234">
        <v>45494</v>
      </c>
      <c r="G1234">
        <v>10</v>
      </c>
      <c r="I1234" t="s">
        <v>12</v>
      </c>
    </row>
    <row r="1235" spans="1:9" x14ac:dyDescent="0.3">
      <c r="A1235" t="s">
        <v>369</v>
      </c>
      <c r="B1235">
        <v>52</v>
      </c>
      <c r="C1235" t="s">
        <v>28</v>
      </c>
      <c r="D1235" t="s">
        <v>10</v>
      </c>
      <c r="E1235" t="s">
        <v>15</v>
      </c>
      <c r="G1235">
        <v>4</v>
      </c>
      <c r="I1235" t="s">
        <v>12</v>
      </c>
    </row>
    <row r="1236" spans="1:9" x14ac:dyDescent="0.3">
      <c r="A1236" t="s">
        <v>809</v>
      </c>
      <c r="B1236">
        <v>41</v>
      </c>
      <c r="D1236" t="s">
        <v>25</v>
      </c>
      <c r="E1236" t="s">
        <v>34</v>
      </c>
      <c r="I1236" t="s">
        <v>12</v>
      </c>
    </row>
    <row r="1237" spans="1:9" x14ac:dyDescent="0.3">
      <c r="A1237" t="s">
        <v>699</v>
      </c>
      <c r="B1237">
        <v>18</v>
      </c>
      <c r="C1237" t="s">
        <v>18</v>
      </c>
      <c r="E1237" t="s">
        <v>23</v>
      </c>
      <c r="F1237">
        <v>45428</v>
      </c>
      <c r="I1237" t="s">
        <v>16</v>
      </c>
    </row>
    <row r="1238" spans="1:9" x14ac:dyDescent="0.3">
      <c r="A1238" t="s">
        <v>802</v>
      </c>
      <c r="C1238" t="s">
        <v>28</v>
      </c>
      <c r="D1238" t="s">
        <v>19</v>
      </c>
      <c r="E1238" t="s">
        <v>29</v>
      </c>
    </row>
    <row r="1239" spans="1:9" x14ac:dyDescent="0.3">
      <c r="A1239" t="s">
        <v>799</v>
      </c>
      <c r="B1239">
        <v>95</v>
      </c>
      <c r="C1239" t="s">
        <v>38</v>
      </c>
      <c r="D1239" t="s">
        <v>14</v>
      </c>
      <c r="E1239" t="s">
        <v>43</v>
      </c>
      <c r="F1239">
        <v>45353</v>
      </c>
      <c r="I1239" t="s">
        <v>21</v>
      </c>
    </row>
    <row r="1240" spans="1:9" x14ac:dyDescent="0.3">
      <c r="A1240" t="s">
        <v>810</v>
      </c>
      <c r="B1240">
        <v>23</v>
      </c>
      <c r="C1240" t="s">
        <v>18</v>
      </c>
      <c r="D1240" t="s">
        <v>25</v>
      </c>
      <c r="E1240" t="s">
        <v>57</v>
      </c>
      <c r="F1240">
        <v>45425</v>
      </c>
      <c r="I1240" t="s">
        <v>12</v>
      </c>
    </row>
    <row r="1241" spans="1:9" x14ac:dyDescent="0.3">
      <c r="A1241" t="s">
        <v>811</v>
      </c>
      <c r="B1241">
        <v>28</v>
      </c>
      <c r="C1241" t="s">
        <v>28</v>
      </c>
      <c r="E1241" t="s">
        <v>20</v>
      </c>
      <c r="F1241">
        <v>45449</v>
      </c>
      <c r="H1241">
        <v>188.27</v>
      </c>
      <c r="I1241" t="s">
        <v>26</v>
      </c>
    </row>
    <row r="1242" spans="1:9" x14ac:dyDescent="0.3">
      <c r="A1242" t="s">
        <v>679</v>
      </c>
      <c r="C1242" t="s">
        <v>18</v>
      </c>
      <c r="D1242" t="s">
        <v>48</v>
      </c>
      <c r="E1242" t="s">
        <v>34</v>
      </c>
      <c r="F1242">
        <v>45616</v>
      </c>
      <c r="G1242">
        <v>7</v>
      </c>
    </row>
    <row r="1243" spans="1:9" x14ac:dyDescent="0.3">
      <c r="A1243" t="s">
        <v>500</v>
      </c>
      <c r="B1243">
        <v>74</v>
      </c>
      <c r="C1243" t="s">
        <v>38</v>
      </c>
      <c r="D1243" t="s">
        <v>10</v>
      </c>
      <c r="E1243" t="s">
        <v>11</v>
      </c>
      <c r="F1243">
        <v>45502</v>
      </c>
      <c r="H1243">
        <v>1398.48</v>
      </c>
      <c r="I1243" t="s">
        <v>26</v>
      </c>
    </row>
    <row r="1244" spans="1:9" x14ac:dyDescent="0.3">
      <c r="A1244" t="s">
        <v>349</v>
      </c>
      <c r="C1244" t="s">
        <v>18</v>
      </c>
      <c r="D1244" t="s">
        <v>10</v>
      </c>
      <c r="E1244" t="s">
        <v>57</v>
      </c>
      <c r="F1244">
        <v>45294</v>
      </c>
      <c r="H1244">
        <v>1099.06</v>
      </c>
    </row>
    <row r="1245" spans="1:9" x14ac:dyDescent="0.3">
      <c r="A1245" t="s">
        <v>24</v>
      </c>
      <c r="D1245" t="s">
        <v>14</v>
      </c>
      <c r="E1245" t="s">
        <v>43</v>
      </c>
      <c r="F1245">
        <v>45320</v>
      </c>
      <c r="H1245">
        <v>200.05</v>
      </c>
      <c r="I1245" t="s">
        <v>16</v>
      </c>
    </row>
    <row r="1246" spans="1:9" x14ac:dyDescent="0.3">
      <c r="A1246" t="s">
        <v>812</v>
      </c>
      <c r="B1246">
        <v>39</v>
      </c>
      <c r="C1246" t="s">
        <v>18</v>
      </c>
      <c r="D1246" t="s">
        <v>25</v>
      </c>
      <c r="E1246" t="s">
        <v>43</v>
      </c>
      <c r="H1246">
        <v>50.4</v>
      </c>
      <c r="I1246" t="s">
        <v>21</v>
      </c>
    </row>
    <row r="1247" spans="1:9" x14ac:dyDescent="0.3">
      <c r="A1247" t="s">
        <v>442</v>
      </c>
      <c r="B1247">
        <v>19</v>
      </c>
      <c r="C1247" t="s">
        <v>38</v>
      </c>
      <c r="D1247" t="s">
        <v>10</v>
      </c>
      <c r="E1247" t="s">
        <v>15</v>
      </c>
      <c r="F1247">
        <v>45307</v>
      </c>
      <c r="I1247" t="s">
        <v>21</v>
      </c>
    </row>
    <row r="1248" spans="1:9" x14ac:dyDescent="0.3">
      <c r="A1248" t="s">
        <v>254</v>
      </c>
      <c r="C1248" t="s">
        <v>28</v>
      </c>
      <c r="D1248" t="s">
        <v>25</v>
      </c>
      <c r="E1248" t="s">
        <v>29</v>
      </c>
      <c r="F1248">
        <v>45576</v>
      </c>
      <c r="G1248">
        <v>5</v>
      </c>
      <c r="I1248" t="s">
        <v>21</v>
      </c>
    </row>
    <row r="1249" spans="1:9" x14ac:dyDescent="0.3">
      <c r="A1249" t="s">
        <v>130</v>
      </c>
      <c r="B1249">
        <v>38</v>
      </c>
      <c r="D1249" t="s">
        <v>25</v>
      </c>
      <c r="E1249" t="s">
        <v>34</v>
      </c>
    </row>
    <row r="1250" spans="1:9" x14ac:dyDescent="0.3">
      <c r="A1250" t="s">
        <v>547</v>
      </c>
      <c r="D1250" t="s">
        <v>48</v>
      </c>
      <c r="E1250" t="s">
        <v>15</v>
      </c>
      <c r="F1250">
        <v>45507</v>
      </c>
      <c r="I1250" t="s">
        <v>12</v>
      </c>
    </row>
    <row r="1251" spans="1:9" x14ac:dyDescent="0.3">
      <c r="A1251" t="s">
        <v>813</v>
      </c>
      <c r="C1251" t="s">
        <v>42</v>
      </c>
      <c r="D1251" t="s">
        <v>14</v>
      </c>
      <c r="E1251" t="s">
        <v>43</v>
      </c>
      <c r="F1251">
        <v>45394</v>
      </c>
      <c r="G1251">
        <v>16</v>
      </c>
      <c r="I1251" t="s">
        <v>12</v>
      </c>
    </row>
    <row r="1252" spans="1:9" x14ac:dyDescent="0.3">
      <c r="A1252" t="s">
        <v>17</v>
      </c>
      <c r="B1252">
        <v>85</v>
      </c>
      <c r="D1252" t="s">
        <v>51</v>
      </c>
      <c r="E1252" t="s">
        <v>20</v>
      </c>
      <c r="F1252">
        <v>45336</v>
      </c>
      <c r="G1252">
        <v>3</v>
      </c>
      <c r="I1252" t="s">
        <v>16</v>
      </c>
    </row>
    <row r="1253" spans="1:9" x14ac:dyDescent="0.3">
      <c r="A1253" t="s">
        <v>814</v>
      </c>
      <c r="C1253" t="s">
        <v>38</v>
      </c>
      <c r="D1253" t="s">
        <v>14</v>
      </c>
      <c r="E1253" t="s">
        <v>34</v>
      </c>
      <c r="F1253">
        <v>45498</v>
      </c>
    </row>
    <row r="1254" spans="1:9" x14ac:dyDescent="0.3">
      <c r="A1254" t="s">
        <v>815</v>
      </c>
      <c r="C1254" t="s">
        <v>38</v>
      </c>
      <c r="D1254" t="s">
        <v>33</v>
      </c>
      <c r="E1254" t="s">
        <v>29</v>
      </c>
      <c r="F1254">
        <v>45380</v>
      </c>
      <c r="I1254" t="s">
        <v>16</v>
      </c>
    </row>
    <row r="1255" spans="1:9" x14ac:dyDescent="0.3">
      <c r="A1255" t="s">
        <v>116</v>
      </c>
      <c r="B1255">
        <v>41</v>
      </c>
      <c r="D1255" t="s">
        <v>48</v>
      </c>
      <c r="E1255" t="s">
        <v>29</v>
      </c>
      <c r="F1255">
        <v>45341</v>
      </c>
      <c r="G1255">
        <v>11</v>
      </c>
      <c r="H1255">
        <v>1584.87</v>
      </c>
      <c r="I1255" t="s">
        <v>26</v>
      </c>
    </row>
    <row r="1256" spans="1:9" x14ac:dyDescent="0.3">
      <c r="A1256" t="s">
        <v>816</v>
      </c>
      <c r="C1256" t="s">
        <v>38</v>
      </c>
      <c r="D1256" t="s">
        <v>10</v>
      </c>
      <c r="E1256" t="s">
        <v>11</v>
      </c>
      <c r="F1256">
        <v>45337</v>
      </c>
      <c r="I1256" t="s">
        <v>21</v>
      </c>
    </row>
    <row r="1257" spans="1:9" x14ac:dyDescent="0.3">
      <c r="A1257" t="s">
        <v>399</v>
      </c>
      <c r="B1257">
        <v>37</v>
      </c>
      <c r="C1257" t="s">
        <v>28</v>
      </c>
      <c r="D1257" t="s">
        <v>33</v>
      </c>
      <c r="E1257" t="s">
        <v>29</v>
      </c>
      <c r="I1257" t="s">
        <v>21</v>
      </c>
    </row>
    <row r="1258" spans="1:9" x14ac:dyDescent="0.3">
      <c r="A1258" t="s">
        <v>479</v>
      </c>
      <c r="B1258">
        <v>64</v>
      </c>
      <c r="C1258" t="s">
        <v>38</v>
      </c>
      <c r="D1258" t="s">
        <v>33</v>
      </c>
      <c r="E1258" t="s">
        <v>15</v>
      </c>
    </row>
    <row r="1259" spans="1:9" x14ac:dyDescent="0.3">
      <c r="A1259" t="s">
        <v>515</v>
      </c>
      <c r="C1259" t="s">
        <v>42</v>
      </c>
      <c r="D1259" t="s">
        <v>25</v>
      </c>
      <c r="E1259" t="s">
        <v>15</v>
      </c>
      <c r="F1259">
        <v>45393</v>
      </c>
      <c r="H1259">
        <v>1918.21</v>
      </c>
    </row>
    <row r="1260" spans="1:9" x14ac:dyDescent="0.3">
      <c r="A1260" t="s">
        <v>817</v>
      </c>
      <c r="C1260" t="s">
        <v>38</v>
      </c>
      <c r="D1260" t="s">
        <v>10</v>
      </c>
      <c r="E1260" t="s">
        <v>29</v>
      </c>
      <c r="F1260">
        <v>45535</v>
      </c>
      <c r="I1260" t="s">
        <v>21</v>
      </c>
    </row>
    <row r="1261" spans="1:9" x14ac:dyDescent="0.3">
      <c r="A1261" t="s">
        <v>663</v>
      </c>
      <c r="C1261" t="s">
        <v>38</v>
      </c>
      <c r="E1261" t="s">
        <v>23</v>
      </c>
      <c r="F1261">
        <v>45569</v>
      </c>
      <c r="H1261">
        <v>1793.41</v>
      </c>
      <c r="I1261" t="s">
        <v>21</v>
      </c>
    </row>
    <row r="1262" spans="1:9" x14ac:dyDescent="0.3">
      <c r="A1262" t="s">
        <v>95</v>
      </c>
      <c r="C1262" t="s">
        <v>42</v>
      </c>
      <c r="E1262" t="s">
        <v>29</v>
      </c>
      <c r="F1262">
        <v>45640</v>
      </c>
      <c r="G1262">
        <v>2</v>
      </c>
    </row>
    <row r="1263" spans="1:9" x14ac:dyDescent="0.3">
      <c r="A1263" t="s">
        <v>505</v>
      </c>
      <c r="C1263" t="s">
        <v>28</v>
      </c>
      <c r="D1263" t="s">
        <v>19</v>
      </c>
      <c r="E1263" t="s">
        <v>11</v>
      </c>
      <c r="F1263">
        <v>45584</v>
      </c>
      <c r="I1263" t="s">
        <v>21</v>
      </c>
    </row>
    <row r="1264" spans="1:9" x14ac:dyDescent="0.3">
      <c r="A1264" t="s">
        <v>818</v>
      </c>
      <c r="D1264" t="s">
        <v>45</v>
      </c>
      <c r="E1264" t="s">
        <v>57</v>
      </c>
      <c r="F1264">
        <v>45643</v>
      </c>
      <c r="I1264" t="s">
        <v>12</v>
      </c>
    </row>
    <row r="1265" spans="1:9" x14ac:dyDescent="0.3">
      <c r="A1265" t="s">
        <v>227</v>
      </c>
      <c r="B1265">
        <v>47</v>
      </c>
      <c r="C1265" t="s">
        <v>38</v>
      </c>
      <c r="D1265" t="s">
        <v>45</v>
      </c>
      <c r="E1265" t="s">
        <v>20</v>
      </c>
      <c r="F1265">
        <v>45292</v>
      </c>
      <c r="G1265">
        <v>13</v>
      </c>
      <c r="H1265">
        <v>137.07</v>
      </c>
    </row>
    <row r="1266" spans="1:9" x14ac:dyDescent="0.3">
      <c r="A1266" t="s">
        <v>819</v>
      </c>
      <c r="B1266">
        <v>65</v>
      </c>
      <c r="C1266" t="s">
        <v>38</v>
      </c>
      <c r="D1266" t="s">
        <v>19</v>
      </c>
      <c r="E1266" t="s">
        <v>57</v>
      </c>
      <c r="F1266">
        <v>45448</v>
      </c>
    </row>
    <row r="1267" spans="1:9" x14ac:dyDescent="0.3">
      <c r="A1267" t="s">
        <v>820</v>
      </c>
      <c r="C1267" t="s">
        <v>28</v>
      </c>
      <c r="D1267" t="s">
        <v>19</v>
      </c>
      <c r="E1267" t="s">
        <v>34</v>
      </c>
      <c r="F1267">
        <v>45396</v>
      </c>
      <c r="G1267">
        <v>10</v>
      </c>
      <c r="I1267" t="s">
        <v>21</v>
      </c>
    </row>
    <row r="1268" spans="1:9" x14ac:dyDescent="0.3">
      <c r="A1268" t="s">
        <v>727</v>
      </c>
      <c r="C1268" t="s">
        <v>38</v>
      </c>
      <c r="D1268" t="s">
        <v>25</v>
      </c>
      <c r="E1268" t="s">
        <v>43</v>
      </c>
      <c r="F1268">
        <v>45639</v>
      </c>
      <c r="H1268">
        <v>1291.7</v>
      </c>
      <c r="I1268" t="s">
        <v>21</v>
      </c>
    </row>
    <row r="1269" spans="1:9" x14ac:dyDescent="0.3">
      <c r="A1269" t="s">
        <v>459</v>
      </c>
      <c r="B1269">
        <v>69</v>
      </c>
      <c r="D1269" t="s">
        <v>33</v>
      </c>
      <c r="E1269" t="s">
        <v>29</v>
      </c>
      <c r="F1269">
        <v>45378</v>
      </c>
      <c r="I1269" t="s">
        <v>16</v>
      </c>
    </row>
    <row r="1270" spans="1:9" x14ac:dyDescent="0.3">
      <c r="A1270" t="s">
        <v>821</v>
      </c>
      <c r="B1270">
        <v>34</v>
      </c>
      <c r="C1270" t="s">
        <v>42</v>
      </c>
      <c r="D1270" t="s">
        <v>33</v>
      </c>
      <c r="E1270" t="s">
        <v>57</v>
      </c>
      <c r="F1270">
        <v>45583</v>
      </c>
      <c r="G1270">
        <v>11</v>
      </c>
      <c r="H1270">
        <v>1553.86</v>
      </c>
    </row>
    <row r="1271" spans="1:9" x14ac:dyDescent="0.3">
      <c r="A1271" t="s">
        <v>313</v>
      </c>
      <c r="C1271" t="s">
        <v>42</v>
      </c>
      <c r="D1271" t="s">
        <v>14</v>
      </c>
      <c r="E1271" t="s">
        <v>23</v>
      </c>
      <c r="F1271">
        <v>45379</v>
      </c>
      <c r="G1271">
        <v>10</v>
      </c>
      <c r="I1271" t="s">
        <v>12</v>
      </c>
    </row>
    <row r="1272" spans="1:9" x14ac:dyDescent="0.3">
      <c r="A1272" t="s">
        <v>708</v>
      </c>
      <c r="D1272" t="s">
        <v>25</v>
      </c>
      <c r="E1272" t="s">
        <v>23</v>
      </c>
      <c r="F1272">
        <v>45469</v>
      </c>
      <c r="I1272" t="s">
        <v>16</v>
      </c>
    </row>
    <row r="1273" spans="1:9" x14ac:dyDescent="0.3">
      <c r="A1273" t="s">
        <v>822</v>
      </c>
      <c r="B1273">
        <v>35</v>
      </c>
      <c r="C1273" t="s">
        <v>42</v>
      </c>
      <c r="D1273" t="s">
        <v>14</v>
      </c>
      <c r="E1273" t="s">
        <v>34</v>
      </c>
      <c r="F1273">
        <v>45533</v>
      </c>
      <c r="I1273" t="s">
        <v>21</v>
      </c>
    </row>
    <row r="1274" spans="1:9" x14ac:dyDescent="0.3">
      <c r="A1274" t="s">
        <v>823</v>
      </c>
      <c r="B1274">
        <v>43</v>
      </c>
      <c r="C1274" t="s">
        <v>18</v>
      </c>
      <c r="D1274" t="s">
        <v>14</v>
      </c>
      <c r="E1274" t="s">
        <v>11</v>
      </c>
      <c r="F1274">
        <v>45329</v>
      </c>
      <c r="H1274">
        <v>680.16</v>
      </c>
      <c r="I1274" t="s">
        <v>26</v>
      </c>
    </row>
    <row r="1275" spans="1:9" x14ac:dyDescent="0.3">
      <c r="A1275" t="s">
        <v>253</v>
      </c>
      <c r="D1275" t="s">
        <v>14</v>
      </c>
      <c r="E1275" t="s">
        <v>43</v>
      </c>
      <c r="F1275">
        <v>45612</v>
      </c>
      <c r="H1275">
        <v>662.62</v>
      </c>
    </row>
    <row r="1276" spans="1:9" x14ac:dyDescent="0.3">
      <c r="A1276" t="s">
        <v>660</v>
      </c>
      <c r="C1276" t="s">
        <v>42</v>
      </c>
      <c r="D1276" t="s">
        <v>14</v>
      </c>
      <c r="E1276" t="s">
        <v>20</v>
      </c>
      <c r="F1276">
        <v>45303</v>
      </c>
      <c r="G1276">
        <v>18</v>
      </c>
      <c r="H1276">
        <v>1210.0999999999999</v>
      </c>
      <c r="I1276" t="s">
        <v>12</v>
      </c>
    </row>
    <row r="1277" spans="1:9" x14ac:dyDescent="0.3">
      <c r="A1277" t="s">
        <v>824</v>
      </c>
      <c r="C1277" t="s">
        <v>28</v>
      </c>
      <c r="E1277" t="s">
        <v>34</v>
      </c>
      <c r="F1277">
        <v>45357</v>
      </c>
      <c r="H1277">
        <v>643.23</v>
      </c>
      <c r="I1277" t="s">
        <v>12</v>
      </c>
    </row>
    <row r="1278" spans="1:9" x14ac:dyDescent="0.3">
      <c r="A1278" t="s">
        <v>216</v>
      </c>
      <c r="C1278" t="s">
        <v>28</v>
      </c>
      <c r="D1278" t="s">
        <v>45</v>
      </c>
      <c r="E1278" t="s">
        <v>29</v>
      </c>
      <c r="F1278">
        <v>45528</v>
      </c>
      <c r="G1278">
        <v>19</v>
      </c>
      <c r="I1278" t="s">
        <v>16</v>
      </c>
    </row>
    <row r="1279" spans="1:9" x14ac:dyDescent="0.3">
      <c r="A1279" t="s">
        <v>85</v>
      </c>
      <c r="C1279" t="s">
        <v>42</v>
      </c>
      <c r="D1279" t="s">
        <v>51</v>
      </c>
      <c r="E1279" t="s">
        <v>29</v>
      </c>
      <c r="H1279">
        <v>1946.99</v>
      </c>
      <c r="I1279" t="s">
        <v>26</v>
      </c>
    </row>
    <row r="1280" spans="1:9" x14ac:dyDescent="0.3">
      <c r="A1280" t="s">
        <v>825</v>
      </c>
      <c r="C1280" t="s">
        <v>38</v>
      </c>
      <c r="D1280" t="s">
        <v>19</v>
      </c>
      <c r="E1280" t="s">
        <v>34</v>
      </c>
      <c r="G1280">
        <v>18</v>
      </c>
      <c r="I1280" t="s">
        <v>12</v>
      </c>
    </row>
    <row r="1281" spans="1:9" x14ac:dyDescent="0.3">
      <c r="A1281" t="s">
        <v>243</v>
      </c>
      <c r="B1281">
        <v>48</v>
      </c>
      <c r="C1281" t="s">
        <v>28</v>
      </c>
      <c r="D1281" t="s">
        <v>33</v>
      </c>
      <c r="E1281" t="s">
        <v>34</v>
      </c>
      <c r="F1281">
        <v>45607</v>
      </c>
      <c r="I1281" t="s">
        <v>26</v>
      </c>
    </row>
    <row r="1282" spans="1:9" x14ac:dyDescent="0.3">
      <c r="A1282" t="s">
        <v>826</v>
      </c>
      <c r="C1282" t="s">
        <v>42</v>
      </c>
      <c r="D1282" t="s">
        <v>45</v>
      </c>
      <c r="E1282" t="s">
        <v>20</v>
      </c>
      <c r="F1282">
        <v>45355</v>
      </c>
      <c r="I1282" t="s">
        <v>21</v>
      </c>
    </row>
    <row r="1283" spans="1:9" x14ac:dyDescent="0.3">
      <c r="A1283" t="s">
        <v>308</v>
      </c>
      <c r="C1283" t="s">
        <v>28</v>
      </c>
      <c r="D1283" t="s">
        <v>48</v>
      </c>
      <c r="E1283" t="s">
        <v>29</v>
      </c>
      <c r="F1283">
        <v>45397</v>
      </c>
      <c r="I1283" t="s">
        <v>12</v>
      </c>
    </row>
    <row r="1284" spans="1:9" x14ac:dyDescent="0.3">
      <c r="A1284" t="s">
        <v>827</v>
      </c>
      <c r="C1284" t="s">
        <v>42</v>
      </c>
      <c r="D1284" t="s">
        <v>19</v>
      </c>
      <c r="E1284" t="s">
        <v>57</v>
      </c>
      <c r="F1284">
        <v>45588</v>
      </c>
      <c r="G1284">
        <v>8</v>
      </c>
      <c r="I1284" t="s">
        <v>21</v>
      </c>
    </row>
    <row r="1285" spans="1:9" x14ac:dyDescent="0.3">
      <c r="A1285" t="s">
        <v>331</v>
      </c>
      <c r="C1285" t="s">
        <v>38</v>
      </c>
      <c r="D1285" t="s">
        <v>25</v>
      </c>
      <c r="E1285" t="s">
        <v>23</v>
      </c>
      <c r="F1285">
        <v>45539</v>
      </c>
      <c r="I1285" t="s">
        <v>26</v>
      </c>
    </row>
    <row r="1286" spans="1:9" x14ac:dyDescent="0.3">
      <c r="A1286" t="s">
        <v>54</v>
      </c>
      <c r="C1286" t="s">
        <v>18</v>
      </c>
      <c r="D1286" t="s">
        <v>48</v>
      </c>
      <c r="E1286" t="s">
        <v>11</v>
      </c>
      <c r="F1286">
        <v>45345</v>
      </c>
      <c r="G1286">
        <v>18</v>
      </c>
      <c r="H1286">
        <v>1893.15</v>
      </c>
      <c r="I1286" t="s">
        <v>21</v>
      </c>
    </row>
    <row r="1287" spans="1:9" x14ac:dyDescent="0.3">
      <c r="A1287" t="s">
        <v>828</v>
      </c>
      <c r="C1287" t="s">
        <v>28</v>
      </c>
      <c r="D1287" t="s">
        <v>25</v>
      </c>
      <c r="E1287" t="s">
        <v>11</v>
      </c>
      <c r="G1287">
        <v>9</v>
      </c>
      <c r="I1287" t="s">
        <v>12</v>
      </c>
    </row>
    <row r="1288" spans="1:9" x14ac:dyDescent="0.3">
      <c r="A1288" t="s">
        <v>703</v>
      </c>
      <c r="B1288">
        <v>23</v>
      </c>
      <c r="C1288" t="s">
        <v>42</v>
      </c>
      <c r="D1288" t="s">
        <v>51</v>
      </c>
      <c r="E1288" t="s">
        <v>15</v>
      </c>
      <c r="G1288">
        <v>20</v>
      </c>
      <c r="I1288" t="s">
        <v>26</v>
      </c>
    </row>
    <row r="1289" spans="1:9" x14ac:dyDescent="0.3">
      <c r="A1289" t="s">
        <v>308</v>
      </c>
      <c r="B1289">
        <v>89</v>
      </c>
      <c r="C1289" t="s">
        <v>38</v>
      </c>
      <c r="D1289" t="s">
        <v>10</v>
      </c>
      <c r="E1289" t="s">
        <v>23</v>
      </c>
      <c r="G1289">
        <v>11</v>
      </c>
      <c r="I1289" t="s">
        <v>21</v>
      </c>
    </row>
    <row r="1290" spans="1:9" x14ac:dyDescent="0.3">
      <c r="A1290" t="s">
        <v>194</v>
      </c>
      <c r="C1290" t="s">
        <v>28</v>
      </c>
      <c r="D1290" t="s">
        <v>19</v>
      </c>
      <c r="E1290" t="s">
        <v>29</v>
      </c>
      <c r="F1290">
        <v>45510</v>
      </c>
      <c r="G1290">
        <v>12</v>
      </c>
      <c r="I1290" t="s">
        <v>21</v>
      </c>
    </row>
    <row r="1291" spans="1:9" x14ac:dyDescent="0.3">
      <c r="A1291" t="s">
        <v>528</v>
      </c>
      <c r="B1291">
        <v>56</v>
      </c>
      <c r="C1291" t="s">
        <v>18</v>
      </c>
      <c r="D1291" t="s">
        <v>25</v>
      </c>
      <c r="E1291" t="s">
        <v>20</v>
      </c>
      <c r="F1291">
        <v>45594</v>
      </c>
      <c r="I1291" t="s">
        <v>12</v>
      </c>
    </row>
    <row r="1292" spans="1:9" x14ac:dyDescent="0.3">
      <c r="A1292" t="s">
        <v>829</v>
      </c>
      <c r="C1292" t="s">
        <v>42</v>
      </c>
      <c r="D1292" t="s">
        <v>14</v>
      </c>
      <c r="E1292" t="s">
        <v>34</v>
      </c>
      <c r="F1292">
        <v>45638</v>
      </c>
      <c r="I1292" t="s">
        <v>26</v>
      </c>
    </row>
    <row r="1293" spans="1:9" x14ac:dyDescent="0.3">
      <c r="A1293" t="s">
        <v>461</v>
      </c>
      <c r="C1293" t="s">
        <v>42</v>
      </c>
      <c r="D1293" t="s">
        <v>33</v>
      </c>
      <c r="E1293" t="s">
        <v>29</v>
      </c>
      <c r="I1293" t="s">
        <v>26</v>
      </c>
    </row>
    <row r="1294" spans="1:9" x14ac:dyDescent="0.3">
      <c r="A1294" t="s">
        <v>258</v>
      </c>
      <c r="E1294" t="s">
        <v>57</v>
      </c>
      <c r="F1294">
        <v>45498</v>
      </c>
      <c r="H1294">
        <v>275.61</v>
      </c>
      <c r="I1294" t="s">
        <v>21</v>
      </c>
    </row>
    <row r="1295" spans="1:9" x14ac:dyDescent="0.3">
      <c r="A1295" t="s">
        <v>830</v>
      </c>
      <c r="C1295" t="s">
        <v>28</v>
      </c>
      <c r="D1295" t="s">
        <v>45</v>
      </c>
      <c r="E1295" t="s">
        <v>57</v>
      </c>
      <c r="F1295">
        <v>45436</v>
      </c>
    </row>
    <row r="1296" spans="1:9" x14ac:dyDescent="0.3">
      <c r="A1296" t="s">
        <v>532</v>
      </c>
      <c r="C1296" t="s">
        <v>28</v>
      </c>
      <c r="D1296" t="s">
        <v>19</v>
      </c>
      <c r="E1296" t="s">
        <v>29</v>
      </c>
      <c r="F1296">
        <v>45479</v>
      </c>
      <c r="H1296">
        <v>124.71</v>
      </c>
      <c r="I1296" t="s">
        <v>26</v>
      </c>
    </row>
    <row r="1297" spans="1:9" x14ac:dyDescent="0.3">
      <c r="A1297" t="s">
        <v>372</v>
      </c>
      <c r="C1297" t="s">
        <v>42</v>
      </c>
      <c r="D1297" t="s">
        <v>25</v>
      </c>
      <c r="E1297" t="s">
        <v>34</v>
      </c>
      <c r="G1297">
        <v>16</v>
      </c>
      <c r="I1297" t="s">
        <v>12</v>
      </c>
    </row>
    <row r="1298" spans="1:9" x14ac:dyDescent="0.3">
      <c r="A1298" t="s">
        <v>331</v>
      </c>
      <c r="C1298" t="s">
        <v>38</v>
      </c>
      <c r="D1298" t="s">
        <v>25</v>
      </c>
      <c r="E1298" t="s">
        <v>20</v>
      </c>
      <c r="F1298">
        <v>45482</v>
      </c>
      <c r="G1298">
        <v>20</v>
      </c>
    </row>
    <row r="1299" spans="1:9" x14ac:dyDescent="0.3">
      <c r="A1299" t="s">
        <v>629</v>
      </c>
      <c r="C1299" t="s">
        <v>28</v>
      </c>
      <c r="D1299" t="s">
        <v>14</v>
      </c>
      <c r="E1299" t="s">
        <v>29</v>
      </c>
      <c r="F1299">
        <v>45438</v>
      </c>
    </row>
    <row r="1300" spans="1:9" x14ac:dyDescent="0.3">
      <c r="A1300" t="s">
        <v>831</v>
      </c>
      <c r="C1300" t="s">
        <v>38</v>
      </c>
      <c r="D1300" t="s">
        <v>19</v>
      </c>
      <c r="E1300" t="s">
        <v>34</v>
      </c>
      <c r="F1300">
        <v>45624</v>
      </c>
      <c r="I1300" t="s">
        <v>16</v>
      </c>
    </row>
    <row r="1301" spans="1:9" x14ac:dyDescent="0.3">
      <c r="A1301" t="s">
        <v>167</v>
      </c>
      <c r="C1301" t="s">
        <v>38</v>
      </c>
      <c r="D1301" t="s">
        <v>33</v>
      </c>
      <c r="E1301" t="s">
        <v>34</v>
      </c>
      <c r="F1301">
        <v>45364</v>
      </c>
      <c r="I1301" t="s">
        <v>21</v>
      </c>
    </row>
    <row r="1302" spans="1:9" x14ac:dyDescent="0.3">
      <c r="A1302" t="s">
        <v>482</v>
      </c>
      <c r="B1302">
        <v>64</v>
      </c>
      <c r="C1302" t="s">
        <v>42</v>
      </c>
      <c r="D1302" t="s">
        <v>45</v>
      </c>
      <c r="E1302" t="s">
        <v>11</v>
      </c>
      <c r="F1302">
        <v>45516</v>
      </c>
      <c r="G1302">
        <v>14</v>
      </c>
    </row>
    <row r="1303" spans="1:9" x14ac:dyDescent="0.3">
      <c r="A1303" t="s">
        <v>58</v>
      </c>
      <c r="C1303" t="s">
        <v>28</v>
      </c>
      <c r="D1303" t="s">
        <v>45</v>
      </c>
      <c r="E1303" t="s">
        <v>11</v>
      </c>
      <c r="H1303">
        <v>1720.87</v>
      </c>
      <c r="I1303" t="s">
        <v>16</v>
      </c>
    </row>
    <row r="1304" spans="1:9" x14ac:dyDescent="0.3">
      <c r="A1304" t="s">
        <v>205</v>
      </c>
      <c r="B1304">
        <v>65</v>
      </c>
      <c r="C1304" t="s">
        <v>18</v>
      </c>
      <c r="D1304" t="s">
        <v>19</v>
      </c>
      <c r="E1304" t="s">
        <v>43</v>
      </c>
      <c r="F1304">
        <v>45559</v>
      </c>
      <c r="G1304">
        <v>17</v>
      </c>
      <c r="H1304">
        <v>894.98</v>
      </c>
      <c r="I1304" t="s">
        <v>16</v>
      </c>
    </row>
    <row r="1305" spans="1:9" x14ac:dyDescent="0.3">
      <c r="A1305" t="s">
        <v>169</v>
      </c>
      <c r="C1305" t="s">
        <v>42</v>
      </c>
      <c r="D1305" t="s">
        <v>25</v>
      </c>
      <c r="E1305" t="s">
        <v>11</v>
      </c>
      <c r="F1305">
        <v>45463</v>
      </c>
      <c r="I1305" t="s">
        <v>16</v>
      </c>
    </row>
    <row r="1306" spans="1:9" x14ac:dyDescent="0.3">
      <c r="A1306" t="s">
        <v>388</v>
      </c>
      <c r="B1306">
        <v>37</v>
      </c>
      <c r="C1306" t="s">
        <v>42</v>
      </c>
      <c r="D1306" t="s">
        <v>25</v>
      </c>
      <c r="E1306" t="s">
        <v>15</v>
      </c>
      <c r="F1306">
        <v>45517</v>
      </c>
      <c r="I1306" t="s">
        <v>21</v>
      </c>
    </row>
    <row r="1307" spans="1:9" x14ac:dyDescent="0.3">
      <c r="A1307" t="s">
        <v>512</v>
      </c>
      <c r="C1307" t="s">
        <v>42</v>
      </c>
      <c r="D1307" t="s">
        <v>48</v>
      </c>
      <c r="E1307" t="s">
        <v>23</v>
      </c>
      <c r="F1307">
        <v>45609</v>
      </c>
      <c r="I1307" t="s">
        <v>12</v>
      </c>
    </row>
    <row r="1308" spans="1:9" x14ac:dyDescent="0.3">
      <c r="A1308" t="s">
        <v>832</v>
      </c>
      <c r="C1308" t="s">
        <v>38</v>
      </c>
      <c r="D1308" t="s">
        <v>19</v>
      </c>
      <c r="E1308" t="s">
        <v>11</v>
      </c>
      <c r="F1308">
        <v>45629</v>
      </c>
    </row>
    <row r="1309" spans="1:9" x14ac:dyDescent="0.3">
      <c r="A1309" t="s">
        <v>267</v>
      </c>
      <c r="C1309" t="s">
        <v>18</v>
      </c>
      <c r="D1309" t="s">
        <v>48</v>
      </c>
      <c r="E1309" t="s">
        <v>23</v>
      </c>
      <c r="F1309">
        <v>45524</v>
      </c>
      <c r="H1309">
        <v>333.11</v>
      </c>
      <c r="I1309" t="s">
        <v>12</v>
      </c>
    </row>
    <row r="1310" spans="1:9" x14ac:dyDescent="0.3">
      <c r="A1310" t="s">
        <v>109</v>
      </c>
      <c r="C1310" t="s">
        <v>18</v>
      </c>
      <c r="D1310" t="s">
        <v>14</v>
      </c>
      <c r="E1310" t="s">
        <v>34</v>
      </c>
    </row>
    <row r="1311" spans="1:9" x14ac:dyDescent="0.3">
      <c r="A1311" t="s">
        <v>730</v>
      </c>
      <c r="C1311" t="s">
        <v>42</v>
      </c>
      <c r="D1311" t="s">
        <v>19</v>
      </c>
      <c r="E1311" t="s">
        <v>57</v>
      </c>
      <c r="H1311">
        <v>1845.1</v>
      </c>
    </row>
    <row r="1312" spans="1:9" x14ac:dyDescent="0.3">
      <c r="A1312" t="s">
        <v>833</v>
      </c>
      <c r="D1312" t="s">
        <v>45</v>
      </c>
      <c r="E1312" t="s">
        <v>11</v>
      </c>
      <c r="F1312">
        <v>45603</v>
      </c>
      <c r="H1312">
        <v>803.23</v>
      </c>
      <c r="I1312" t="s">
        <v>26</v>
      </c>
    </row>
    <row r="1313" spans="1:9" x14ac:dyDescent="0.3">
      <c r="A1313" t="s">
        <v>310</v>
      </c>
      <c r="C1313" t="s">
        <v>38</v>
      </c>
      <c r="D1313" t="s">
        <v>33</v>
      </c>
      <c r="E1313" t="s">
        <v>23</v>
      </c>
      <c r="F1313">
        <v>45567</v>
      </c>
      <c r="H1313">
        <v>237.69</v>
      </c>
      <c r="I1313" t="s">
        <v>16</v>
      </c>
    </row>
    <row r="1314" spans="1:9" x14ac:dyDescent="0.3">
      <c r="A1314" t="s">
        <v>274</v>
      </c>
      <c r="C1314" t="s">
        <v>38</v>
      </c>
      <c r="D1314" t="s">
        <v>25</v>
      </c>
      <c r="E1314" t="s">
        <v>20</v>
      </c>
      <c r="F1314">
        <v>45595</v>
      </c>
      <c r="I1314" t="s">
        <v>16</v>
      </c>
    </row>
    <row r="1315" spans="1:9" x14ac:dyDescent="0.3">
      <c r="A1315" t="s">
        <v>461</v>
      </c>
      <c r="D1315" t="s">
        <v>25</v>
      </c>
      <c r="E1315" t="s">
        <v>34</v>
      </c>
      <c r="F1315">
        <v>45418</v>
      </c>
      <c r="G1315">
        <v>2</v>
      </c>
      <c r="I1315" t="s">
        <v>12</v>
      </c>
    </row>
    <row r="1316" spans="1:9" x14ac:dyDescent="0.3">
      <c r="A1316" t="s">
        <v>84</v>
      </c>
      <c r="C1316" t="s">
        <v>18</v>
      </c>
      <c r="D1316" t="s">
        <v>33</v>
      </c>
      <c r="E1316" t="s">
        <v>23</v>
      </c>
      <c r="I1316" t="s">
        <v>12</v>
      </c>
    </row>
    <row r="1317" spans="1:9" x14ac:dyDescent="0.3">
      <c r="A1317" t="s">
        <v>179</v>
      </c>
      <c r="C1317" t="s">
        <v>38</v>
      </c>
      <c r="D1317" t="s">
        <v>48</v>
      </c>
      <c r="E1317" t="s">
        <v>15</v>
      </c>
      <c r="F1317">
        <v>45447</v>
      </c>
      <c r="G1317">
        <v>4</v>
      </c>
      <c r="I1317" t="s">
        <v>21</v>
      </c>
    </row>
    <row r="1318" spans="1:9" x14ac:dyDescent="0.3">
      <c r="A1318" t="s">
        <v>834</v>
      </c>
      <c r="B1318">
        <v>72</v>
      </c>
      <c r="D1318" t="s">
        <v>25</v>
      </c>
      <c r="E1318" t="s">
        <v>11</v>
      </c>
      <c r="F1318">
        <v>45373</v>
      </c>
      <c r="I1318" t="s">
        <v>26</v>
      </c>
    </row>
    <row r="1319" spans="1:9" x14ac:dyDescent="0.3">
      <c r="A1319" t="s">
        <v>73</v>
      </c>
      <c r="B1319">
        <v>46</v>
      </c>
      <c r="C1319" t="s">
        <v>18</v>
      </c>
      <c r="D1319" t="s">
        <v>25</v>
      </c>
      <c r="E1319" t="s">
        <v>34</v>
      </c>
      <c r="F1319">
        <v>45353</v>
      </c>
      <c r="I1319" t="s">
        <v>26</v>
      </c>
    </row>
    <row r="1320" spans="1:9" x14ac:dyDescent="0.3">
      <c r="A1320" t="s">
        <v>835</v>
      </c>
      <c r="C1320" t="s">
        <v>38</v>
      </c>
      <c r="D1320" t="s">
        <v>33</v>
      </c>
      <c r="E1320" t="s">
        <v>34</v>
      </c>
      <c r="F1320">
        <v>45297</v>
      </c>
    </row>
    <row r="1321" spans="1:9" x14ac:dyDescent="0.3">
      <c r="A1321" t="s">
        <v>836</v>
      </c>
      <c r="B1321">
        <v>41</v>
      </c>
      <c r="C1321" t="s">
        <v>18</v>
      </c>
      <c r="D1321" t="s">
        <v>14</v>
      </c>
      <c r="E1321" t="s">
        <v>15</v>
      </c>
      <c r="G1321">
        <v>2</v>
      </c>
      <c r="I1321" t="s">
        <v>26</v>
      </c>
    </row>
    <row r="1322" spans="1:9" x14ac:dyDescent="0.3">
      <c r="A1322" t="s">
        <v>253</v>
      </c>
      <c r="C1322" t="s">
        <v>42</v>
      </c>
      <c r="D1322" t="s">
        <v>25</v>
      </c>
      <c r="E1322" t="s">
        <v>34</v>
      </c>
      <c r="H1322">
        <v>1069.75</v>
      </c>
      <c r="I1322" t="s">
        <v>12</v>
      </c>
    </row>
    <row r="1323" spans="1:9" x14ac:dyDescent="0.3">
      <c r="A1323" t="s">
        <v>463</v>
      </c>
      <c r="C1323" t="s">
        <v>38</v>
      </c>
      <c r="E1323" t="s">
        <v>29</v>
      </c>
      <c r="F1323">
        <v>45588</v>
      </c>
    </row>
    <row r="1324" spans="1:9" x14ac:dyDescent="0.3">
      <c r="A1324" t="s">
        <v>837</v>
      </c>
      <c r="C1324" t="s">
        <v>38</v>
      </c>
      <c r="D1324" t="s">
        <v>10</v>
      </c>
      <c r="E1324" t="s">
        <v>20</v>
      </c>
      <c r="F1324">
        <v>45426</v>
      </c>
      <c r="I1324" t="s">
        <v>26</v>
      </c>
    </row>
    <row r="1325" spans="1:9" x14ac:dyDescent="0.3">
      <c r="A1325" t="s">
        <v>838</v>
      </c>
      <c r="C1325" t="s">
        <v>42</v>
      </c>
      <c r="D1325" t="s">
        <v>10</v>
      </c>
      <c r="E1325" t="s">
        <v>15</v>
      </c>
      <c r="F1325">
        <v>45413</v>
      </c>
      <c r="G1325">
        <v>13</v>
      </c>
      <c r="H1325">
        <v>1920.55</v>
      </c>
      <c r="I1325" t="s">
        <v>21</v>
      </c>
    </row>
    <row r="1326" spans="1:9" x14ac:dyDescent="0.3">
      <c r="A1326" t="s">
        <v>839</v>
      </c>
      <c r="C1326" t="s">
        <v>42</v>
      </c>
      <c r="D1326" t="s">
        <v>14</v>
      </c>
      <c r="E1326" t="s">
        <v>34</v>
      </c>
      <c r="I1326" t="s">
        <v>16</v>
      </c>
    </row>
    <row r="1327" spans="1:9" x14ac:dyDescent="0.3">
      <c r="A1327" t="s">
        <v>793</v>
      </c>
      <c r="B1327">
        <v>47</v>
      </c>
      <c r="C1327" t="s">
        <v>28</v>
      </c>
      <c r="D1327" t="s">
        <v>19</v>
      </c>
      <c r="E1327" t="s">
        <v>23</v>
      </c>
      <c r="F1327">
        <v>45417</v>
      </c>
      <c r="H1327">
        <v>1229.28</v>
      </c>
      <c r="I1327" t="s">
        <v>21</v>
      </c>
    </row>
    <row r="1328" spans="1:9" x14ac:dyDescent="0.3">
      <c r="A1328" t="s">
        <v>839</v>
      </c>
      <c r="C1328" t="s">
        <v>42</v>
      </c>
      <c r="D1328" t="s">
        <v>19</v>
      </c>
      <c r="E1328" t="s">
        <v>11</v>
      </c>
      <c r="F1328">
        <v>45616</v>
      </c>
      <c r="H1328">
        <v>1454.56</v>
      </c>
      <c r="I1328" t="s">
        <v>16</v>
      </c>
    </row>
    <row r="1329" spans="1:9" x14ac:dyDescent="0.3">
      <c r="A1329" t="s">
        <v>147</v>
      </c>
      <c r="B1329">
        <v>79</v>
      </c>
      <c r="C1329" t="s">
        <v>42</v>
      </c>
      <c r="D1329" t="s">
        <v>33</v>
      </c>
      <c r="E1329" t="s">
        <v>11</v>
      </c>
      <c r="H1329">
        <v>745.69</v>
      </c>
      <c r="I1329" t="s">
        <v>16</v>
      </c>
    </row>
    <row r="1330" spans="1:9" x14ac:dyDescent="0.3">
      <c r="A1330" t="s">
        <v>840</v>
      </c>
      <c r="B1330">
        <v>43</v>
      </c>
      <c r="C1330" t="s">
        <v>18</v>
      </c>
      <c r="D1330" t="s">
        <v>45</v>
      </c>
      <c r="E1330" t="s">
        <v>43</v>
      </c>
      <c r="F1330">
        <v>45432</v>
      </c>
      <c r="H1330">
        <v>1795.37</v>
      </c>
      <c r="I1330" t="s">
        <v>16</v>
      </c>
    </row>
    <row r="1331" spans="1:9" x14ac:dyDescent="0.3">
      <c r="A1331" t="s">
        <v>13</v>
      </c>
      <c r="D1331" t="s">
        <v>48</v>
      </c>
      <c r="E1331" t="s">
        <v>23</v>
      </c>
      <c r="F1331">
        <v>45642</v>
      </c>
      <c r="I1331" t="s">
        <v>16</v>
      </c>
    </row>
    <row r="1332" spans="1:9" x14ac:dyDescent="0.3">
      <c r="A1332" t="s">
        <v>575</v>
      </c>
      <c r="C1332" t="s">
        <v>38</v>
      </c>
      <c r="D1332" t="s">
        <v>19</v>
      </c>
      <c r="E1332" t="s">
        <v>15</v>
      </c>
      <c r="G1332">
        <v>16</v>
      </c>
      <c r="I1332" t="s">
        <v>16</v>
      </c>
    </row>
    <row r="1333" spans="1:9" x14ac:dyDescent="0.3">
      <c r="A1333" t="s">
        <v>98</v>
      </c>
      <c r="B1333">
        <v>63</v>
      </c>
      <c r="C1333" t="s">
        <v>42</v>
      </c>
      <c r="D1333" t="s">
        <v>14</v>
      </c>
      <c r="E1333" t="s">
        <v>43</v>
      </c>
      <c r="F1333">
        <v>45563</v>
      </c>
      <c r="I1333" t="s">
        <v>12</v>
      </c>
    </row>
    <row r="1334" spans="1:9" x14ac:dyDescent="0.3">
      <c r="A1334" t="s">
        <v>841</v>
      </c>
      <c r="C1334" t="s">
        <v>18</v>
      </c>
      <c r="D1334" t="s">
        <v>10</v>
      </c>
      <c r="E1334" t="s">
        <v>11</v>
      </c>
      <c r="F1334">
        <v>45622</v>
      </c>
      <c r="H1334">
        <v>63.46</v>
      </c>
      <c r="I1334" t="s">
        <v>12</v>
      </c>
    </row>
    <row r="1335" spans="1:9" x14ac:dyDescent="0.3">
      <c r="A1335" t="s">
        <v>842</v>
      </c>
      <c r="B1335">
        <v>66</v>
      </c>
      <c r="C1335" t="s">
        <v>38</v>
      </c>
      <c r="D1335" t="s">
        <v>33</v>
      </c>
      <c r="E1335" t="s">
        <v>34</v>
      </c>
      <c r="F1335">
        <v>45445</v>
      </c>
      <c r="I1335" t="s">
        <v>16</v>
      </c>
    </row>
    <row r="1336" spans="1:9" x14ac:dyDescent="0.3">
      <c r="A1336" t="s">
        <v>784</v>
      </c>
      <c r="C1336" t="s">
        <v>28</v>
      </c>
      <c r="D1336" t="s">
        <v>45</v>
      </c>
      <c r="E1336" t="s">
        <v>57</v>
      </c>
      <c r="F1336">
        <v>45438</v>
      </c>
      <c r="I1336" t="s">
        <v>12</v>
      </c>
    </row>
    <row r="1337" spans="1:9" x14ac:dyDescent="0.3">
      <c r="A1337" t="s">
        <v>757</v>
      </c>
      <c r="C1337" t="s">
        <v>18</v>
      </c>
      <c r="D1337" t="s">
        <v>19</v>
      </c>
      <c r="E1337" t="s">
        <v>43</v>
      </c>
      <c r="F1337">
        <v>45583</v>
      </c>
      <c r="G1337">
        <v>19</v>
      </c>
      <c r="I1337" t="s">
        <v>26</v>
      </c>
    </row>
    <row r="1338" spans="1:9" x14ac:dyDescent="0.3">
      <c r="A1338" t="s">
        <v>843</v>
      </c>
      <c r="C1338" t="s">
        <v>42</v>
      </c>
      <c r="D1338" t="s">
        <v>51</v>
      </c>
      <c r="E1338" t="s">
        <v>20</v>
      </c>
      <c r="F1338">
        <v>45319</v>
      </c>
      <c r="I1338" t="s">
        <v>12</v>
      </c>
    </row>
    <row r="1339" spans="1:9" x14ac:dyDescent="0.3">
      <c r="A1339" t="s">
        <v>256</v>
      </c>
      <c r="B1339">
        <v>69</v>
      </c>
      <c r="C1339" t="s">
        <v>28</v>
      </c>
      <c r="D1339" t="s">
        <v>19</v>
      </c>
      <c r="E1339" t="s">
        <v>11</v>
      </c>
      <c r="F1339">
        <v>45397</v>
      </c>
      <c r="G1339">
        <v>6</v>
      </c>
      <c r="H1339">
        <v>758.4</v>
      </c>
      <c r="I1339" t="s">
        <v>12</v>
      </c>
    </row>
    <row r="1340" spans="1:9" x14ac:dyDescent="0.3">
      <c r="A1340" t="s">
        <v>529</v>
      </c>
      <c r="B1340">
        <v>94</v>
      </c>
      <c r="C1340" t="s">
        <v>28</v>
      </c>
      <c r="D1340" t="s">
        <v>51</v>
      </c>
      <c r="E1340" t="s">
        <v>43</v>
      </c>
      <c r="H1340">
        <v>1276.9000000000001</v>
      </c>
    </row>
    <row r="1341" spans="1:9" x14ac:dyDescent="0.3">
      <c r="A1341" t="s">
        <v>35</v>
      </c>
      <c r="C1341" t="s">
        <v>38</v>
      </c>
      <c r="D1341" t="s">
        <v>19</v>
      </c>
      <c r="E1341" t="s">
        <v>20</v>
      </c>
      <c r="F1341">
        <v>45581</v>
      </c>
    </row>
    <row r="1342" spans="1:9" x14ac:dyDescent="0.3">
      <c r="A1342" t="s">
        <v>717</v>
      </c>
      <c r="D1342" t="s">
        <v>14</v>
      </c>
      <c r="E1342" t="s">
        <v>20</v>
      </c>
      <c r="F1342">
        <v>45455</v>
      </c>
      <c r="G1342">
        <v>5</v>
      </c>
      <c r="H1342">
        <v>1899.2</v>
      </c>
    </row>
    <row r="1343" spans="1:9" x14ac:dyDescent="0.3">
      <c r="A1343" t="s">
        <v>485</v>
      </c>
      <c r="C1343" t="s">
        <v>38</v>
      </c>
      <c r="D1343" t="s">
        <v>19</v>
      </c>
      <c r="E1343" t="s">
        <v>34</v>
      </c>
      <c r="F1343">
        <v>45566</v>
      </c>
      <c r="G1343">
        <v>5</v>
      </c>
      <c r="H1343">
        <v>206.42</v>
      </c>
      <c r="I1343" t="s">
        <v>26</v>
      </c>
    </row>
    <row r="1344" spans="1:9" x14ac:dyDescent="0.3">
      <c r="A1344" t="s">
        <v>101</v>
      </c>
      <c r="B1344">
        <v>42</v>
      </c>
      <c r="C1344" t="s">
        <v>28</v>
      </c>
      <c r="D1344" t="s">
        <v>51</v>
      </c>
      <c r="E1344" t="s">
        <v>11</v>
      </c>
      <c r="F1344">
        <v>45394</v>
      </c>
      <c r="H1344">
        <v>1380.05</v>
      </c>
      <c r="I1344" t="s">
        <v>26</v>
      </c>
    </row>
    <row r="1345" spans="1:9" x14ac:dyDescent="0.3">
      <c r="A1345" t="s">
        <v>844</v>
      </c>
      <c r="E1345" t="s">
        <v>20</v>
      </c>
      <c r="F1345">
        <v>45382</v>
      </c>
      <c r="G1345">
        <v>3</v>
      </c>
      <c r="I1345" t="s">
        <v>26</v>
      </c>
    </row>
    <row r="1346" spans="1:9" x14ac:dyDescent="0.3">
      <c r="A1346" t="s">
        <v>845</v>
      </c>
      <c r="C1346" t="s">
        <v>42</v>
      </c>
      <c r="D1346" t="s">
        <v>48</v>
      </c>
      <c r="E1346" t="s">
        <v>43</v>
      </c>
      <c r="I1346" t="s">
        <v>16</v>
      </c>
    </row>
    <row r="1347" spans="1:9" x14ac:dyDescent="0.3">
      <c r="A1347" t="s">
        <v>846</v>
      </c>
      <c r="B1347">
        <v>45</v>
      </c>
      <c r="D1347" t="s">
        <v>33</v>
      </c>
      <c r="E1347" t="s">
        <v>29</v>
      </c>
      <c r="G1347">
        <v>18</v>
      </c>
      <c r="H1347">
        <v>116.89</v>
      </c>
      <c r="I1347" t="s">
        <v>12</v>
      </c>
    </row>
    <row r="1348" spans="1:9" x14ac:dyDescent="0.3">
      <c r="A1348" t="s">
        <v>345</v>
      </c>
      <c r="C1348" t="s">
        <v>42</v>
      </c>
      <c r="D1348" t="s">
        <v>10</v>
      </c>
      <c r="E1348" t="s">
        <v>43</v>
      </c>
      <c r="F1348">
        <v>45332</v>
      </c>
      <c r="I1348" t="s">
        <v>26</v>
      </c>
    </row>
    <row r="1349" spans="1:9" x14ac:dyDescent="0.3">
      <c r="A1349" t="s">
        <v>126</v>
      </c>
      <c r="C1349" t="s">
        <v>28</v>
      </c>
      <c r="D1349" t="s">
        <v>10</v>
      </c>
      <c r="E1349" t="s">
        <v>20</v>
      </c>
      <c r="F1349">
        <v>45388</v>
      </c>
      <c r="G1349">
        <v>18</v>
      </c>
      <c r="H1349">
        <v>740.46</v>
      </c>
    </row>
    <row r="1350" spans="1:9" x14ac:dyDescent="0.3">
      <c r="A1350" t="s">
        <v>336</v>
      </c>
      <c r="B1350">
        <v>79</v>
      </c>
      <c r="C1350" t="s">
        <v>18</v>
      </c>
      <c r="D1350" t="s">
        <v>25</v>
      </c>
      <c r="E1350" t="s">
        <v>29</v>
      </c>
      <c r="F1350">
        <v>45355</v>
      </c>
      <c r="I1350" t="s">
        <v>12</v>
      </c>
    </row>
    <row r="1351" spans="1:9" x14ac:dyDescent="0.3">
      <c r="A1351" t="s">
        <v>125</v>
      </c>
      <c r="B1351">
        <v>80</v>
      </c>
      <c r="C1351" t="s">
        <v>38</v>
      </c>
      <c r="D1351" t="s">
        <v>14</v>
      </c>
      <c r="E1351" t="s">
        <v>20</v>
      </c>
      <c r="F1351">
        <v>45633</v>
      </c>
      <c r="I1351" t="s">
        <v>12</v>
      </c>
    </row>
    <row r="1352" spans="1:9" x14ac:dyDescent="0.3">
      <c r="A1352" t="s">
        <v>847</v>
      </c>
      <c r="B1352">
        <v>60</v>
      </c>
      <c r="C1352" t="s">
        <v>42</v>
      </c>
      <c r="D1352" t="s">
        <v>51</v>
      </c>
      <c r="E1352" t="s">
        <v>23</v>
      </c>
      <c r="F1352">
        <v>45388</v>
      </c>
      <c r="I1352" t="s">
        <v>16</v>
      </c>
    </row>
    <row r="1353" spans="1:9" x14ac:dyDescent="0.3">
      <c r="A1353" t="s">
        <v>704</v>
      </c>
      <c r="D1353" t="s">
        <v>48</v>
      </c>
      <c r="E1353" t="s">
        <v>15</v>
      </c>
      <c r="F1353">
        <v>45634</v>
      </c>
      <c r="G1353">
        <v>4</v>
      </c>
      <c r="H1353">
        <v>855.96</v>
      </c>
    </row>
    <row r="1354" spans="1:9" x14ac:dyDescent="0.3">
      <c r="A1354" t="s">
        <v>53</v>
      </c>
      <c r="B1354">
        <v>63</v>
      </c>
      <c r="C1354" t="s">
        <v>38</v>
      </c>
      <c r="D1354" t="s">
        <v>19</v>
      </c>
      <c r="E1354" t="s">
        <v>29</v>
      </c>
      <c r="F1354">
        <v>45637</v>
      </c>
      <c r="H1354">
        <v>1290.25</v>
      </c>
      <c r="I1354" t="s">
        <v>12</v>
      </c>
    </row>
    <row r="1355" spans="1:9" x14ac:dyDescent="0.3">
      <c r="A1355" t="s">
        <v>848</v>
      </c>
      <c r="D1355" t="s">
        <v>19</v>
      </c>
      <c r="E1355" t="s">
        <v>34</v>
      </c>
      <c r="F1355">
        <v>45617</v>
      </c>
      <c r="G1355">
        <v>18</v>
      </c>
      <c r="I1355" t="s">
        <v>21</v>
      </c>
    </row>
    <row r="1356" spans="1:9" x14ac:dyDescent="0.3">
      <c r="A1356" t="s">
        <v>570</v>
      </c>
      <c r="C1356" t="s">
        <v>38</v>
      </c>
      <c r="D1356" t="s">
        <v>14</v>
      </c>
      <c r="E1356" t="s">
        <v>15</v>
      </c>
      <c r="F1356">
        <v>45487</v>
      </c>
      <c r="I1356" t="s">
        <v>26</v>
      </c>
    </row>
    <row r="1357" spans="1:9" x14ac:dyDescent="0.3">
      <c r="A1357" t="s">
        <v>849</v>
      </c>
      <c r="D1357" t="s">
        <v>45</v>
      </c>
      <c r="E1357" t="s">
        <v>34</v>
      </c>
      <c r="F1357">
        <v>45455</v>
      </c>
      <c r="I1357" t="s">
        <v>12</v>
      </c>
    </row>
    <row r="1358" spans="1:9" x14ac:dyDescent="0.3">
      <c r="A1358" t="s">
        <v>275</v>
      </c>
      <c r="B1358">
        <v>57</v>
      </c>
      <c r="C1358" t="s">
        <v>42</v>
      </c>
      <c r="D1358" t="s">
        <v>10</v>
      </c>
      <c r="E1358" t="s">
        <v>43</v>
      </c>
      <c r="F1358">
        <v>45332</v>
      </c>
      <c r="I1358" t="s">
        <v>12</v>
      </c>
    </row>
    <row r="1359" spans="1:9" x14ac:dyDescent="0.3">
      <c r="A1359" t="s">
        <v>850</v>
      </c>
      <c r="C1359" t="s">
        <v>38</v>
      </c>
      <c r="D1359" t="s">
        <v>51</v>
      </c>
      <c r="E1359" t="s">
        <v>11</v>
      </c>
      <c r="F1359">
        <v>45595</v>
      </c>
      <c r="G1359">
        <v>20</v>
      </c>
      <c r="I1359" t="s">
        <v>21</v>
      </c>
    </row>
    <row r="1360" spans="1:9" x14ac:dyDescent="0.3">
      <c r="A1360" t="s">
        <v>760</v>
      </c>
      <c r="C1360" t="s">
        <v>28</v>
      </c>
      <c r="D1360" t="s">
        <v>33</v>
      </c>
      <c r="E1360" t="s">
        <v>43</v>
      </c>
      <c r="F1360">
        <v>45519</v>
      </c>
      <c r="H1360">
        <v>1792.98</v>
      </c>
      <c r="I1360" t="s">
        <v>21</v>
      </c>
    </row>
    <row r="1361" spans="1:9" x14ac:dyDescent="0.3">
      <c r="A1361" t="s">
        <v>646</v>
      </c>
      <c r="B1361">
        <v>83</v>
      </c>
      <c r="C1361" t="s">
        <v>18</v>
      </c>
      <c r="D1361" t="s">
        <v>10</v>
      </c>
      <c r="E1361" t="s">
        <v>20</v>
      </c>
      <c r="H1361">
        <v>1930.54</v>
      </c>
      <c r="I1361" t="s">
        <v>12</v>
      </c>
    </row>
    <row r="1362" spans="1:9" x14ac:dyDescent="0.3">
      <c r="A1362" t="s">
        <v>578</v>
      </c>
      <c r="B1362">
        <v>83</v>
      </c>
      <c r="C1362" t="s">
        <v>42</v>
      </c>
      <c r="D1362" t="s">
        <v>19</v>
      </c>
      <c r="E1362" t="s">
        <v>57</v>
      </c>
      <c r="F1362">
        <v>45317</v>
      </c>
      <c r="I1362" t="s">
        <v>16</v>
      </c>
    </row>
    <row r="1363" spans="1:9" x14ac:dyDescent="0.3">
      <c r="A1363" t="s">
        <v>851</v>
      </c>
      <c r="B1363">
        <v>40</v>
      </c>
      <c r="C1363" t="s">
        <v>18</v>
      </c>
      <c r="E1363" t="s">
        <v>29</v>
      </c>
      <c r="F1363">
        <v>45503</v>
      </c>
      <c r="I1363" t="s">
        <v>16</v>
      </c>
    </row>
    <row r="1364" spans="1:9" x14ac:dyDescent="0.3">
      <c r="A1364" t="s">
        <v>520</v>
      </c>
      <c r="C1364" t="s">
        <v>28</v>
      </c>
      <c r="D1364" t="s">
        <v>33</v>
      </c>
      <c r="E1364" t="s">
        <v>23</v>
      </c>
      <c r="F1364">
        <v>45358</v>
      </c>
      <c r="G1364">
        <v>10</v>
      </c>
      <c r="I1364" t="s">
        <v>21</v>
      </c>
    </row>
    <row r="1365" spans="1:9" x14ac:dyDescent="0.3">
      <c r="A1365" t="s">
        <v>684</v>
      </c>
      <c r="B1365">
        <v>34</v>
      </c>
      <c r="C1365" t="s">
        <v>38</v>
      </c>
      <c r="D1365" t="s">
        <v>14</v>
      </c>
      <c r="E1365" t="s">
        <v>11</v>
      </c>
      <c r="F1365">
        <v>45329</v>
      </c>
      <c r="G1365">
        <v>4</v>
      </c>
      <c r="I1365" t="s">
        <v>21</v>
      </c>
    </row>
    <row r="1366" spans="1:9" x14ac:dyDescent="0.3">
      <c r="A1366" t="s">
        <v>611</v>
      </c>
      <c r="B1366">
        <v>65</v>
      </c>
      <c r="D1366" t="s">
        <v>14</v>
      </c>
      <c r="E1366" t="s">
        <v>43</v>
      </c>
      <c r="F1366">
        <v>45523</v>
      </c>
      <c r="H1366">
        <v>1586.69</v>
      </c>
      <c r="I1366" t="s">
        <v>12</v>
      </c>
    </row>
    <row r="1367" spans="1:9" x14ac:dyDescent="0.3">
      <c r="A1367" t="s">
        <v>604</v>
      </c>
      <c r="B1367">
        <v>45</v>
      </c>
      <c r="C1367" t="s">
        <v>38</v>
      </c>
      <c r="D1367" t="s">
        <v>45</v>
      </c>
      <c r="E1367" t="s">
        <v>11</v>
      </c>
      <c r="G1367">
        <v>6</v>
      </c>
      <c r="H1367">
        <v>1467.74</v>
      </c>
    </row>
    <row r="1368" spans="1:9" x14ac:dyDescent="0.3">
      <c r="A1368" t="s">
        <v>852</v>
      </c>
      <c r="C1368" t="s">
        <v>38</v>
      </c>
      <c r="D1368" t="s">
        <v>45</v>
      </c>
      <c r="E1368" t="s">
        <v>23</v>
      </c>
      <c r="F1368">
        <v>45597</v>
      </c>
      <c r="H1368">
        <v>1489.88</v>
      </c>
      <c r="I1368" t="s">
        <v>26</v>
      </c>
    </row>
    <row r="1369" spans="1:9" x14ac:dyDescent="0.3">
      <c r="A1369" t="s">
        <v>554</v>
      </c>
      <c r="B1369">
        <v>38</v>
      </c>
      <c r="C1369" t="s">
        <v>28</v>
      </c>
      <c r="D1369" t="s">
        <v>14</v>
      </c>
      <c r="E1369" t="s">
        <v>15</v>
      </c>
      <c r="F1369">
        <v>45374</v>
      </c>
      <c r="I1369" t="s">
        <v>26</v>
      </c>
    </row>
    <row r="1370" spans="1:9" x14ac:dyDescent="0.3">
      <c r="A1370" t="s">
        <v>291</v>
      </c>
      <c r="D1370" t="s">
        <v>48</v>
      </c>
      <c r="E1370" t="s">
        <v>20</v>
      </c>
      <c r="F1370">
        <v>45615</v>
      </c>
      <c r="H1370">
        <v>1727.35</v>
      </c>
      <c r="I1370" t="s">
        <v>12</v>
      </c>
    </row>
    <row r="1371" spans="1:9" x14ac:dyDescent="0.3">
      <c r="A1371" t="s">
        <v>609</v>
      </c>
      <c r="C1371" t="s">
        <v>28</v>
      </c>
      <c r="D1371" t="s">
        <v>14</v>
      </c>
      <c r="E1371" t="s">
        <v>15</v>
      </c>
    </row>
    <row r="1372" spans="1:9" x14ac:dyDescent="0.3">
      <c r="A1372" t="s">
        <v>262</v>
      </c>
      <c r="C1372" t="s">
        <v>18</v>
      </c>
      <c r="D1372" t="s">
        <v>48</v>
      </c>
      <c r="E1372" t="s">
        <v>23</v>
      </c>
      <c r="I1372" t="s">
        <v>21</v>
      </c>
    </row>
    <row r="1373" spans="1:9" x14ac:dyDescent="0.3">
      <c r="A1373" t="s">
        <v>851</v>
      </c>
      <c r="B1373">
        <v>49</v>
      </c>
      <c r="C1373" t="s">
        <v>18</v>
      </c>
      <c r="D1373" t="s">
        <v>25</v>
      </c>
      <c r="E1373" t="s">
        <v>34</v>
      </c>
      <c r="F1373">
        <v>45362</v>
      </c>
      <c r="H1373">
        <v>616.11</v>
      </c>
    </row>
    <row r="1374" spans="1:9" x14ac:dyDescent="0.3">
      <c r="A1374" t="s">
        <v>776</v>
      </c>
      <c r="B1374">
        <v>52</v>
      </c>
      <c r="C1374" t="s">
        <v>18</v>
      </c>
      <c r="D1374" t="s">
        <v>45</v>
      </c>
      <c r="E1374" t="s">
        <v>20</v>
      </c>
      <c r="H1374">
        <v>1790.35</v>
      </c>
      <c r="I1374" t="s">
        <v>16</v>
      </c>
    </row>
    <row r="1375" spans="1:9" x14ac:dyDescent="0.3">
      <c r="A1375" t="s">
        <v>528</v>
      </c>
      <c r="B1375">
        <v>47</v>
      </c>
      <c r="D1375" t="s">
        <v>33</v>
      </c>
      <c r="E1375" t="s">
        <v>15</v>
      </c>
      <c r="F1375">
        <v>45450</v>
      </c>
      <c r="I1375" t="s">
        <v>12</v>
      </c>
    </row>
    <row r="1376" spans="1:9" x14ac:dyDescent="0.3">
      <c r="A1376" t="s">
        <v>646</v>
      </c>
      <c r="B1376">
        <v>38</v>
      </c>
      <c r="C1376" t="s">
        <v>42</v>
      </c>
      <c r="D1376" t="s">
        <v>19</v>
      </c>
      <c r="E1376" t="s">
        <v>57</v>
      </c>
      <c r="F1376">
        <v>45389</v>
      </c>
      <c r="G1376">
        <v>4</v>
      </c>
      <c r="I1376" t="s">
        <v>16</v>
      </c>
    </row>
    <row r="1377" spans="1:9" x14ac:dyDescent="0.3">
      <c r="A1377" t="s">
        <v>464</v>
      </c>
      <c r="D1377" t="s">
        <v>19</v>
      </c>
      <c r="E1377" t="s">
        <v>15</v>
      </c>
      <c r="F1377">
        <v>45544</v>
      </c>
      <c r="I1377" t="s">
        <v>12</v>
      </c>
    </row>
    <row r="1378" spans="1:9" x14ac:dyDescent="0.3">
      <c r="A1378" t="s">
        <v>178</v>
      </c>
      <c r="C1378" t="s">
        <v>38</v>
      </c>
      <c r="E1378" t="s">
        <v>20</v>
      </c>
      <c r="F1378">
        <v>45395</v>
      </c>
      <c r="H1378">
        <v>216.76</v>
      </c>
      <c r="I1378" t="s">
        <v>16</v>
      </c>
    </row>
    <row r="1379" spans="1:9" x14ac:dyDescent="0.3">
      <c r="A1379" t="s">
        <v>345</v>
      </c>
      <c r="C1379" t="s">
        <v>18</v>
      </c>
      <c r="D1379" t="s">
        <v>25</v>
      </c>
      <c r="E1379" t="s">
        <v>23</v>
      </c>
      <c r="F1379">
        <v>45429</v>
      </c>
      <c r="I1379" t="s">
        <v>21</v>
      </c>
    </row>
    <row r="1380" spans="1:9" x14ac:dyDescent="0.3">
      <c r="A1380" t="s">
        <v>422</v>
      </c>
      <c r="C1380" t="s">
        <v>18</v>
      </c>
      <c r="D1380" t="s">
        <v>33</v>
      </c>
      <c r="E1380" t="s">
        <v>11</v>
      </c>
      <c r="F1380">
        <v>45584</v>
      </c>
      <c r="I1380" t="s">
        <v>16</v>
      </c>
    </row>
    <row r="1381" spans="1:9" x14ac:dyDescent="0.3">
      <c r="A1381" t="s">
        <v>853</v>
      </c>
      <c r="C1381" t="s">
        <v>42</v>
      </c>
      <c r="D1381" t="s">
        <v>14</v>
      </c>
      <c r="E1381" t="s">
        <v>11</v>
      </c>
      <c r="F1381">
        <v>45601</v>
      </c>
      <c r="I1381" t="s">
        <v>21</v>
      </c>
    </row>
    <row r="1382" spans="1:9" x14ac:dyDescent="0.3">
      <c r="A1382" t="s">
        <v>294</v>
      </c>
      <c r="B1382">
        <v>51</v>
      </c>
      <c r="C1382" t="s">
        <v>42</v>
      </c>
      <c r="D1382" t="s">
        <v>14</v>
      </c>
      <c r="E1382" t="s">
        <v>11</v>
      </c>
      <c r="F1382">
        <v>45466</v>
      </c>
      <c r="G1382">
        <v>12</v>
      </c>
      <c r="H1382">
        <v>1641.52</v>
      </c>
      <c r="I1382" t="s">
        <v>21</v>
      </c>
    </row>
    <row r="1383" spans="1:9" x14ac:dyDescent="0.3">
      <c r="A1383" t="s">
        <v>854</v>
      </c>
      <c r="C1383" t="s">
        <v>28</v>
      </c>
      <c r="D1383" t="s">
        <v>19</v>
      </c>
      <c r="E1383" t="s">
        <v>15</v>
      </c>
      <c r="I1383" t="s">
        <v>26</v>
      </c>
    </row>
    <row r="1384" spans="1:9" x14ac:dyDescent="0.3">
      <c r="A1384" t="s">
        <v>173</v>
      </c>
      <c r="C1384" t="s">
        <v>38</v>
      </c>
      <c r="D1384" t="s">
        <v>33</v>
      </c>
      <c r="E1384" t="s">
        <v>11</v>
      </c>
      <c r="F1384">
        <v>45626</v>
      </c>
    </row>
    <row r="1385" spans="1:9" x14ac:dyDescent="0.3">
      <c r="A1385" t="s">
        <v>106</v>
      </c>
      <c r="B1385">
        <v>75</v>
      </c>
      <c r="C1385" t="s">
        <v>38</v>
      </c>
      <c r="D1385" t="s">
        <v>51</v>
      </c>
      <c r="E1385" t="s">
        <v>11</v>
      </c>
      <c r="I1385" t="s">
        <v>26</v>
      </c>
    </row>
    <row r="1386" spans="1:9" x14ac:dyDescent="0.3">
      <c r="A1386" t="s">
        <v>855</v>
      </c>
      <c r="D1386" t="s">
        <v>45</v>
      </c>
      <c r="E1386" t="s">
        <v>43</v>
      </c>
      <c r="F1386">
        <v>45527</v>
      </c>
      <c r="H1386">
        <v>1677.77</v>
      </c>
      <c r="I1386" t="s">
        <v>21</v>
      </c>
    </row>
    <row r="1387" spans="1:9" x14ac:dyDescent="0.3">
      <c r="A1387" t="s">
        <v>856</v>
      </c>
      <c r="C1387" t="s">
        <v>38</v>
      </c>
      <c r="D1387" t="s">
        <v>14</v>
      </c>
      <c r="E1387" t="s">
        <v>15</v>
      </c>
      <c r="F1387">
        <v>45418</v>
      </c>
      <c r="I1387" t="s">
        <v>16</v>
      </c>
    </row>
    <row r="1388" spans="1:9" x14ac:dyDescent="0.3">
      <c r="A1388" t="s">
        <v>105</v>
      </c>
      <c r="C1388" t="s">
        <v>28</v>
      </c>
      <c r="D1388" t="s">
        <v>45</v>
      </c>
      <c r="E1388" t="s">
        <v>11</v>
      </c>
      <c r="F1388">
        <v>45413</v>
      </c>
      <c r="G1388">
        <v>11</v>
      </c>
      <c r="H1388">
        <v>541.20000000000005</v>
      </c>
    </row>
    <row r="1389" spans="1:9" x14ac:dyDescent="0.3">
      <c r="A1389" t="s">
        <v>428</v>
      </c>
      <c r="D1389" t="s">
        <v>25</v>
      </c>
      <c r="E1389" t="s">
        <v>29</v>
      </c>
      <c r="F1389">
        <v>45532</v>
      </c>
      <c r="H1389">
        <v>1951.49</v>
      </c>
      <c r="I1389" t="s">
        <v>16</v>
      </c>
    </row>
    <row r="1390" spans="1:9" x14ac:dyDescent="0.3">
      <c r="A1390" t="s">
        <v>182</v>
      </c>
      <c r="C1390" t="s">
        <v>28</v>
      </c>
      <c r="D1390" t="s">
        <v>48</v>
      </c>
      <c r="E1390" t="s">
        <v>11</v>
      </c>
      <c r="F1390">
        <v>45600</v>
      </c>
      <c r="G1390">
        <v>20</v>
      </c>
      <c r="H1390">
        <v>803.03</v>
      </c>
      <c r="I1390" t="s">
        <v>16</v>
      </c>
    </row>
    <row r="1391" spans="1:9" x14ac:dyDescent="0.3">
      <c r="A1391" t="s">
        <v>343</v>
      </c>
      <c r="C1391" t="s">
        <v>38</v>
      </c>
      <c r="D1391" t="s">
        <v>45</v>
      </c>
      <c r="E1391" t="s">
        <v>20</v>
      </c>
      <c r="F1391">
        <v>45458</v>
      </c>
      <c r="I1391" t="s">
        <v>21</v>
      </c>
    </row>
    <row r="1392" spans="1:9" x14ac:dyDescent="0.3">
      <c r="A1392" t="s">
        <v>114</v>
      </c>
      <c r="C1392" t="s">
        <v>38</v>
      </c>
      <c r="D1392" t="s">
        <v>51</v>
      </c>
      <c r="E1392" t="s">
        <v>57</v>
      </c>
      <c r="F1392">
        <v>45414</v>
      </c>
      <c r="G1392">
        <v>13</v>
      </c>
      <c r="I1392" t="s">
        <v>26</v>
      </c>
    </row>
    <row r="1393" spans="1:9" x14ac:dyDescent="0.3">
      <c r="A1393" t="s">
        <v>189</v>
      </c>
      <c r="C1393" t="s">
        <v>28</v>
      </c>
      <c r="D1393" t="s">
        <v>48</v>
      </c>
      <c r="E1393" t="s">
        <v>20</v>
      </c>
      <c r="F1393">
        <v>45626</v>
      </c>
      <c r="H1393">
        <v>1313.52</v>
      </c>
      <c r="I1393" t="s">
        <v>21</v>
      </c>
    </row>
    <row r="1394" spans="1:9" x14ac:dyDescent="0.3">
      <c r="A1394" t="s">
        <v>204</v>
      </c>
      <c r="C1394" t="s">
        <v>38</v>
      </c>
      <c r="D1394" t="s">
        <v>48</v>
      </c>
      <c r="E1394" t="s">
        <v>43</v>
      </c>
      <c r="F1394">
        <v>45328</v>
      </c>
      <c r="I1394" t="s">
        <v>16</v>
      </c>
    </row>
    <row r="1395" spans="1:9" x14ac:dyDescent="0.3">
      <c r="A1395" t="s">
        <v>857</v>
      </c>
      <c r="C1395" t="s">
        <v>38</v>
      </c>
      <c r="E1395" t="s">
        <v>11</v>
      </c>
      <c r="F1395">
        <v>45508</v>
      </c>
      <c r="G1395">
        <v>2</v>
      </c>
      <c r="H1395">
        <v>680.04</v>
      </c>
      <c r="I1395" t="s">
        <v>21</v>
      </c>
    </row>
    <row r="1396" spans="1:9" x14ac:dyDescent="0.3">
      <c r="A1396" t="s">
        <v>858</v>
      </c>
      <c r="B1396">
        <v>55</v>
      </c>
      <c r="C1396" t="s">
        <v>42</v>
      </c>
      <c r="D1396" t="s">
        <v>48</v>
      </c>
      <c r="E1396" t="s">
        <v>20</v>
      </c>
      <c r="F1396">
        <v>45593</v>
      </c>
      <c r="I1396" t="s">
        <v>21</v>
      </c>
    </row>
    <row r="1397" spans="1:9" x14ac:dyDescent="0.3">
      <c r="A1397" t="s">
        <v>859</v>
      </c>
      <c r="C1397" t="s">
        <v>18</v>
      </c>
      <c r="D1397" t="s">
        <v>10</v>
      </c>
      <c r="E1397" t="s">
        <v>15</v>
      </c>
      <c r="F1397">
        <v>45617</v>
      </c>
      <c r="I1397" t="s">
        <v>16</v>
      </c>
    </row>
    <row r="1398" spans="1:9" x14ac:dyDescent="0.3">
      <c r="A1398" t="s">
        <v>421</v>
      </c>
      <c r="D1398" t="s">
        <v>33</v>
      </c>
      <c r="E1398" t="s">
        <v>11</v>
      </c>
      <c r="F1398">
        <v>45447</v>
      </c>
    </row>
    <row r="1399" spans="1:9" x14ac:dyDescent="0.3">
      <c r="A1399" t="s">
        <v>860</v>
      </c>
      <c r="B1399">
        <v>38</v>
      </c>
      <c r="C1399" t="s">
        <v>42</v>
      </c>
      <c r="D1399" t="s">
        <v>10</v>
      </c>
      <c r="E1399" t="s">
        <v>23</v>
      </c>
      <c r="F1399">
        <v>45546</v>
      </c>
      <c r="G1399">
        <v>20</v>
      </c>
      <c r="H1399">
        <v>370.65</v>
      </c>
      <c r="I1399" t="s">
        <v>12</v>
      </c>
    </row>
    <row r="1400" spans="1:9" x14ac:dyDescent="0.3">
      <c r="A1400" t="s">
        <v>861</v>
      </c>
      <c r="B1400">
        <v>40</v>
      </c>
      <c r="E1400" t="s">
        <v>43</v>
      </c>
      <c r="F1400">
        <v>45507</v>
      </c>
      <c r="H1400">
        <v>743.36</v>
      </c>
      <c r="I1400" t="s">
        <v>26</v>
      </c>
    </row>
    <row r="1401" spans="1:9" x14ac:dyDescent="0.3">
      <c r="A1401" t="s">
        <v>240</v>
      </c>
      <c r="C1401" t="s">
        <v>28</v>
      </c>
      <c r="D1401" t="s">
        <v>10</v>
      </c>
      <c r="E1401" t="s">
        <v>11</v>
      </c>
      <c r="F1401">
        <v>45623</v>
      </c>
      <c r="H1401">
        <v>867.81</v>
      </c>
      <c r="I1401" t="s">
        <v>12</v>
      </c>
    </row>
    <row r="1402" spans="1:9" x14ac:dyDescent="0.3">
      <c r="A1402" t="s">
        <v>862</v>
      </c>
      <c r="C1402" t="s">
        <v>28</v>
      </c>
      <c r="E1402" t="s">
        <v>15</v>
      </c>
      <c r="F1402">
        <v>45545</v>
      </c>
      <c r="I1402" t="s">
        <v>26</v>
      </c>
    </row>
    <row r="1403" spans="1:9" x14ac:dyDescent="0.3">
      <c r="A1403" t="s">
        <v>393</v>
      </c>
      <c r="C1403" t="s">
        <v>18</v>
      </c>
      <c r="D1403" t="s">
        <v>10</v>
      </c>
      <c r="E1403" t="s">
        <v>11</v>
      </c>
      <c r="F1403">
        <v>45455</v>
      </c>
      <c r="H1403">
        <v>642.74</v>
      </c>
    </row>
    <row r="1404" spans="1:9" x14ac:dyDescent="0.3">
      <c r="A1404" t="s">
        <v>71</v>
      </c>
      <c r="C1404" t="s">
        <v>42</v>
      </c>
      <c r="D1404" t="s">
        <v>25</v>
      </c>
      <c r="E1404" t="s">
        <v>29</v>
      </c>
      <c r="F1404">
        <v>45358</v>
      </c>
      <c r="I1404" t="s">
        <v>26</v>
      </c>
    </row>
    <row r="1405" spans="1:9" x14ac:dyDescent="0.3">
      <c r="A1405" t="s">
        <v>863</v>
      </c>
      <c r="B1405">
        <v>73</v>
      </c>
      <c r="C1405" t="s">
        <v>42</v>
      </c>
      <c r="D1405" t="s">
        <v>10</v>
      </c>
      <c r="E1405" t="s">
        <v>11</v>
      </c>
      <c r="F1405">
        <v>45556</v>
      </c>
      <c r="I1405" t="s">
        <v>12</v>
      </c>
    </row>
    <row r="1406" spans="1:9" x14ac:dyDescent="0.3">
      <c r="A1406" t="s">
        <v>563</v>
      </c>
      <c r="B1406">
        <v>38</v>
      </c>
      <c r="C1406" t="s">
        <v>28</v>
      </c>
      <c r="E1406" t="s">
        <v>29</v>
      </c>
      <c r="F1406">
        <v>45534</v>
      </c>
    </row>
    <row r="1407" spans="1:9" x14ac:dyDescent="0.3">
      <c r="A1407" t="s">
        <v>363</v>
      </c>
      <c r="B1407">
        <v>67</v>
      </c>
      <c r="C1407" t="s">
        <v>18</v>
      </c>
      <c r="D1407" t="s">
        <v>33</v>
      </c>
      <c r="E1407" t="s">
        <v>23</v>
      </c>
      <c r="I1407" t="s">
        <v>12</v>
      </c>
    </row>
    <row r="1408" spans="1:9" x14ac:dyDescent="0.3">
      <c r="A1408" t="s">
        <v>864</v>
      </c>
      <c r="C1408" t="s">
        <v>42</v>
      </c>
      <c r="D1408" t="s">
        <v>14</v>
      </c>
      <c r="E1408" t="s">
        <v>43</v>
      </c>
      <c r="F1408">
        <v>45477</v>
      </c>
      <c r="G1408">
        <v>9</v>
      </c>
      <c r="I1408" t="s">
        <v>12</v>
      </c>
    </row>
    <row r="1409" spans="1:9" x14ac:dyDescent="0.3">
      <c r="A1409" t="s">
        <v>847</v>
      </c>
      <c r="B1409">
        <v>65</v>
      </c>
      <c r="C1409" t="s">
        <v>38</v>
      </c>
      <c r="D1409" t="s">
        <v>10</v>
      </c>
      <c r="E1409" t="s">
        <v>29</v>
      </c>
      <c r="F1409">
        <v>45432</v>
      </c>
      <c r="I1409" t="s">
        <v>21</v>
      </c>
    </row>
    <row r="1410" spans="1:9" x14ac:dyDescent="0.3">
      <c r="A1410" t="s">
        <v>519</v>
      </c>
      <c r="C1410" t="s">
        <v>28</v>
      </c>
      <c r="E1410" t="s">
        <v>43</v>
      </c>
      <c r="G1410">
        <v>1</v>
      </c>
      <c r="I1410" t="s">
        <v>21</v>
      </c>
    </row>
    <row r="1411" spans="1:9" x14ac:dyDescent="0.3">
      <c r="A1411" t="s">
        <v>865</v>
      </c>
      <c r="C1411" t="s">
        <v>28</v>
      </c>
      <c r="D1411" t="s">
        <v>19</v>
      </c>
      <c r="E1411" t="s">
        <v>57</v>
      </c>
      <c r="F1411">
        <v>45545</v>
      </c>
      <c r="I1411" t="s">
        <v>21</v>
      </c>
    </row>
    <row r="1412" spans="1:9" x14ac:dyDescent="0.3">
      <c r="A1412" t="s">
        <v>866</v>
      </c>
      <c r="C1412" t="s">
        <v>38</v>
      </c>
      <c r="D1412" t="s">
        <v>33</v>
      </c>
      <c r="E1412" t="s">
        <v>23</v>
      </c>
      <c r="F1412">
        <v>45447</v>
      </c>
      <c r="H1412">
        <v>1948.48</v>
      </c>
      <c r="I1412" t="s">
        <v>16</v>
      </c>
    </row>
    <row r="1413" spans="1:9" x14ac:dyDescent="0.3">
      <c r="A1413" t="s">
        <v>577</v>
      </c>
      <c r="B1413">
        <v>36</v>
      </c>
      <c r="D1413" t="s">
        <v>14</v>
      </c>
      <c r="E1413" t="s">
        <v>15</v>
      </c>
      <c r="F1413">
        <v>45435</v>
      </c>
    </row>
    <row r="1414" spans="1:9" x14ac:dyDescent="0.3">
      <c r="A1414" t="s">
        <v>867</v>
      </c>
      <c r="C1414" t="s">
        <v>42</v>
      </c>
      <c r="E1414" t="s">
        <v>20</v>
      </c>
      <c r="G1414">
        <v>4</v>
      </c>
      <c r="H1414">
        <v>1429.49</v>
      </c>
      <c r="I1414" t="s">
        <v>12</v>
      </c>
    </row>
    <row r="1415" spans="1:9" x14ac:dyDescent="0.3">
      <c r="A1415" t="s">
        <v>60</v>
      </c>
      <c r="C1415" t="s">
        <v>42</v>
      </c>
      <c r="D1415" t="s">
        <v>14</v>
      </c>
      <c r="E1415" t="s">
        <v>20</v>
      </c>
      <c r="F1415">
        <v>45634</v>
      </c>
      <c r="H1415">
        <v>1174.68</v>
      </c>
      <c r="I1415" t="s">
        <v>16</v>
      </c>
    </row>
    <row r="1416" spans="1:9" x14ac:dyDescent="0.3">
      <c r="A1416" t="s">
        <v>260</v>
      </c>
      <c r="C1416" t="s">
        <v>28</v>
      </c>
      <c r="D1416" t="s">
        <v>51</v>
      </c>
      <c r="E1416" t="s">
        <v>15</v>
      </c>
      <c r="F1416">
        <v>45341</v>
      </c>
      <c r="H1416">
        <v>361.29</v>
      </c>
    </row>
    <row r="1417" spans="1:9" x14ac:dyDescent="0.3">
      <c r="A1417" t="s">
        <v>733</v>
      </c>
      <c r="C1417" t="s">
        <v>18</v>
      </c>
      <c r="D1417" t="s">
        <v>19</v>
      </c>
      <c r="E1417" t="s">
        <v>11</v>
      </c>
      <c r="F1417">
        <v>45552</v>
      </c>
      <c r="H1417">
        <v>1107.93</v>
      </c>
      <c r="I1417" t="s">
        <v>21</v>
      </c>
    </row>
    <row r="1418" spans="1:9" x14ac:dyDescent="0.3">
      <c r="A1418" t="s">
        <v>570</v>
      </c>
      <c r="B1418">
        <v>45</v>
      </c>
      <c r="C1418" t="s">
        <v>42</v>
      </c>
      <c r="D1418" t="s">
        <v>48</v>
      </c>
      <c r="E1418" t="s">
        <v>20</v>
      </c>
      <c r="G1418">
        <v>17</v>
      </c>
      <c r="I1418" t="s">
        <v>16</v>
      </c>
    </row>
    <row r="1419" spans="1:9" x14ac:dyDescent="0.3">
      <c r="A1419" t="s">
        <v>868</v>
      </c>
      <c r="B1419">
        <v>57</v>
      </c>
      <c r="D1419" t="s">
        <v>33</v>
      </c>
      <c r="E1419" t="s">
        <v>11</v>
      </c>
      <c r="H1419">
        <v>1349.15</v>
      </c>
      <c r="I1419" t="s">
        <v>26</v>
      </c>
    </row>
    <row r="1420" spans="1:9" x14ac:dyDescent="0.3">
      <c r="A1420" t="s">
        <v>869</v>
      </c>
      <c r="D1420" t="s">
        <v>25</v>
      </c>
      <c r="E1420" t="s">
        <v>43</v>
      </c>
      <c r="H1420">
        <v>948.61</v>
      </c>
      <c r="I1420" t="s">
        <v>21</v>
      </c>
    </row>
    <row r="1421" spans="1:9" x14ac:dyDescent="0.3">
      <c r="A1421" t="s">
        <v>128</v>
      </c>
      <c r="C1421" t="s">
        <v>28</v>
      </c>
      <c r="D1421" t="s">
        <v>33</v>
      </c>
      <c r="E1421" t="s">
        <v>29</v>
      </c>
      <c r="F1421">
        <v>45597</v>
      </c>
      <c r="I1421" t="s">
        <v>12</v>
      </c>
    </row>
    <row r="1422" spans="1:9" x14ac:dyDescent="0.3">
      <c r="A1422" t="s">
        <v>805</v>
      </c>
      <c r="B1422">
        <v>54</v>
      </c>
      <c r="C1422" t="s">
        <v>38</v>
      </c>
      <c r="D1422" t="s">
        <v>51</v>
      </c>
      <c r="E1422" t="s">
        <v>57</v>
      </c>
      <c r="F1422">
        <v>45380</v>
      </c>
      <c r="I1422" t="s">
        <v>21</v>
      </c>
    </row>
    <row r="1423" spans="1:9" x14ac:dyDescent="0.3">
      <c r="A1423" t="s">
        <v>863</v>
      </c>
      <c r="C1423" t="s">
        <v>42</v>
      </c>
      <c r="D1423" t="s">
        <v>19</v>
      </c>
      <c r="E1423" t="s">
        <v>23</v>
      </c>
      <c r="F1423">
        <v>45347</v>
      </c>
      <c r="H1423">
        <v>1550.77</v>
      </c>
      <c r="I1423" t="s">
        <v>21</v>
      </c>
    </row>
    <row r="1424" spans="1:9" x14ac:dyDescent="0.3">
      <c r="A1424" t="s">
        <v>308</v>
      </c>
      <c r="C1424" t="s">
        <v>18</v>
      </c>
      <c r="D1424" t="s">
        <v>45</v>
      </c>
      <c r="E1424" t="s">
        <v>29</v>
      </c>
      <c r="F1424">
        <v>45309</v>
      </c>
      <c r="G1424">
        <v>11</v>
      </c>
      <c r="I1424" t="s">
        <v>12</v>
      </c>
    </row>
    <row r="1425" spans="1:9" x14ac:dyDescent="0.3">
      <c r="A1425" t="s">
        <v>107</v>
      </c>
      <c r="B1425">
        <v>87</v>
      </c>
      <c r="C1425" t="s">
        <v>18</v>
      </c>
      <c r="D1425" t="s">
        <v>33</v>
      </c>
      <c r="E1425" t="s">
        <v>34</v>
      </c>
      <c r="F1425">
        <v>45455</v>
      </c>
      <c r="G1425">
        <v>6</v>
      </c>
      <c r="H1425">
        <v>541.1</v>
      </c>
    </row>
    <row r="1426" spans="1:9" x14ac:dyDescent="0.3">
      <c r="A1426" t="s">
        <v>600</v>
      </c>
      <c r="D1426" t="s">
        <v>48</v>
      </c>
      <c r="E1426" t="s">
        <v>20</v>
      </c>
      <c r="H1426">
        <v>411.77</v>
      </c>
      <c r="I1426" t="s">
        <v>21</v>
      </c>
    </row>
    <row r="1427" spans="1:9" x14ac:dyDescent="0.3">
      <c r="A1427" t="s">
        <v>30</v>
      </c>
      <c r="B1427">
        <v>95</v>
      </c>
      <c r="C1427" t="s">
        <v>18</v>
      </c>
      <c r="D1427" t="s">
        <v>10</v>
      </c>
      <c r="E1427" t="s">
        <v>43</v>
      </c>
      <c r="F1427">
        <v>45629</v>
      </c>
    </row>
    <row r="1428" spans="1:9" x14ac:dyDescent="0.3">
      <c r="A1428" t="s">
        <v>658</v>
      </c>
      <c r="C1428" t="s">
        <v>38</v>
      </c>
      <c r="D1428" t="s">
        <v>19</v>
      </c>
      <c r="E1428" t="s">
        <v>57</v>
      </c>
      <c r="F1428">
        <v>45571</v>
      </c>
      <c r="G1428">
        <v>15</v>
      </c>
      <c r="I1428" t="s">
        <v>26</v>
      </c>
    </row>
    <row r="1429" spans="1:9" x14ac:dyDescent="0.3">
      <c r="A1429" t="s">
        <v>870</v>
      </c>
      <c r="B1429">
        <v>91</v>
      </c>
      <c r="C1429" t="s">
        <v>18</v>
      </c>
      <c r="D1429" t="s">
        <v>51</v>
      </c>
      <c r="E1429" t="s">
        <v>20</v>
      </c>
      <c r="F1429">
        <v>45521</v>
      </c>
      <c r="G1429">
        <v>12</v>
      </c>
      <c r="H1429">
        <v>787.12</v>
      </c>
      <c r="I1429" t="s">
        <v>26</v>
      </c>
    </row>
    <row r="1430" spans="1:9" x14ac:dyDescent="0.3">
      <c r="A1430" t="s">
        <v>503</v>
      </c>
      <c r="C1430" t="s">
        <v>38</v>
      </c>
      <c r="D1430" t="s">
        <v>48</v>
      </c>
      <c r="E1430" t="s">
        <v>43</v>
      </c>
      <c r="I1430" t="s">
        <v>26</v>
      </c>
    </row>
    <row r="1431" spans="1:9" x14ac:dyDescent="0.3">
      <c r="A1431" t="s">
        <v>301</v>
      </c>
      <c r="D1431" t="s">
        <v>14</v>
      </c>
      <c r="E1431" t="s">
        <v>11</v>
      </c>
      <c r="F1431">
        <v>45295</v>
      </c>
      <c r="G1431">
        <v>8</v>
      </c>
      <c r="H1431">
        <v>1600.7</v>
      </c>
      <c r="I1431" t="s">
        <v>12</v>
      </c>
    </row>
    <row r="1432" spans="1:9" x14ac:dyDescent="0.3">
      <c r="A1432" t="s">
        <v>357</v>
      </c>
      <c r="B1432">
        <v>22</v>
      </c>
      <c r="C1432" t="s">
        <v>42</v>
      </c>
      <c r="D1432" t="s">
        <v>33</v>
      </c>
      <c r="E1432" t="s">
        <v>43</v>
      </c>
      <c r="G1432">
        <v>6</v>
      </c>
      <c r="H1432">
        <v>1036.97</v>
      </c>
      <c r="I1432" t="s">
        <v>26</v>
      </c>
    </row>
    <row r="1433" spans="1:9" x14ac:dyDescent="0.3">
      <c r="A1433" t="s">
        <v>49</v>
      </c>
      <c r="C1433" t="s">
        <v>38</v>
      </c>
      <c r="D1433" t="s">
        <v>51</v>
      </c>
      <c r="E1433" t="s">
        <v>43</v>
      </c>
      <c r="H1433">
        <v>169.63</v>
      </c>
    </row>
    <row r="1434" spans="1:9" x14ac:dyDescent="0.3">
      <c r="A1434" t="s">
        <v>182</v>
      </c>
      <c r="B1434">
        <v>81</v>
      </c>
      <c r="C1434" t="s">
        <v>18</v>
      </c>
      <c r="D1434" t="s">
        <v>25</v>
      </c>
      <c r="E1434" t="s">
        <v>57</v>
      </c>
      <c r="F1434">
        <v>45319</v>
      </c>
      <c r="I1434" t="s">
        <v>21</v>
      </c>
    </row>
    <row r="1435" spans="1:9" x14ac:dyDescent="0.3">
      <c r="A1435" t="s">
        <v>871</v>
      </c>
      <c r="B1435">
        <v>83</v>
      </c>
      <c r="C1435" t="s">
        <v>28</v>
      </c>
      <c r="D1435" t="s">
        <v>51</v>
      </c>
      <c r="E1435" t="s">
        <v>11</v>
      </c>
      <c r="F1435">
        <v>45323</v>
      </c>
      <c r="H1435">
        <v>1592.78</v>
      </c>
      <c r="I1435" t="s">
        <v>16</v>
      </c>
    </row>
    <row r="1436" spans="1:9" x14ac:dyDescent="0.3">
      <c r="A1436" t="s">
        <v>872</v>
      </c>
      <c r="C1436" t="s">
        <v>38</v>
      </c>
      <c r="D1436" t="s">
        <v>14</v>
      </c>
      <c r="E1436" t="s">
        <v>11</v>
      </c>
      <c r="F1436">
        <v>45381</v>
      </c>
      <c r="G1436">
        <v>6</v>
      </c>
      <c r="I1436" t="s">
        <v>21</v>
      </c>
    </row>
    <row r="1437" spans="1:9" x14ac:dyDescent="0.3">
      <c r="A1437" t="s">
        <v>346</v>
      </c>
      <c r="B1437">
        <v>25</v>
      </c>
      <c r="C1437" t="s">
        <v>38</v>
      </c>
      <c r="D1437" t="s">
        <v>25</v>
      </c>
      <c r="E1437" t="s">
        <v>20</v>
      </c>
      <c r="F1437">
        <v>45382</v>
      </c>
      <c r="H1437">
        <v>1606.13</v>
      </c>
      <c r="I1437" t="s">
        <v>21</v>
      </c>
    </row>
    <row r="1438" spans="1:9" x14ac:dyDescent="0.3">
      <c r="A1438" t="s">
        <v>873</v>
      </c>
      <c r="C1438" t="s">
        <v>18</v>
      </c>
      <c r="D1438" t="s">
        <v>51</v>
      </c>
      <c r="E1438" t="s">
        <v>34</v>
      </c>
      <c r="G1438">
        <v>13</v>
      </c>
      <c r="H1438">
        <v>1329.58</v>
      </c>
      <c r="I1438" t="s">
        <v>16</v>
      </c>
    </row>
    <row r="1439" spans="1:9" x14ac:dyDescent="0.3">
      <c r="A1439" t="s">
        <v>472</v>
      </c>
      <c r="C1439" t="s">
        <v>18</v>
      </c>
      <c r="D1439" t="s">
        <v>33</v>
      </c>
      <c r="E1439" t="s">
        <v>11</v>
      </c>
      <c r="F1439">
        <v>45646</v>
      </c>
      <c r="I1439" t="s">
        <v>21</v>
      </c>
    </row>
    <row r="1440" spans="1:9" x14ac:dyDescent="0.3">
      <c r="A1440" t="s">
        <v>874</v>
      </c>
      <c r="C1440" t="s">
        <v>28</v>
      </c>
      <c r="D1440" t="s">
        <v>51</v>
      </c>
      <c r="E1440" t="s">
        <v>43</v>
      </c>
      <c r="F1440">
        <v>45336</v>
      </c>
      <c r="G1440">
        <v>18</v>
      </c>
      <c r="I1440" t="s">
        <v>12</v>
      </c>
    </row>
    <row r="1441" spans="1:9" x14ac:dyDescent="0.3">
      <c r="A1441" t="s">
        <v>875</v>
      </c>
      <c r="C1441" t="s">
        <v>38</v>
      </c>
      <c r="E1441" t="s">
        <v>29</v>
      </c>
      <c r="F1441">
        <v>45531</v>
      </c>
      <c r="I1441" t="s">
        <v>12</v>
      </c>
    </row>
    <row r="1442" spans="1:9" x14ac:dyDescent="0.3">
      <c r="A1442" t="s">
        <v>453</v>
      </c>
      <c r="C1442" t="s">
        <v>42</v>
      </c>
      <c r="D1442" t="s">
        <v>48</v>
      </c>
      <c r="E1442" t="s">
        <v>34</v>
      </c>
      <c r="F1442">
        <v>45466</v>
      </c>
      <c r="G1442">
        <v>14</v>
      </c>
      <c r="H1442">
        <v>481.14</v>
      </c>
      <c r="I1442" t="s">
        <v>12</v>
      </c>
    </row>
    <row r="1443" spans="1:9" x14ac:dyDescent="0.3">
      <c r="A1443" t="s">
        <v>803</v>
      </c>
      <c r="C1443" t="s">
        <v>18</v>
      </c>
      <c r="D1443" t="s">
        <v>51</v>
      </c>
      <c r="E1443" t="s">
        <v>20</v>
      </c>
      <c r="F1443">
        <v>45504</v>
      </c>
      <c r="I1443" t="s">
        <v>16</v>
      </c>
    </row>
    <row r="1444" spans="1:9" x14ac:dyDescent="0.3">
      <c r="A1444" t="s">
        <v>763</v>
      </c>
      <c r="C1444" t="s">
        <v>18</v>
      </c>
      <c r="D1444" t="s">
        <v>48</v>
      </c>
      <c r="E1444" t="s">
        <v>34</v>
      </c>
      <c r="I1444" t="s">
        <v>21</v>
      </c>
    </row>
    <row r="1445" spans="1:9" x14ac:dyDescent="0.3">
      <c r="A1445" t="s">
        <v>253</v>
      </c>
      <c r="C1445" t="s">
        <v>18</v>
      </c>
      <c r="D1445" t="s">
        <v>45</v>
      </c>
      <c r="E1445" t="s">
        <v>29</v>
      </c>
      <c r="I1445" t="s">
        <v>21</v>
      </c>
    </row>
    <row r="1446" spans="1:9" x14ac:dyDescent="0.3">
      <c r="A1446" t="s">
        <v>876</v>
      </c>
      <c r="B1446">
        <v>45</v>
      </c>
      <c r="C1446" t="s">
        <v>38</v>
      </c>
      <c r="D1446" t="s">
        <v>33</v>
      </c>
      <c r="E1446" t="s">
        <v>15</v>
      </c>
      <c r="F1446">
        <v>45646</v>
      </c>
      <c r="G1446">
        <v>13</v>
      </c>
      <c r="H1446">
        <v>239.21</v>
      </c>
      <c r="I1446" t="s">
        <v>16</v>
      </c>
    </row>
    <row r="1447" spans="1:9" x14ac:dyDescent="0.3">
      <c r="A1447" t="s">
        <v>132</v>
      </c>
      <c r="C1447" t="s">
        <v>38</v>
      </c>
      <c r="D1447" t="s">
        <v>48</v>
      </c>
      <c r="E1447" t="s">
        <v>43</v>
      </c>
      <c r="I1447" t="s">
        <v>26</v>
      </c>
    </row>
    <row r="1448" spans="1:9" x14ac:dyDescent="0.3">
      <c r="A1448" t="s">
        <v>54</v>
      </c>
      <c r="C1448" t="s">
        <v>18</v>
      </c>
      <c r="D1448" t="s">
        <v>45</v>
      </c>
      <c r="E1448" t="s">
        <v>11</v>
      </c>
      <c r="F1448">
        <v>45588</v>
      </c>
      <c r="I1448" t="s">
        <v>26</v>
      </c>
    </row>
    <row r="1449" spans="1:9" x14ac:dyDescent="0.3">
      <c r="A1449" t="s">
        <v>676</v>
      </c>
      <c r="B1449">
        <v>69</v>
      </c>
      <c r="C1449" t="s">
        <v>28</v>
      </c>
      <c r="D1449" t="s">
        <v>10</v>
      </c>
      <c r="E1449" t="s">
        <v>43</v>
      </c>
      <c r="F1449">
        <v>45560</v>
      </c>
      <c r="H1449">
        <v>110.28</v>
      </c>
      <c r="I1449" t="s">
        <v>12</v>
      </c>
    </row>
    <row r="1450" spans="1:9" x14ac:dyDescent="0.3">
      <c r="A1450" t="s">
        <v>669</v>
      </c>
      <c r="B1450">
        <v>41</v>
      </c>
      <c r="C1450" t="s">
        <v>28</v>
      </c>
      <c r="D1450" t="s">
        <v>10</v>
      </c>
      <c r="E1450" t="s">
        <v>29</v>
      </c>
      <c r="F1450">
        <v>45620</v>
      </c>
      <c r="G1450">
        <v>2</v>
      </c>
      <c r="H1450">
        <v>849.52</v>
      </c>
      <c r="I1450" t="s">
        <v>16</v>
      </c>
    </row>
    <row r="1451" spans="1:9" x14ac:dyDescent="0.3">
      <c r="A1451" t="s">
        <v>627</v>
      </c>
      <c r="C1451" t="s">
        <v>28</v>
      </c>
      <c r="D1451" t="s">
        <v>14</v>
      </c>
      <c r="E1451" t="s">
        <v>23</v>
      </c>
      <c r="F1451">
        <v>45375</v>
      </c>
      <c r="H1451">
        <v>589.01</v>
      </c>
      <c r="I1451" t="s">
        <v>16</v>
      </c>
    </row>
    <row r="1452" spans="1:9" x14ac:dyDescent="0.3">
      <c r="A1452" t="s">
        <v>476</v>
      </c>
      <c r="D1452" t="s">
        <v>14</v>
      </c>
      <c r="E1452" t="s">
        <v>57</v>
      </c>
      <c r="F1452">
        <v>45309</v>
      </c>
      <c r="I1452" t="s">
        <v>16</v>
      </c>
    </row>
    <row r="1453" spans="1:9" x14ac:dyDescent="0.3">
      <c r="A1453" t="s">
        <v>458</v>
      </c>
      <c r="C1453" t="s">
        <v>42</v>
      </c>
      <c r="D1453" t="s">
        <v>45</v>
      </c>
      <c r="E1453" t="s">
        <v>20</v>
      </c>
      <c r="F1453">
        <v>45380</v>
      </c>
      <c r="G1453">
        <v>15</v>
      </c>
      <c r="I1453" t="s">
        <v>12</v>
      </c>
    </row>
    <row r="1454" spans="1:9" x14ac:dyDescent="0.3">
      <c r="A1454" t="s">
        <v>655</v>
      </c>
      <c r="C1454" t="s">
        <v>38</v>
      </c>
      <c r="D1454" t="s">
        <v>19</v>
      </c>
      <c r="E1454" t="s">
        <v>34</v>
      </c>
      <c r="G1454">
        <v>4</v>
      </c>
      <c r="I1454" t="s">
        <v>21</v>
      </c>
    </row>
    <row r="1455" spans="1:9" x14ac:dyDescent="0.3">
      <c r="A1455" t="s">
        <v>374</v>
      </c>
      <c r="C1455" t="s">
        <v>28</v>
      </c>
      <c r="D1455" t="s">
        <v>33</v>
      </c>
      <c r="E1455" t="s">
        <v>29</v>
      </c>
      <c r="F1455">
        <v>45474</v>
      </c>
      <c r="G1455">
        <v>1</v>
      </c>
    </row>
    <row r="1456" spans="1:9" x14ac:dyDescent="0.3">
      <c r="A1456" t="s">
        <v>877</v>
      </c>
      <c r="C1456" t="s">
        <v>28</v>
      </c>
      <c r="D1456" t="s">
        <v>33</v>
      </c>
      <c r="E1456" t="s">
        <v>29</v>
      </c>
      <c r="F1456">
        <v>45531</v>
      </c>
      <c r="G1456">
        <v>16</v>
      </c>
    </row>
    <row r="1457" spans="1:9" x14ac:dyDescent="0.3">
      <c r="A1457" t="s">
        <v>878</v>
      </c>
      <c r="C1457" t="s">
        <v>18</v>
      </c>
      <c r="D1457" t="s">
        <v>51</v>
      </c>
      <c r="E1457" t="s">
        <v>20</v>
      </c>
      <c r="F1457">
        <v>45552</v>
      </c>
      <c r="H1457">
        <v>285.10000000000002</v>
      </c>
      <c r="I1457" t="s">
        <v>21</v>
      </c>
    </row>
    <row r="1458" spans="1:9" x14ac:dyDescent="0.3">
      <c r="A1458" t="s">
        <v>192</v>
      </c>
      <c r="C1458" t="s">
        <v>18</v>
      </c>
      <c r="D1458" t="s">
        <v>51</v>
      </c>
      <c r="E1458" t="s">
        <v>23</v>
      </c>
      <c r="F1458">
        <v>45652</v>
      </c>
      <c r="G1458">
        <v>2</v>
      </c>
      <c r="H1458">
        <v>141.24</v>
      </c>
    </row>
    <row r="1459" spans="1:9" x14ac:dyDescent="0.3">
      <c r="A1459" t="s">
        <v>839</v>
      </c>
      <c r="C1459" t="s">
        <v>42</v>
      </c>
      <c r="D1459" t="s">
        <v>10</v>
      </c>
      <c r="E1459" t="s">
        <v>20</v>
      </c>
      <c r="F1459">
        <v>45586</v>
      </c>
    </row>
    <row r="1460" spans="1:9" x14ac:dyDescent="0.3">
      <c r="A1460" t="s">
        <v>795</v>
      </c>
      <c r="C1460" t="s">
        <v>38</v>
      </c>
      <c r="D1460" t="s">
        <v>25</v>
      </c>
      <c r="E1460" t="s">
        <v>20</v>
      </c>
      <c r="F1460">
        <v>45448</v>
      </c>
      <c r="H1460">
        <v>1460.22</v>
      </c>
      <c r="I1460" t="s">
        <v>26</v>
      </c>
    </row>
    <row r="1461" spans="1:9" x14ac:dyDescent="0.3">
      <c r="A1461" t="s">
        <v>879</v>
      </c>
      <c r="B1461">
        <v>21</v>
      </c>
      <c r="C1461" t="s">
        <v>18</v>
      </c>
      <c r="D1461" t="s">
        <v>48</v>
      </c>
      <c r="E1461" t="s">
        <v>23</v>
      </c>
      <c r="F1461">
        <v>45414</v>
      </c>
      <c r="G1461">
        <v>8</v>
      </c>
      <c r="H1461">
        <v>335.92</v>
      </c>
      <c r="I1461" t="s">
        <v>21</v>
      </c>
    </row>
    <row r="1462" spans="1:9" x14ac:dyDescent="0.3">
      <c r="A1462" t="s">
        <v>880</v>
      </c>
      <c r="C1462" t="s">
        <v>18</v>
      </c>
      <c r="D1462" t="s">
        <v>45</v>
      </c>
      <c r="E1462" t="s">
        <v>23</v>
      </c>
      <c r="F1462">
        <v>45379</v>
      </c>
      <c r="I1462" t="s">
        <v>21</v>
      </c>
    </row>
    <row r="1463" spans="1:9" x14ac:dyDescent="0.3">
      <c r="A1463" t="s">
        <v>94</v>
      </c>
      <c r="B1463">
        <v>86</v>
      </c>
      <c r="C1463" t="s">
        <v>18</v>
      </c>
      <c r="D1463" t="s">
        <v>10</v>
      </c>
      <c r="E1463" t="s">
        <v>15</v>
      </c>
      <c r="F1463">
        <v>45525</v>
      </c>
      <c r="G1463">
        <v>20</v>
      </c>
      <c r="H1463">
        <v>483.18</v>
      </c>
      <c r="I1463" t="s">
        <v>12</v>
      </c>
    </row>
    <row r="1464" spans="1:9" x14ac:dyDescent="0.3">
      <c r="A1464" t="s">
        <v>65</v>
      </c>
      <c r="C1464" t="s">
        <v>38</v>
      </c>
      <c r="D1464" t="s">
        <v>48</v>
      </c>
      <c r="E1464" t="s">
        <v>29</v>
      </c>
      <c r="F1464">
        <v>45318</v>
      </c>
      <c r="G1464">
        <v>12</v>
      </c>
      <c r="H1464">
        <v>1103.8399999999999</v>
      </c>
      <c r="I1464" t="s">
        <v>12</v>
      </c>
    </row>
    <row r="1465" spans="1:9" x14ac:dyDescent="0.3">
      <c r="A1465" t="s">
        <v>881</v>
      </c>
      <c r="C1465" t="s">
        <v>42</v>
      </c>
      <c r="D1465" t="s">
        <v>25</v>
      </c>
      <c r="E1465" t="s">
        <v>43</v>
      </c>
      <c r="F1465">
        <v>45317</v>
      </c>
      <c r="G1465">
        <v>11</v>
      </c>
      <c r="H1465">
        <v>668.97</v>
      </c>
      <c r="I1465" t="s">
        <v>16</v>
      </c>
    </row>
    <row r="1466" spans="1:9" x14ac:dyDescent="0.3">
      <c r="A1466" t="s">
        <v>193</v>
      </c>
      <c r="C1466" t="s">
        <v>28</v>
      </c>
      <c r="D1466" t="s">
        <v>45</v>
      </c>
      <c r="E1466" t="s">
        <v>23</v>
      </c>
      <c r="G1466">
        <v>10</v>
      </c>
      <c r="I1466" t="s">
        <v>12</v>
      </c>
    </row>
    <row r="1467" spans="1:9" x14ac:dyDescent="0.3">
      <c r="A1467" t="s">
        <v>580</v>
      </c>
      <c r="D1467" t="s">
        <v>19</v>
      </c>
      <c r="E1467" t="s">
        <v>20</v>
      </c>
      <c r="F1467">
        <v>45552</v>
      </c>
      <c r="G1467">
        <v>12</v>
      </c>
      <c r="I1467" t="s">
        <v>21</v>
      </c>
    </row>
    <row r="1468" spans="1:9" x14ac:dyDescent="0.3">
      <c r="A1468" t="s">
        <v>882</v>
      </c>
      <c r="C1468" t="s">
        <v>38</v>
      </c>
      <c r="D1468" t="s">
        <v>25</v>
      </c>
      <c r="E1468" t="s">
        <v>29</v>
      </c>
      <c r="F1468">
        <v>45581</v>
      </c>
      <c r="G1468">
        <v>14</v>
      </c>
      <c r="H1468">
        <v>1032.0999999999999</v>
      </c>
      <c r="I1468" t="s">
        <v>12</v>
      </c>
    </row>
    <row r="1469" spans="1:9" x14ac:dyDescent="0.3">
      <c r="A1469" t="s">
        <v>705</v>
      </c>
      <c r="C1469" t="s">
        <v>38</v>
      </c>
      <c r="D1469" t="s">
        <v>51</v>
      </c>
      <c r="E1469" t="s">
        <v>11</v>
      </c>
      <c r="G1469">
        <v>11</v>
      </c>
    </row>
    <row r="1470" spans="1:9" x14ac:dyDescent="0.3">
      <c r="A1470" t="s">
        <v>883</v>
      </c>
      <c r="B1470">
        <v>28</v>
      </c>
      <c r="C1470" t="s">
        <v>42</v>
      </c>
      <c r="D1470" t="s">
        <v>45</v>
      </c>
      <c r="E1470" t="s">
        <v>20</v>
      </c>
      <c r="F1470">
        <v>45473</v>
      </c>
      <c r="G1470">
        <v>18</v>
      </c>
      <c r="I1470" t="s">
        <v>21</v>
      </c>
    </row>
    <row r="1471" spans="1:9" x14ac:dyDescent="0.3">
      <c r="A1471" t="s">
        <v>884</v>
      </c>
      <c r="B1471">
        <v>80</v>
      </c>
      <c r="C1471" t="s">
        <v>38</v>
      </c>
      <c r="E1471" t="s">
        <v>15</v>
      </c>
      <c r="F1471">
        <v>45333</v>
      </c>
      <c r="I1471" t="s">
        <v>26</v>
      </c>
    </row>
    <row r="1472" spans="1:9" x14ac:dyDescent="0.3">
      <c r="A1472" t="s">
        <v>885</v>
      </c>
      <c r="C1472" t="s">
        <v>28</v>
      </c>
      <c r="D1472" t="s">
        <v>51</v>
      </c>
      <c r="E1472" t="s">
        <v>15</v>
      </c>
      <c r="F1472">
        <v>45484</v>
      </c>
      <c r="G1472">
        <v>4</v>
      </c>
      <c r="I1472" t="s">
        <v>21</v>
      </c>
    </row>
    <row r="1473" spans="1:9" x14ac:dyDescent="0.3">
      <c r="A1473" t="s">
        <v>752</v>
      </c>
      <c r="D1473" t="s">
        <v>14</v>
      </c>
      <c r="E1473" t="s">
        <v>29</v>
      </c>
      <c r="F1473">
        <v>45437</v>
      </c>
      <c r="I1473" t="s">
        <v>26</v>
      </c>
    </row>
    <row r="1474" spans="1:9" x14ac:dyDescent="0.3">
      <c r="A1474" t="s">
        <v>612</v>
      </c>
      <c r="E1474" t="s">
        <v>29</v>
      </c>
      <c r="F1474">
        <v>45450</v>
      </c>
      <c r="H1474">
        <v>440.25</v>
      </c>
      <c r="I1474" t="s">
        <v>21</v>
      </c>
    </row>
    <row r="1475" spans="1:9" x14ac:dyDescent="0.3">
      <c r="A1475" t="s">
        <v>839</v>
      </c>
      <c r="C1475" t="s">
        <v>28</v>
      </c>
      <c r="E1475" t="s">
        <v>15</v>
      </c>
      <c r="F1475">
        <v>45451</v>
      </c>
      <c r="I1475" t="s">
        <v>12</v>
      </c>
    </row>
    <row r="1476" spans="1:9" x14ac:dyDescent="0.3">
      <c r="A1476" t="s">
        <v>681</v>
      </c>
      <c r="B1476">
        <v>41</v>
      </c>
      <c r="C1476" t="s">
        <v>42</v>
      </c>
      <c r="D1476" t="s">
        <v>45</v>
      </c>
      <c r="E1476" t="s">
        <v>57</v>
      </c>
      <c r="G1476">
        <v>12</v>
      </c>
      <c r="H1476">
        <v>1705.01</v>
      </c>
      <c r="I1476" t="s">
        <v>16</v>
      </c>
    </row>
    <row r="1477" spans="1:9" x14ac:dyDescent="0.3">
      <c r="A1477" t="s">
        <v>41</v>
      </c>
      <c r="C1477" t="s">
        <v>38</v>
      </c>
      <c r="D1477" t="s">
        <v>48</v>
      </c>
      <c r="E1477" t="s">
        <v>43</v>
      </c>
      <c r="F1477">
        <v>45617</v>
      </c>
      <c r="G1477">
        <v>20</v>
      </c>
      <c r="H1477">
        <v>519.30999999999995</v>
      </c>
      <c r="I1477" t="s">
        <v>21</v>
      </c>
    </row>
    <row r="1478" spans="1:9" x14ac:dyDescent="0.3">
      <c r="A1478" t="s">
        <v>886</v>
      </c>
      <c r="D1478" t="s">
        <v>19</v>
      </c>
      <c r="E1478" t="s">
        <v>11</v>
      </c>
      <c r="F1478">
        <v>45380</v>
      </c>
      <c r="H1478">
        <v>1977.87</v>
      </c>
      <c r="I1478" t="s">
        <v>12</v>
      </c>
    </row>
    <row r="1479" spans="1:9" x14ac:dyDescent="0.3">
      <c r="A1479" t="s">
        <v>887</v>
      </c>
      <c r="D1479" t="s">
        <v>25</v>
      </c>
      <c r="E1479" t="s">
        <v>34</v>
      </c>
      <c r="F1479">
        <v>45553</v>
      </c>
      <c r="I1479" t="s">
        <v>12</v>
      </c>
    </row>
    <row r="1480" spans="1:9" x14ac:dyDescent="0.3">
      <c r="A1480" t="s">
        <v>390</v>
      </c>
      <c r="B1480">
        <v>47</v>
      </c>
      <c r="D1480" t="s">
        <v>48</v>
      </c>
      <c r="E1480" t="s">
        <v>43</v>
      </c>
      <c r="G1480">
        <v>13</v>
      </c>
      <c r="I1480" t="s">
        <v>21</v>
      </c>
    </row>
    <row r="1481" spans="1:9" x14ac:dyDescent="0.3">
      <c r="A1481" t="s">
        <v>788</v>
      </c>
      <c r="B1481">
        <v>94</v>
      </c>
      <c r="C1481" t="s">
        <v>28</v>
      </c>
      <c r="D1481" t="s">
        <v>33</v>
      </c>
      <c r="E1481" t="s">
        <v>15</v>
      </c>
      <c r="F1481">
        <v>45335</v>
      </c>
      <c r="G1481">
        <v>10</v>
      </c>
      <c r="I1481" t="s">
        <v>12</v>
      </c>
    </row>
    <row r="1482" spans="1:9" x14ac:dyDescent="0.3">
      <c r="A1482" t="s">
        <v>888</v>
      </c>
      <c r="D1482" t="s">
        <v>51</v>
      </c>
      <c r="E1482" t="s">
        <v>15</v>
      </c>
      <c r="F1482">
        <v>45515</v>
      </c>
      <c r="H1482">
        <v>1701.18</v>
      </c>
      <c r="I1482" t="s">
        <v>12</v>
      </c>
    </row>
    <row r="1483" spans="1:9" x14ac:dyDescent="0.3">
      <c r="A1483" t="s">
        <v>329</v>
      </c>
      <c r="B1483">
        <v>41</v>
      </c>
      <c r="C1483" t="s">
        <v>18</v>
      </c>
      <c r="D1483" t="s">
        <v>45</v>
      </c>
      <c r="E1483" t="s">
        <v>29</v>
      </c>
      <c r="F1483">
        <v>45416</v>
      </c>
      <c r="G1483">
        <v>2</v>
      </c>
      <c r="I1483" t="s">
        <v>12</v>
      </c>
    </row>
    <row r="1484" spans="1:9" x14ac:dyDescent="0.3">
      <c r="A1484" t="s">
        <v>341</v>
      </c>
      <c r="B1484">
        <v>67</v>
      </c>
      <c r="C1484" t="s">
        <v>42</v>
      </c>
      <c r="E1484" t="s">
        <v>23</v>
      </c>
      <c r="F1484">
        <v>45314</v>
      </c>
      <c r="I1484" t="s">
        <v>26</v>
      </c>
    </row>
    <row r="1485" spans="1:9" x14ac:dyDescent="0.3">
      <c r="A1485" t="s">
        <v>82</v>
      </c>
      <c r="D1485" t="s">
        <v>45</v>
      </c>
      <c r="E1485" t="s">
        <v>34</v>
      </c>
      <c r="F1485">
        <v>45318</v>
      </c>
      <c r="I1485" t="s">
        <v>16</v>
      </c>
    </row>
    <row r="1486" spans="1:9" x14ac:dyDescent="0.3">
      <c r="A1486" t="s">
        <v>889</v>
      </c>
      <c r="C1486" t="s">
        <v>28</v>
      </c>
      <c r="D1486" t="s">
        <v>33</v>
      </c>
      <c r="E1486" t="s">
        <v>34</v>
      </c>
      <c r="F1486">
        <v>45431</v>
      </c>
      <c r="I1486" t="s">
        <v>21</v>
      </c>
    </row>
    <row r="1487" spans="1:9" x14ac:dyDescent="0.3">
      <c r="A1487" t="s">
        <v>890</v>
      </c>
      <c r="B1487">
        <v>37</v>
      </c>
      <c r="C1487" t="s">
        <v>18</v>
      </c>
      <c r="D1487" t="s">
        <v>19</v>
      </c>
      <c r="E1487" t="s">
        <v>20</v>
      </c>
      <c r="F1487">
        <v>45501</v>
      </c>
      <c r="G1487">
        <v>15</v>
      </c>
      <c r="H1487">
        <v>1532.56</v>
      </c>
      <c r="I1487" t="s">
        <v>16</v>
      </c>
    </row>
    <row r="1488" spans="1:9" x14ac:dyDescent="0.3">
      <c r="A1488" t="s">
        <v>396</v>
      </c>
      <c r="C1488" t="s">
        <v>18</v>
      </c>
      <c r="D1488" t="s">
        <v>33</v>
      </c>
      <c r="E1488" t="s">
        <v>29</v>
      </c>
      <c r="G1488">
        <v>5</v>
      </c>
      <c r="H1488">
        <v>242.58</v>
      </c>
      <c r="I1488" t="s">
        <v>16</v>
      </c>
    </row>
    <row r="1489" spans="1:9" x14ac:dyDescent="0.3">
      <c r="A1489" t="s">
        <v>721</v>
      </c>
      <c r="C1489" t="s">
        <v>38</v>
      </c>
      <c r="D1489" t="s">
        <v>19</v>
      </c>
      <c r="E1489" t="s">
        <v>34</v>
      </c>
      <c r="F1489">
        <v>45532</v>
      </c>
      <c r="I1489" t="s">
        <v>12</v>
      </c>
    </row>
    <row r="1490" spans="1:9" x14ac:dyDescent="0.3">
      <c r="A1490" t="s">
        <v>773</v>
      </c>
      <c r="C1490" t="s">
        <v>18</v>
      </c>
      <c r="D1490" t="s">
        <v>14</v>
      </c>
      <c r="E1490" t="s">
        <v>20</v>
      </c>
      <c r="F1490">
        <v>45538</v>
      </c>
      <c r="I1490" t="s">
        <v>26</v>
      </c>
    </row>
    <row r="1491" spans="1:9" x14ac:dyDescent="0.3">
      <c r="A1491" t="s">
        <v>401</v>
      </c>
      <c r="D1491" t="s">
        <v>33</v>
      </c>
      <c r="E1491" t="s">
        <v>57</v>
      </c>
      <c r="G1491">
        <v>19</v>
      </c>
      <c r="H1491">
        <v>145.1</v>
      </c>
      <c r="I1491" t="s">
        <v>21</v>
      </c>
    </row>
    <row r="1492" spans="1:9" x14ac:dyDescent="0.3">
      <c r="A1492" t="s">
        <v>891</v>
      </c>
      <c r="B1492">
        <v>60</v>
      </c>
      <c r="C1492" t="s">
        <v>28</v>
      </c>
      <c r="D1492" t="s">
        <v>51</v>
      </c>
      <c r="E1492" t="s">
        <v>34</v>
      </c>
      <c r="F1492">
        <v>45342</v>
      </c>
      <c r="H1492">
        <v>958.84</v>
      </c>
      <c r="I1492" t="s">
        <v>16</v>
      </c>
    </row>
    <row r="1493" spans="1:9" x14ac:dyDescent="0.3">
      <c r="A1493" t="s">
        <v>609</v>
      </c>
      <c r="C1493" t="s">
        <v>18</v>
      </c>
      <c r="D1493" t="s">
        <v>51</v>
      </c>
      <c r="E1493" t="s">
        <v>20</v>
      </c>
      <c r="F1493">
        <v>45506</v>
      </c>
      <c r="H1493">
        <v>1906.92</v>
      </c>
      <c r="I1493" t="s">
        <v>16</v>
      </c>
    </row>
    <row r="1494" spans="1:9" x14ac:dyDescent="0.3">
      <c r="A1494" t="s">
        <v>890</v>
      </c>
      <c r="D1494" t="s">
        <v>14</v>
      </c>
      <c r="E1494" t="s">
        <v>23</v>
      </c>
      <c r="F1494">
        <v>45394</v>
      </c>
      <c r="I1494" t="s">
        <v>26</v>
      </c>
    </row>
    <row r="1495" spans="1:9" x14ac:dyDescent="0.3">
      <c r="A1495" t="s">
        <v>892</v>
      </c>
      <c r="D1495" t="s">
        <v>10</v>
      </c>
      <c r="E1495" t="s">
        <v>29</v>
      </c>
      <c r="F1495">
        <v>45390</v>
      </c>
      <c r="I1495" t="s">
        <v>16</v>
      </c>
    </row>
    <row r="1496" spans="1:9" x14ac:dyDescent="0.3">
      <c r="A1496" t="s">
        <v>893</v>
      </c>
      <c r="B1496">
        <v>26</v>
      </c>
      <c r="C1496" t="s">
        <v>18</v>
      </c>
      <c r="D1496" t="s">
        <v>14</v>
      </c>
      <c r="E1496" t="s">
        <v>23</v>
      </c>
      <c r="F1496">
        <v>45550</v>
      </c>
      <c r="I1496" t="s">
        <v>16</v>
      </c>
    </row>
    <row r="1497" spans="1:9" x14ac:dyDescent="0.3">
      <c r="A1497" t="s">
        <v>894</v>
      </c>
      <c r="B1497">
        <v>67</v>
      </c>
      <c r="C1497" t="s">
        <v>28</v>
      </c>
      <c r="D1497" t="s">
        <v>48</v>
      </c>
      <c r="E1497" t="s">
        <v>43</v>
      </c>
      <c r="F1497">
        <v>45529</v>
      </c>
      <c r="G1497">
        <v>14</v>
      </c>
      <c r="I1497" t="s">
        <v>12</v>
      </c>
    </row>
    <row r="1498" spans="1:9" x14ac:dyDescent="0.3">
      <c r="A1498" t="s">
        <v>895</v>
      </c>
      <c r="C1498" t="s">
        <v>28</v>
      </c>
      <c r="D1498" t="s">
        <v>10</v>
      </c>
      <c r="E1498" t="s">
        <v>15</v>
      </c>
      <c r="F1498">
        <v>45590</v>
      </c>
      <c r="I1498" t="s">
        <v>12</v>
      </c>
    </row>
    <row r="1499" spans="1:9" x14ac:dyDescent="0.3">
      <c r="A1499" t="s">
        <v>896</v>
      </c>
      <c r="C1499" t="s">
        <v>42</v>
      </c>
      <c r="D1499" t="s">
        <v>51</v>
      </c>
      <c r="E1499" t="s">
        <v>23</v>
      </c>
      <c r="F1499">
        <v>45438</v>
      </c>
    </row>
    <row r="1500" spans="1:9" x14ac:dyDescent="0.3">
      <c r="A1500" t="s">
        <v>609</v>
      </c>
      <c r="C1500" t="s">
        <v>28</v>
      </c>
      <c r="D1500" t="s">
        <v>19</v>
      </c>
      <c r="E1500" t="s">
        <v>29</v>
      </c>
      <c r="F1500">
        <v>45584</v>
      </c>
    </row>
    <row r="1501" spans="1:9" x14ac:dyDescent="0.3">
      <c r="A1501" t="s">
        <v>526</v>
      </c>
      <c r="D1501" t="s">
        <v>14</v>
      </c>
      <c r="E1501" t="s">
        <v>34</v>
      </c>
      <c r="F1501">
        <v>45592</v>
      </c>
      <c r="H1501">
        <v>1996.09</v>
      </c>
      <c r="I150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3F6FF-BF4F-4828-92E3-040D6F5A8AAC}">
  <sheetPr>
    <tabColor rgb="FFC00000"/>
  </sheetPr>
  <dimension ref="A1:N865"/>
  <sheetViews>
    <sheetView workbookViewId="0">
      <pane ySplit="1" topLeftCell="A2" activePane="bottomLeft" state="frozen"/>
      <selection pane="bottomLeft" activeCell="C9" sqref="C9"/>
    </sheetView>
  </sheetViews>
  <sheetFormatPr defaultRowHeight="14.4" x14ac:dyDescent="0.3"/>
  <cols>
    <col min="1" max="1" width="14.109375" customWidth="1"/>
    <col min="2" max="2" width="14.109375" style="19" customWidth="1"/>
    <col min="3" max="3" width="14.109375" customWidth="1"/>
    <col min="4" max="4" width="18.44140625" customWidth="1"/>
    <col min="5" max="5" width="21.44140625" customWidth="1"/>
    <col min="6" max="6" width="20" customWidth="1"/>
    <col min="7" max="7" width="22.5546875" style="15" customWidth="1"/>
    <col min="8" max="8" width="18.88671875" customWidth="1"/>
    <col min="9" max="9" width="14.109375" customWidth="1"/>
    <col min="10" max="10" width="12.77734375" customWidth="1"/>
    <col min="11" max="13" width="15.6640625" bestFit="1" customWidth="1"/>
    <col min="14" max="14" width="18.77734375" customWidth="1"/>
    <col min="16" max="16" width="14.21875" bestFit="1" customWidth="1"/>
    <col min="17" max="17" width="12.21875" bestFit="1" customWidth="1"/>
  </cols>
  <sheetData>
    <row r="1" spans="1:14" x14ac:dyDescent="0.3">
      <c r="A1" s="9" t="s">
        <v>0</v>
      </c>
      <c r="B1" s="16" t="s">
        <v>902</v>
      </c>
      <c r="C1" s="9" t="s">
        <v>2</v>
      </c>
      <c r="D1" s="9" t="s">
        <v>3</v>
      </c>
      <c r="E1" s="9" t="s">
        <v>897</v>
      </c>
      <c r="F1" s="10" t="s">
        <v>5</v>
      </c>
      <c r="G1" s="9" t="s">
        <v>901</v>
      </c>
      <c r="H1" s="12" t="s">
        <v>7</v>
      </c>
      <c r="I1" s="9" t="s">
        <v>8</v>
      </c>
      <c r="J1" s="31" t="s">
        <v>916</v>
      </c>
      <c r="K1" s="31" t="s">
        <v>917</v>
      </c>
      <c r="L1" s="31" t="s">
        <v>920</v>
      </c>
      <c r="M1" s="31" t="s">
        <v>921</v>
      </c>
      <c r="N1" s="9" t="s">
        <v>922</v>
      </c>
    </row>
    <row r="2" spans="1:14" s="11" customFormat="1" x14ac:dyDescent="0.3">
      <c r="A2" s="21" t="s">
        <v>184</v>
      </c>
      <c r="B2" s="23">
        <v>95</v>
      </c>
      <c r="C2" s="25" t="s">
        <v>38</v>
      </c>
      <c r="D2" s="25" t="s">
        <v>14</v>
      </c>
      <c r="E2" s="25" t="s">
        <v>11</v>
      </c>
      <c r="F2" s="27">
        <v>45629</v>
      </c>
      <c r="G2" s="25">
        <v>7</v>
      </c>
      <c r="H2" s="29">
        <v>1542.11</v>
      </c>
      <c r="I2" s="31" t="s">
        <v>12</v>
      </c>
      <c r="J2" s="4" t="str" cm="1">
        <f t="array" ref="J2">_xlfn.IFS(Table3[[#This Row],[Age (Years)]] &lt; 40, "Young", Table3[[#This Row],[Age (Years)]] &gt;= 40, "Middle", Table3[[#This Row],[Age (Years)]] &gt; 60, "Senior")</f>
        <v>Middle</v>
      </c>
      <c r="K2" s="4" t="str" cm="1">
        <f t="array" ref="K2">_xlfn.IFS(Table3[[#This Row],[Drug_Cost_GBP]] &gt; 1200, "High Cost", Table3[[#This Row],[Drug_Cost_GBP]] &lt; 1200, "Normal")</f>
        <v>High Cost</v>
      </c>
      <c r="L2" s="4" t="str" cm="1">
        <f t="array" ref="L2">IFERROR(_xlfn.IFS(Table3[[#This Row],[Age (Years)]]  &gt; 75, "YES", Table3[[#This Row],[Age (Years)]] &lt; 75, "NO"), "UNKNOWN")</f>
        <v>YES</v>
      </c>
      <c r="M2" s="4" t="str">
        <f>IF(Table3[[#This Row],[Drug_Cost_GBP]] &gt; Analysis_Sheet!$B$21, "Above Average", "Within Average")</f>
        <v>Above Average</v>
      </c>
      <c r="N2" s="39" t="str">
        <f>IF(ISNUMBER(F2),TEXT(F2,"MMMM YYYY"),"Unknown")</f>
        <v>December 2024</v>
      </c>
    </row>
    <row r="3" spans="1:14" x14ac:dyDescent="0.3">
      <c r="A3" s="1" t="s">
        <v>276</v>
      </c>
      <c r="B3" s="17">
        <v>95</v>
      </c>
      <c r="C3" s="2" t="s">
        <v>38</v>
      </c>
      <c r="D3" s="2" t="s">
        <v>10</v>
      </c>
      <c r="E3" s="2" t="s">
        <v>57</v>
      </c>
      <c r="F3" s="3">
        <v>45621</v>
      </c>
      <c r="G3" s="2">
        <v>12</v>
      </c>
      <c r="H3" s="13">
        <v>1002.0675517241378</v>
      </c>
      <c r="I3" s="4" t="s">
        <v>21</v>
      </c>
      <c r="J3" s="8" t="str" cm="1">
        <f t="array" ref="J3">_xlfn.IFS(Table3[[#This Row],[Age (Years)]] &lt; 40, "Young", Table3[[#This Row],[Age (Years)]] &gt;= 40, "Middle", Table3[[#This Row],[Age (Years)]] &gt; 60, "Senior")</f>
        <v>Middle</v>
      </c>
      <c r="K3" s="8" t="str" cm="1">
        <f t="array" ref="K3">_xlfn.IFS(Table3[[#This Row],[Drug_Cost_GBP]] &gt; 1200, "High Cost", Table3[[#This Row],[Drug_Cost_GBP]] &lt; 1200, "Normal")</f>
        <v>Normal</v>
      </c>
      <c r="L3" s="8" t="str" cm="1">
        <f t="array" ref="L3">IFERROR(_xlfn.IFS(Table3[[#This Row],[Age (Years)]]  &gt; 75, "YES", Table3[[#This Row],[Age (Years)]] &lt; 75, "NO"), "UNKNOWN")</f>
        <v>YES</v>
      </c>
      <c r="M3" s="8" t="str">
        <f>IF(Table3[[#This Row],[Drug_Cost_GBP]] &gt; Analysis_Sheet!$B$21, "Above Average", "Within Average")</f>
        <v>Within Average</v>
      </c>
      <c r="N3" s="39" t="str">
        <f t="shared" ref="N3:N66" si="0">IF(ISNUMBER(F3),TEXT(F3,"MMMM YYYY"),"Unknown")</f>
        <v>November 2024</v>
      </c>
    </row>
    <row r="4" spans="1:14" x14ac:dyDescent="0.3">
      <c r="A4" s="5" t="s">
        <v>279</v>
      </c>
      <c r="B4" s="18">
        <v>95</v>
      </c>
      <c r="C4" s="6" t="s">
        <v>38</v>
      </c>
      <c r="D4" s="6" t="s">
        <v>14</v>
      </c>
      <c r="E4" s="6" t="s">
        <v>29</v>
      </c>
      <c r="F4" s="7">
        <v>45467</v>
      </c>
      <c r="G4" s="6">
        <v>19</v>
      </c>
      <c r="H4" s="14">
        <v>490.75</v>
      </c>
      <c r="I4" s="8" t="s">
        <v>900</v>
      </c>
      <c r="J4" s="4" t="str" cm="1">
        <f t="array" ref="J4">_xlfn.IFS(Table3[[#This Row],[Age (Years)]] &lt; 40, "Young", Table3[[#This Row],[Age (Years)]] &gt;= 40, "Middle", Table3[[#This Row],[Age (Years)]] &gt; 60, "Senior")</f>
        <v>Middle</v>
      </c>
      <c r="K4" s="4" t="str" cm="1">
        <f t="array" ref="K4">_xlfn.IFS(Table3[[#This Row],[Drug_Cost_GBP]] &gt; 1200, "High Cost", Table3[[#This Row],[Drug_Cost_GBP]] &lt; 1200, "Normal")</f>
        <v>Normal</v>
      </c>
      <c r="L4" s="4" t="str" cm="1">
        <f t="array" ref="L4">IFERROR(_xlfn.IFS(Table3[[#This Row],[Age (Years)]]  &gt; 75, "YES", Table3[[#This Row],[Age (Years)]] &lt; 75, "NO"), "UNKNOWN")</f>
        <v>YES</v>
      </c>
      <c r="M4" s="4" t="str">
        <f>IF(Table3[[#This Row],[Drug_Cost_GBP]] &gt; Analysis_Sheet!$B$21, "Above Average", "Within Average")</f>
        <v>Within Average</v>
      </c>
      <c r="N4" s="39" t="str">
        <f t="shared" si="0"/>
        <v>June 2024</v>
      </c>
    </row>
    <row r="5" spans="1:14" x14ac:dyDescent="0.3">
      <c r="A5" s="1" t="s">
        <v>290</v>
      </c>
      <c r="B5" s="17">
        <v>95</v>
      </c>
      <c r="C5" s="2" t="s">
        <v>38</v>
      </c>
      <c r="D5" s="2" t="s">
        <v>25</v>
      </c>
      <c r="E5" s="2" t="s">
        <v>23</v>
      </c>
      <c r="F5" s="3" t="s">
        <v>900</v>
      </c>
      <c r="G5" s="2">
        <v>12</v>
      </c>
      <c r="H5" s="13">
        <v>1002.0675517241378</v>
      </c>
      <c r="I5" s="4" t="s">
        <v>16</v>
      </c>
      <c r="J5" s="8" t="str" cm="1">
        <f t="array" ref="J5">_xlfn.IFS(Table3[[#This Row],[Age (Years)]] &lt; 40, "Young", Table3[[#This Row],[Age (Years)]] &gt;= 40, "Middle", Table3[[#This Row],[Age (Years)]] &gt; 60, "Senior")</f>
        <v>Middle</v>
      </c>
      <c r="K5" s="8" t="str" cm="1">
        <f t="array" ref="K5">_xlfn.IFS(Table3[[#This Row],[Drug_Cost_GBP]] &gt; 1200, "High Cost", Table3[[#This Row],[Drug_Cost_GBP]] &lt; 1200, "Normal")</f>
        <v>Normal</v>
      </c>
      <c r="L5" s="8" t="str" cm="1">
        <f t="array" ref="L5">IFERROR(_xlfn.IFS(Table3[[#This Row],[Age (Years)]]  &gt; 75, "YES", Table3[[#This Row],[Age (Years)]] &lt; 75, "NO"), "UNKNOWN")</f>
        <v>YES</v>
      </c>
      <c r="M5" s="8" t="str">
        <f>IF(Table3[[#This Row],[Drug_Cost_GBP]] &gt; Analysis_Sheet!$B$21, "Above Average", "Within Average")</f>
        <v>Within Average</v>
      </c>
      <c r="N5" s="39" t="str">
        <f t="shared" si="0"/>
        <v>Unknown</v>
      </c>
    </row>
    <row r="6" spans="1:14" x14ac:dyDescent="0.3">
      <c r="A6" s="5" t="s">
        <v>409</v>
      </c>
      <c r="B6" s="18">
        <v>95</v>
      </c>
      <c r="C6" s="6" t="s">
        <v>38</v>
      </c>
      <c r="D6" s="6" t="s">
        <v>25</v>
      </c>
      <c r="E6" s="6" t="s">
        <v>43</v>
      </c>
      <c r="F6" s="7">
        <v>45616</v>
      </c>
      <c r="G6" s="6">
        <v>12</v>
      </c>
      <c r="H6" s="14">
        <v>1410.32</v>
      </c>
      <c r="I6" s="8" t="s">
        <v>900</v>
      </c>
      <c r="J6" s="4" t="str" cm="1">
        <f t="array" ref="J6">_xlfn.IFS(Table3[[#This Row],[Age (Years)]] &lt; 40, "Young", Table3[[#This Row],[Age (Years)]] &gt;= 40, "Middle", Table3[[#This Row],[Age (Years)]] &gt; 60, "Senior")</f>
        <v>Middle</v>
      </c>
      <c r="K6" s="4" t="str" cm="1">
        <f t="array" ref="K6">_xlfn.IFS(Table3[[#This Row],[Drug_Cost_GBP]] &gt; 1200, "High Cost", Table3[[#This Row],[Drug_Cost_GBP]] &lt; 1200, "Normal")</f>
        <v>High Cost</v>
      </c>
      <c r="L6" s="4" t="str" cm="1">
        <f t="array" ref="L6">IFERROR(_xlfn.IFS(Table3[[#This Row],[Age (Years)]]  &gt; 75, "YES", Table3[[#This Row],[Age (Years)]] &lt; 75, "NO"), "UNKNOWN")</f>
        <v>YES</v>
      </c>
      <c r="M6" s="4" t="str">
        <f>IF(Table3[[#This Row],[Drug_Cost_GBP]] &gt; Analysis_Sheet!$B$21, "Above Average", "Within Average")</f>
        <v>Above Average</v>
      </c>
      <c r="N6" s="39" t="str">
        <f t="shared" si="0"/>
        <v>November 2024</v>
      </c>
    </row>
    <row r="7" spans="1:14" x14ac:dyDescent="0.3">
      <c r="A7" s="1" t="s">
        <v>594</v>
      </c>
      <c r="B7" s="17">
        <v>95</v>
      </c>
      <c r="C7" s="2" t="s">
        <v>900</v>
      </c>
      <c r="D7" s="2" t="s">
        <v>898</v>
      </c>
      <c r="E7" s="2" t="s">
        <v>43</v>
      </c>
      <c r="F7" s="3" t="s">
        <v>900</v>
      </c>
      <c r="G7" s="2">
        <v>12</v>
      </c>
      <c r="H7" s="13">
        <v>1181.22</v>
      </c>
      <c r="I7" s="4" t="s">
        <v>900</v>
      </c>
      <c r="J7" s="4" t="str" cm="1">
        <f t="array" ref="J7">_xlfn.IFS(Table3[[#This Row],[Age (Years)]] &lt; 40, "Young", Table3[[#This Row],[Age (Years)]] &gt;= 40, "Middle", Table3[[#This Row],[Age (Years)]] &gt; 60, "Senior")</f>
        <v>Middle</v>
      </c>
      <c r="K7" s="4" t="str" cm="1">
        <f t="array" ref="K7">_xlfn.IFS(Table3[[#This Row],[Drug_Cost_GBP]] &gt; 1200, "High Cost", Table3[[#This Row],[Drug_Cost_GBP]] &lt; 1200, "Normal")</f>
        <v>Normal</v>
      </c>
      <c r="L7" s="4" t="str" cm="1">
        <f t="array" ref="L7">IFERROR(_xlfn.IFS(Table3[[#This Row],[Age (Years)]]  &gt; 75, "YES", Table3[[#This Row],[Age (Years)]] &lt; 75, "NO"), "UNKNOWN")</f>
        <v>YES</v>
      </c>
      <c r="M7" s="4" t="str">
        <f>IF(Table3[[#This Row],[Drug_Cost_GBP]] &gt; Analysis_Sheet!$B$21, "Above Average", "Within Average")</f>
        <v>Above Average</v>
      </c>
      <c r="N7" s="39" t="str">
        <f t="shared" si="0"/>
        <v>Unknown</v>
      </c>
    </row>
    <row r="8" spans="1:14" x14ac:dyDescent="0.3">
      <c r="A8" s="5" t="s">
        <v>17</v>
      </c>
      <c r="B8" s="18">
        <v>94</v>
      </c>
      <c r="C8" s="6" t="s">
        <v>38</v>
      </c>
      <c r="D8" s="6" t="s">
        <v>19</v>
      </c>
      <c r="E8" s="6" t="s">
        <v>43</v>
      </c>
      <c r="F8" s="7" t="s">
        <v>900</v>
      </c>
      <c r="G8" s="6">
        <v>12</v>
      </c>
      <c r="H8" s="14">
        <v>903.44</v>
      </c>
      <c r="I8" s="8" t="s">
        <v>21</v>
      </c>
      <c r="J8" s="8" t="str" cm="1">
        <f t="array" ref="J8">_xlfn.IFS(Table3[[#This Row],[Age (Years)]] &lt; 40, "Young", Table3[[#This Row],[Age (Years)]] &gt;= 40, "Middle", Table3[[#This Row],[Age (Years)]] &gt; 60, "Senior")</f>
        <v>Middle</v>
      </c>
      <c r="K8" s="8" t="str" cm="1">
        <f t="array" ref="K8">_xlfn.IFS(Table3[[#This Row],[Drug_Cost_GBP]] &gt; 1200, "High Cost", Table3[[#This Row],[Drug_Cost_GBP]] &lt; 1200, "Normal")</f>
        <v>Normal</v>
      </c>
      <c r="L8" s="8" t="str" cm="1">
        <f t="array" ref="L8">IFERROR(_xlfn.IFS(Table3[[#This Row],[Age (Years)]]  &gt; 75, "YES", Table3[[#This Row],[Age (Years)]] &lt; 75, "NO"), "UNKNOWN")</f>
        <v>YES</v>
      </c>
      <c r="M8" s="8" t="str">
        <f>IF(Table3[[#This Row],[Drug_Cost_GBP]] &gt; Analysis_Sheet!$B$21, "Above Average", "Within Average")</f>
        <v>Within Average</v>
      </c>
      <c r="N8" s="39" t="str">
        <f t="shared" si="0"/>
        <v>Unknown</v>
      </c>
    </row>
    <row r="9" spans="1:14" x14ac:dyDescent="0.3">
      <c r="A9" s="5" t="s">
        <v>283</v>
      </c>
      <c r="B9" s="18">
        <v>94</v>
      </c>
      <c r="C9" s="6" t="s">
        <v>38</v>
      </c>
      <c r="D9" s="6" t="s">
        <v>898</v>
      </c>
      <c r="E9" s="6" t="s">
        <v>23</v>
      </c>
      <c r="F9" s="7">
        <v>45356</v>
      </c>
      <c r="G9" s="6">
        <v>12</v>
      </c>
      <c r="H9" s="14">
        <v>851.41</v>
      </c>
      <c r="I9" s="8" t="s">
        <v>21</v>
      </c>
      <c r="J9" s="4" t="str" cm="1">
        <f t="array" ref="J9">_xlfn.IFS(Table3[[#This Row],[Age (Years)]] &lt; 40, "Young", Table3[[#This Row],[Age (Years)]] &gt;= 40, "Middle", Table3[[#This Row],[Age (Years)]] &gt; 60, "Senior")</f>
        <v>Middle</v>
      </c>
      <c r="K9" s="4" t="str" cm="1">
        <f t="array" ref="K9">_xlfn.IFS(Table3[[#This Row],[Drug_Cost_GBP]] &gt; 1200, "High Cost", Table3[[#This Row],[Drug_Cost_GBP]] &lt; 1200, "Normal")</f>
        <v>Normal</v>
      </c>
      <c r="L9" s="4" t="str" cm="1">
        <f t="array" ref="L9">IFERROR(_xlfn.IFS(Table3[[#This Row],[Age (Years)]]  &gt; 75, "YES", Table3[[#This Row],[Age (Years)]] &lt; 75, "NO"), "UNKNOWN")</f>
        <v>YES</v>
      </c>
      <c r="M9" s="4" t="str">
        <f>IF(Table3[[#This Row],[Drug_Cost_GBP]] &gt; Analysis_Sheet!$B$21, "Above Average", "Within Average")</f>
        <v>Within Average</v>
      </c>
      <c r="N9" s="39" t="str">
        <f t="shared" si="0"/>
        <v>March 2024</v>
      </c>
    </row>
    <row r="10" spans="1:14" x14ac:dyDescent="0.3">
      <c r="A10" s="1" t="s">
        <v>586</v>
      </c>
      <c r="B10" s="17">
        <v>94</v>
      </c>
      <c r="C10" s="2" t="s">
        <v>899</v>
      </c>
      <c r="D10" s="2" t="s">
        <v>48</v>
      </c>
      <c r="E10" s="2" t="s">
        <v>43</v>
      </c>
      <c r="F10" s="3">
        <v>45524</v>
      </c>
      <c r="G10" s="2">
        <v>12</v>
      </c>
      <c r="H10" s="13">
        <v>1809.21</v>
      </c>
      <c r="I10" s="4" t="s">
        <v>900</v>
      </c>
      <c r="J10" s="4" t="str" cm="1">
        <f t="array" ref="J10">_xlfn.IFS(Table3[[#This Row],[Age (Years)]] &lt; 40, "Young", Table3[[#This Row],[Age (Years)]] &gt;= 40, "Middle", Table3[[#This Row],[Age (Years)]] &gt; 60, "Senior")</f>
        <v>Middle</v>
      </c>
      <c r="K10" s="4" t="str" cm="1">
        <f t="array" ref="K10">_xlfn.IFS(Table3[[#This Row],[Drug_Cost_GBP]] &gt; 1200, "High Cost", Table3[[#This Row],[Drug_Cost_GBP]] &lt; 1200, "Normal")</f>
        <v>High Cost</v>
      </c>
      <c r="L10" s="4" t="str" cm="1">
        <f t="array" ref="L10">IFERROR(_xlfn.IFS(Table3[[#This Row],[Age (Years)]]  &gt; 75, "YES", Table3[[#This Row],[Age (Years)]] &lt; 75, "NO"), "UNKNOWN")</f>
        <v>YES</v>
      </c>
      <c r="M10" s="4" t="str">
        <f>IF(Table3[[#This Row],[Drug_Cost_GBP]] &gt; Analysis_Sheet!$B$21, "Above Average", "Within Average")</f>
        <v>Above Average</v>
      </c>
      <c r="N10" s="39" t="str">
        <f t="shared" si="0"/>
        <v>August 2024</v>
      </c>
    </row>
    <row r="11" spans="1:14" x14ac:dyDescent="0.3">
      <c r="A11" s="5" t="s">
        <v>199</v>
      </c>
      <c r="B11" s="18">
        <v>93</v>
      </c>
      <c r="C11" s="6" t="s">
        <v>900</v>
      </c>
      <c r="D11" s="6" t="s">
        <v>898</v>
      </c>
      <c r="E11" s="6" t="s">
        <v>34</v>
      </c>
      <c r="F11" s="7">
        <v>45500</v>
      </c>
      <c r="G11" s="6">
        <v>12</v>
      </c>
      <c r="H11" s="14">
        <v>1202.99</v>
      </c>
      <c r="I11" s="8" t="s">
        <v>900</v>
      </c>
      <c r="J11" s="8" t="str" cm="1">
        <f t="array" ref="J11">_xlfn.IFS(Table3[[#This Row],[Age (Years)]] &lt; 40, "Young", Table3[[#This Row],[Age (Years)]] &gt;= 40, "Middle", Table3[[#This Row],[Age (Years)]] &gt; 60, "Senior")</f>
        <v>Middle</v>
      </c>
      <c r="K11" s="8" t="str" cm="1">
        <f t="array" ref="K11">_xlfn.IFS(Table3[[#This Row],[Drug_Cost_GBP]] &gt; 1200, "High Cost", Table3[[#This Row],[Drug_Cost_GBP]] &lt; 1200, "Normal")</f>
        <v>High Cost</v>
      </c>
      <c r="L11" s="8" t="str" cm="1">
        <f t="array" ref="L11">IFERROR(_xlfn.IFS(Table3[[#This Row],[Age (Years)]]  &gt; 75, "YES", Table3[[#This Row],[Age (Years)]] &lt; 75, "NO"), "UNKNOWN")</f>
        <v>YES</v>
      </c>
      <c r="M11" s="8" t="str">
        <f>IF(Table3[[#This Row],[Drug_Cost_GBP]] &gt; Analysis_Sheet!$B$21, "Above Average", "Within Average")</f>
        <v>Above Average</v>
      </c>
      <c r="N11" s="39" t="str">
        <f t="shared" si="0"/>
        <v>July 2024</v>
      </c>
    </row>
    <row r="12" spans="1:14" x14ac:dyDescent="0.3">
      <c r="A12" s="5" t="s">
        <v>285</v>
      </c>
      <c r="B12" s="18">
        <v>93</v>
      </c>
      <c r="C12" s="6" t="s">
        <v>900</v>
      </c>
      <c r="D12" s="6" t="s">
        <v>898</v>
      </c>
      <c r="E12" s="6" t="s">
        <v>23</v>
      </c>
      <c r="F12" s="7">
        <v>45307</v>
      </c>
      <c r="G12" s="6">
        <v>3</v>
      </c>
      <c r="H12" s="14">
        <v>1081.83</v>
      </c>
      <c r="I12" s="8" t="s">
        <v>12</v>
      </c>
      <c r="J12" s="8" t="str" cm="1">
        <f t="array" ref="J12">_xlfn.IFS(Table3[[#This Row],[Age (Years)]] &lt; 40, "Young", Table3[[#This Row],[Age (Years)]] &gt;= 40, "Middle", Table3[[#This Row],[Age (Years)]] &gt; 60, "Senior")</f>
        <v>Middle</v>
      </c>
      <c r="K12" s="8" t="str" cm="1">
        <f t="array" ref="K12">_xlfn.IFS(Table3[[#This Row],[Drug_Cost_GBP]] &gt; 1200, "High Cost", Table3[[#This Row],[Drug_Cost_GBP]] &lt; 1200, "Normal")</f>
        <v>Normal</v>
      </c>
      <c r="L12" s="8" t="str" cm="1">
        <f t="array" ref="L12">IFERROR(_xlfn.IFS(Table3[[#This Row],[Age (Years)]]  &gt; 75, "YES", Table3[[#This Row],[Age (Years)]] &lt; 75, "NO"), "UNKNOWN")</f>
        <v>YES</v>
      </c>
      <c r="M12" s="8" t="str">
        <f>IF(Table3[[#This Row],[Drug_Cost_GBP]] &gt; Analysis_Sheet!$B$21, "Above Average", "Within Average")</f>
        <v>Above Average</v>
      </c>
      <c r="N12" s="39" t="str">
        <f t="shared" si="0"/>
        <v>January 2024</v>
      </c>
    </row>
    <row r="13" spans="1:14" x14ac:dyDescent="0.3">
      <c r="A13" s="5" t="s">
        <v>399</v>
      </c>
      <c r="B13" s="18">
        <v>93</v>
      </c>
      <c r="C13" s="6" t="s">
        <v>899</v>
      </c>
      <c r="D13" s="6" t="s">
        <v>25</v>
      </c>
      <c r="E13" s="6" t="s">
        <v>43</v>
      </c>
      <c r="F13" s="7" t="s">
        <v>900</v>
      </c>
      <c r="G13" s="6">
        <v>12</v>
      </c>
      <c r="H13" s="14">
        <v>877.29</v>
      </c>
      <c r="I13" s="8" t="s">
        <v>26</v>
      </c>
      <c r="J13" s="8" t="str" cm="1">
        <f t="array" ref="J13">_xlfn.IFS(Table3[[#This Row],[Age (Years)]] &lt; 40, "Young", Table3[[#This Row],[Age (Years)]] &gt;= 40, "Middle", Table3[[#This Row],[Age (Years)]] &gt; 60, "Senior")</f>
        <v>Middle</v>
      </c>
      <c r="K13" s="8" t="str" cm="1">
        <f t="array" ref="K13">_xlfn.IFS(Table3[[#This Row],[Drug_Cost_GBP]] &gt; 1200, "High Cost", Table3[[#This Row],[Drug_Cost_GBP]] &lt; 1200, "Normal")</f>
        <v>Normal</v>
      </c>
      <c r="L13" s="8" t="str" cm="1">
        <f t="array" ref="L13">IFERROR(_xlfn.IFS(Table3[[#This Row],[Age (Years)]]  &gt; 75, "YES", Table3[[#This Row],[Age (Years)]] &lt; 75, "NO"), "UNKNOWN")</f>
        <v>YES</v>
      </c>
      <c r="M13" s="8" t="str">
        <f>IF(Table3[[#This Row],[Drug_Cost_GBP]] &gt; Analysis_Sheet!$B$21, "Above Average", "Within Average")</f>
        <v>Within Average</v>
      </c>
      <c r="N13" s="39" t="str">
        <f t="shared" si="0"/>
        <v>Unknown</v>
      </c>
    </row>
    <row r="14" spans="1:14" x14ac:dyDescent="0.3">
      <c r="A14" s="1" t="s">
        <v>47</v>
      </c>
      <c r="B14" s="17">
        <v>92</v>
      </c>
      <c r="C14" s="2" t="s">
        <v>899</v>
      </c>
      <c r="D14" s="2" t="s">
        <v>48</v>
      </c>
      <c r="E14" s="2" t="s">
        <v>43</v>
      </c>
      <c r="F14" s="3">
        <v>45486</v>
      </c>
      <c r="G14" s="2">
        <v>20</v>
      </c>
      <c r="H14" s="13">
        <v>1002.0675517241378</v>
      </c>
      <c r="I14" s="4" t="s">
        <v>900</v>
      </c>
      <c r="J14" s="8" t="str" cm="1">
        <f t="array" ref="J14">_xlfn.IFS(Table3[[#This Row],[Age (Years)]] &lt; 40, "Young", Table3[[#This Row],[Age (Years)]] &gt;= 40, "Middle", Table3[[#This Row],[Age (Years)]] &gt; 60, "Senior")</f>
        <v>Middle</v>
      </c>
      <c r="K14" s="8" t="str" cm="1">
        <f t="array" ref="K14">_xlfn.IFS(Table3[[#This Row],[Drug_Cost_GBP]] &gt; 1200, "High Cost", Table3[[#This Row],[Drug_Cost_GBP]] &lt; 1200, "Normal")</f>
        <v>Normal</v>
      </c>
      <c r="L14" s="8" t="str" cm="1">
        <f t="array" ref="L14">IFERROR(_xlfn.IFS(Table3[[#This Row],[Age (Years)]]  &gt; 75, "YES", Table3[[#This Row],[Age (Years)]] &lt; 75, "NO"), "UNKNOWN")</f>
        <v>YES</v>
      </c>
      <c r="M14" s="8" t="str">
        <f>IF(Table3[[#This Row],[Drug_Cost_GBP]] &gt; Analysis_Sheet!$B$21, "Above Average", "Within Average")</f>
        <v>Within Average</v>
      </c>
      <c r="N14" s="39" t="str">
        <f t="shared" si="0"/>
        <v>July 2024</v>
      </c>
    </row>
    <row r="15" spans="1:14" x14ac:dyDescent="0.3">
      <c r="A15" s="5" t="s">
        <v>425</v>
      </c>
      <c r="B15" s="18">
        <v>92</v>
      </c>
      <c r="C15" s="6" t="s">
        <v>899</v>
      </c>
      <c r="D15" s="6" t="s">
        <v>48</v>
      </c>
      <c r="E15" s="6" t="s">
        <v>34</v>
      </c>
      <c r="F15" s="7">
        <v>45426</v>
      </c>
      <c r="G15" s="6">
        <v>12</v>
      </c>
      <c r="H15" s="14">
        <v>1002.0675517241378</v>
      </c>
      <c r="I15" s="8" t="s">
        <v>21</v>
      </c>
      <c r="J15" s="8" t="str" cm="1">
        <f t="array" ref="J15">_xlfn.IFS(Table3[[#This Row],[Age (Years)]] &lt; 40, "Young", Table3[[#This Row],[Age (Years)]] &gt;= 40, "Middle", Table3[[#This Row],[Age (Years)]] &gt; 60, "Senior")</f>
        <v>Middle</v>
      </c>
      <c r="K15" s="8" t="str" cm="1">
        <f t="array" ref="K15">_xlfn.IFS(Table3[[#This Row],[Drug_Cost_GBP]] &gt; 1200, "High Cost", Table3[[#This Row],[Drug_Cost_GBP]] &lt; 1200, "Normal")</f>
        <v>Normal</v>
      </c>
      <c r="L15" s="8" t="str" cm="1">
        <f t="array" ref="L15">IFERROR(_xlfn.IFS(Table3[[#This Row],[Age (Years)]]  &gt; 75, "YES", Table3[[#This Row],[Age (Years)]] &lt; 75, "NO"), "UNKNOWN")</f>
        <v>YES</v>
      </c>
      <c r="M15" s="8" t="str">
        <f>IF(Table3[[#This Row],[Drug_Cost_GBP]] &gt; Analysis_Sheet!$B$21, "Above Average", "Within Average")</f>
        <v>Within Average</v>
      </c>
      <c r="N15" s="39" t="str">
        <f t="shared" si="0"/>
        <v>May 2024</v>
      </c>
    </row>
    <row r="16" spans="1:14" x14ac:dyDescent="0.3">
      <c r="A16" s="5" t="s">
        <v>565</v>
      </c>
      <c r="B16" s="18">
        <v>92</v>
      </c>
      <c r="C16" s="6" t="s">
        <v>899</v>
      </c>
      <c r="D16" s="6" t="s">
        <v>898</v>
      </c>
      <c r="E16" s="6" t="s">
        <v>11</v>
      </c>
      <c r="F16" s="7">
        <v>45351</v>
      </c>
      <c r="G16" s="6">
        <v>12</v>
      </c>
      <c r="H16" s="14">
        <v>450.32</v>
      </c>
      <c r="I16" s="8" t="s">
        <v>12</v>
      </c>
      <c r="J16" s="8" t="str" cm="1">
        <f t="array" ref="J16">_xlfn.IFS(Table3[[#This Row],[Age (Years)]] &lt; 40, "Young", Table3[[#This Row],[Age (Years)]] &gt;= 40, "Middle", Table3[[#This Row],[Age (Years)]] &gt; 60, "Senior")</f>
        <v>Middle</v>
      </c>
      <c r="K16" s="8" t="str" cm="1">
        <f t="array" ref="K16">_xlfn.IFS(Table3[[#This Row],[Drug_Cost_GBP]] &gt; 1200, "High Cost", Table3[[#This Row],[Drug_Cost_GBP]] &lt; 1200, "Normal")</f>
        <v>Normal</v>
      </c>
      <c r="L16" s="8" t="str" cm="1">
        <f t="array" ref="L16">IFERROR(_xlfn.IFS(Table3[[#This Row],[Age (Years)]]  &gt; 75, "YES", Table3[[#This Row],[Age (Years)]] &lt; 75, "NO"), "UNKNOWN")</f>
        <v>YES</v>
      </c>
      <c r="M16" s="8" t="str">
        <f>IF(Table3[[#This Row],[Drug_Cost_GBP]] &gt; Analysis_Sheet!$B$21, "Above Average", "Within Average")</f>
        <v>Within Average</v>
      </c>
      <c r="N16" s="39" t="str">
        <f t="shared" si="0"/>
        <v>February 2024</v>
      </c>
    </row>
    <row r="17" spans="1:14" x14ac:dyDescent="0.3">
      <c r="A17" s="5" t="s">
        <v>707</v>
      </c>
      <c r="B17" s="18">
        <v>92</v>
      </c>
      <c r="C17" s="6" t="s">
        <v>900</v>
      </c>
      <c r="D17" s="6" t="s">
        <v>898</v>
      </c>
      <c r="E17" s="6" t="s">
        <v>23</v>
      </c>
      <c r="F17" s="7">
        <v>45587</v>
      </c>
      <c r="G17" s="6">
        <v>12</v>
      </c>
      <c r="H17" s="14">
        <v>1002.0675517241378</v>
      </c>
      <c r="I17" s="8" t="s">
        <v>900</v>
      </c>
      <c r="J17" s="8" t="str" cm="1">
        <f t="array" ref="J17">_xlfn.IFS(Table3[[#This Row],[Age (Years)]] &lt; 40, "Young", Table3[[#This Row],[Age (Years)]] &gt;= 40, "Middle", Table3[[#This Row],[Age (Years)]] &gt; 60, "Senior")</f>
        <v>Middle</v>
      </c>
      <c r="K17" s="8" t="str" cm="1">
        <f t="array" ref="K17">_xlfn.IFS(Table3[[#This Row],[Drug_Cost_GBP]] &gt; 1200, "High Cost", Table3[[#This Row],[Drug_Cost_GBP]] &lt; 1200, "Normal")</f>
        <v>Normal</v>
      </c>
      <c r="L17" s="8" t="str" cm="1">
        <f t="array" ref="L17">IFERROR(_xlfn.IFS(Table3[[#This Row],[Age (Years)]]  &gt; 75, "YES", Table3[[#This Row],[Age (Years)]] &lt; 75, "NO"), "UNKNOWN")</f>
        <v>YES</v>
      </c>
      <c r="M17" s="8" t="str">
        <f>IF(Table3[[#This Row],[Drug_Cost_GBP]] &gt; Analysis_Sheet!$B$21, "Above Average", "Within Average")</f>
        <v>Within Average</v>
      </c>
      <c r="N17" s="39" t="str">
        <f t="shared" si="0"/>
        <v>October 2024</v>
      </c>
    </row>
    <row r="18" spans="1:14" x14ac:dyDescent="0.3">
      <c r="A18" s="5" t="s">
        <v>32</v>
      </c>
      <c r="B18" s="18">
        <v>91</v>
      </c>
      <c r="C18" s="6" t="s">
        <v>900</v>
      </c>
      <c r="D18" s="6" t="s">
        <v>898</v>
      </c>
      <c r="E18" s="6" t="s">
        <v>34</v>
      </c>
      <c r="F18" s="7">
        <v>45600</v>
      </c>
      <c r="G18" s="6">
        <v>2</v>
      </c>
      <c r="H18" s="14">
        <v>1002.0675517241378</v>
      </c>
      <c r="I18" s="8" t="s">
        <v>21</v>
      </c>
      <c r="J18" s="4" t="str" cm="1">
        <f t="array" ref="J18">_xlfn.IFS(Table3[[#This Row],[Age (Years)]] &lt; 40, "Young", Table3[[#This Row],[Age (Years)]] &gt;= 40, "Middle", Table3[[#This Row],[Age (Years)]] &gt; 60, "Senior")</f>
        <v>Middle</v>
      </c>
      <c r="K18" s="4" t="str" cm="1">
        <f t="array" ref="K18">_xlfn.IFS(Table3[[#This Row],[Drug_Cost_GBP]] &gt; 1200, "High Cost", Table3[[#This Row],[Drug_Cost_GBP]] &lt; 1200, "Normal")</f>
        <v>Normal</v>
      </c>
      <c r="L18" s="4" t="str" cm="1">
        <f t="array" ref="L18">IFERROR(_xlfn.IFS(Table3[[#This Row],[Age (Years)]]  &gt; 75, "YES", Table3[[#This Row],[Age (Years)]] &lt; 75, "NO"), "UNKNOWN")</f>
        <v>YES</v>
      </c>
      <c r="M18" s="4" t="str">
        <f>IF(Table3[[#This Row],[Drug_Cost_GBP]] &gt; Analysis_Sheet!$B$21, "Above Average", "Within Average")</f>
        <v>Within Average</v>
      </c>
      <c r="N18" s="39" t="str">
        <f t="shared" si="0"/>
        <v>November 2024</v>
      </c>
    </row>
    <row r="19" spans="1:14" x14ac:dyDescent="0.3">
      <c r="A19" s="1" t="s">
        <v>580</v>
      </c>
      <c r="B19" s="17">
        <v>91</v>
      </c>
      <c r="C19" s="2" t="s">
        <v>38</v>
      </c>
      <c r="D19" s="2" t="s">
        <v>19</v>
      </c>
      <c r="E19" s="2" t="s">
        <v>11</v>
      </c>
      <c r="F19" s="3" t="s">
        <v>900</v>
      </c>
      <c r="G19" s="2">
        <v>12</v>
      </c>
      <c r="H19" s="13">
        <v>1744.92</v>
      </c>
      <c r="I19" s="4" t="s">
        <v>21</v>
      </c>
      <c r="J19" s="8" t="str" cm="1">
        <f t="array" ref="J19">_xlfn.IFS(Table3[[#This Row],[Age (Years)]] &lt; 40, "Young", Table3[[#This Row],[Age (Years)]] &gt;= 40, "Middle", Table3[[#This Row],[Age (Years)]] &gt; 60, "Senior")</f>
        <v>Middle</v>
      </c>
      <c r="K19" s="8" t="str" cm="1">
        <f t="array" ref="K19">_xlfn.IFS(Table3[[#This Row],[Drug_Cost_GBP]] &gt; 1200, "High Cost", Table3[[#This Row],[Drug_Cost_GBP]] &lt; 1200, "Normal")</f>
        <v>High Cost</v>
      </c>
      <c r="L19" s="8" t="str" cm="1">
        <f t="array" ref="L19">IFERROR(_xlfn.IFS(Table3[[#This Row],[Age (Years)]]  &gt; 75, "YES", Table3[[#This Row],[Age (Years)]] &lt; 75, "NO"), "UNKNOWN")</f>
        <v>YES</v>
      </c>
      <c r="M19" s="8" t="str">
        <f>IF(Table3[[#This Row],[Drug_Cost_GBP]] &gt; Analysis_Sheet!$B$21, "Above Average", "Within Average")</f>
        <v>Above Average</v>
      </c>
      <c r="N19" s="39" t="str">
        <f t="shared" si="0"/>
        <v>Unknown</v>
      </c>
    </row>
    <row r="20" spans="1:14" x14ac:dyDescent="0.3">
      <c r="A20" s="5" t="s">
        <v>795</v>
      </c>
      <c r="B20" s="18">
        <v>91</v>
      </c>
      <c r="C20" s="6" t="s">
        <v>38</v>
      </c>
      <c r="D20" s="6" t="s">
        <v>25</v>
      </c>
      <c r="E20" s="6" t="s">
        <v>11</v>
      </c>
      <c r="F20" s="7" t="s">
        <v>900</v>
      </c>
      <c r="G20" s="6">
        <v>16</v>
      </c>
      <c r="H20" s="14">
        <v>1002.0675517241378</v>
      </c>
      <c r="I20" s="8" t="s">
        <v>900</v>
      </c>
      <c r="J20" s="4" t="str" cm="1">
        <f t="array" ref="J20">_xlfn.IFS(Table3[[#This Row],[Age (Years)]] &lt; 40, "Young", Table3[[#This Row],[Age (Years)]] &gt;= 40, "Middle", Table3[[#This Row],[Age (Years)]] &gt; 60, "Senior")</f>
        <v>Middle</v>
      </c>
      <c r="K20" s="4" t="str" cm="1">
        <f t="array" ref="K20">_xlfn.IFS(Table3[[#This Row],[Drug_Cost_GBP]] &gt; 1200, "High Cost", Table3[[#This Row],[Drug_Cost_GBP]] &lt; 1200, "Normal")</f>
        <v>Normal</v>
      </c>
      <c r="L20" s="4" t="str" cm="1">
        <f t="array" ref="L20">IFERROR(_xlfn.IFS(Table3[[#This Row],[Age (Years)]]  &gt; 75, "YES", Table3[[#This Row],[Age (Years)]] &lt; 75, "NO"), "UNKNOWN")</f>
        <v>YES</v>
      </c>
      <c r="M20" s="4" t="str">
        <f>IF(Table3[[#This Row],[Drug_Cost_GBP]] &gt; Analysis_Sheet!$B$21, "Above Average", "Within Average")</f>
        <v>Within Average</v>
      </c>
      <c r="N20" s="39" t="str">
        <f t="shared" si="0"/>
        <v>Unknown</v>
      </c>
    </row>
    <row r="21" spans="1:14" x14ac:dyDescent="0.3">
      <c r="A21" s="1" t="s">
        <v>870</v>
      </c>
      <c r="B21" s="17">
        <v>91</v>
      </c>
      <c r="C21" s="2" t="s">
        <v>38</v>
      </c>
      <c r="D21" s="2" t="s">
        <v>51</v>
      </c>
      <c r="E21" s="2" t="s">
        <v>43</v>
      </c>
      <c r="F21" s="3">
        <v>45521</v>
      </c>
      <c r="G21" s="2">
        <v>12</v>
      </c>
      <c r="H21" s="13">
        <v>787.12</v>
      </c>
      <c r="I21" s="4" t="s">
        <v>26</v>
      </c>
      <c r="J21" s="4" t="str" cm="1">
        <f t="array" ref="J21">_xlfn.IFS(Table3[[#This Row],[Age (Years)]] &lt; 40, "Young", Table3[[#This Row],[Age (Years)]] &gt;= 40, "Middle", Table3[[#This Row],[Age (Years)]] &gt; 60, "Senior")</f>
        <v>Middle</v>
      </c>
      <c r="K21" s="4" t="str" cm="1">
        <f t="array" ref="K21">_xlfn.IFS(Table3[[#This Row],[Drug_Cost_GBP]] &gt; 1200, "High Cost", Table3[[#This Row],[Drug_Cost_GBP]] &lt; 1200, "Normal")</f>
        <v>Normal</v>
      </c>
      <c r="L21" s="4" t="str" cm="1">
        <f t="array" ref="L21">IFERROR(_xlfn.IFS(Table3[[#This Row],[Age (Years)]]  &gt; 75, "YES", Table3[[#This Row],[Age (Years)]] &lt; 75, "NO"), "UNKNOWN")</f>
        <v>YES</v>
      </c>
      <c r="M21" s="4" t="str">
        <f>IF(Table3[[#This Row],[Drug_Cost_GBP]] &gt; Analysis_Sheet!$B$21, "Above Average", "Within Average")</f>
        <v>Within Average</v>
      </c>
      <c r="N21" s="39" t="str">
        <f t="shared" si="0"/>
        <v>August 2024</v>
      </c>
    </row>
    <row r="22" spans="1:14" x14ac:dyDescent="0.3">
      <c r="A22" s="1" t="s">
        <v>128</v>
      </c>
      <c r="B22" s="17">
        <v>89</v>
      </c>
      <c r="C22" s="2" t="s">
        <v>899</v>
      </c>
      <c r="D22" s="2" t="s">
        <v>898</v>
      </c>
      <c r="E22" s="2" t="s">
        <v>34</v>
      </c>
      <c r="F22" s="3">
        <v>45380</v>
      </c>
      <c r="G22" s="2">
        <v>12</v>
      </c>
      <c r="H22" s="13">
        <v>502.99</v>
      </c>
      <c r="I22" s="4" t="s">
        <v>16</v>
      </c>
      <c r="J22" s="8" t="str" cm="1">
        <f t="array" ref="J22">_xlfn.IFS(Table3[[#This Row],[Age (Years)]] &lt; 40, "Young", Table3[[#This Row],[Age (Years)]] &gt;= 40, "Middle", Table3[[#This Row],[Age (Years)]] &gt; 60, "Senior")</f>
        <v>Middle</v>
      </c>
      <c r="K22" s="8" t="str" cm="1">
        <f t="array" ref="K22">_xlfn.IFS(Table3[[#This Row],[Drug_Cost_GBP]] &gt; 1200, "High Cost", Table3[[#This Row],[Drug_Cost_GBP]] &lt; 1200, "Normal")</f>
        <v>Normal</v>
      </c>
      <c r="L22" s="8" t="str" cm="1">
        <f t="array" ref="L22">IFERROR(_xlfn.IFS(Table3[[#This Row],[Age (Years)]]  &gt; 75, "YES", Table3[[#This Row],[Age (Years)]] &lt; 75, "NO"), "UNKNOWN")</f>
        <v>YES</v>
      </c>
      <c r="M22" s="8" t="str">
        <f>IF(Table3[[#This Row],[Drug_Cost_GBP]] &gt; Analysis_Sheet!$B$21, "Above Average", "Within Average")</f>
        <v>Within Average</v>
      </c>
      <c r="N22" s="39" t="str">
        <f t="shared" si="0"/>
        <v>March 2024</v>
      </c>
    </row>
    <row r="23" spans="1:14" x14ac:dyDescent="0.3">
      <c r="A23" s="5" t="s">
        <v>607</v>
      </c>
      <c r="B23" s="18">
        <v>88</v>
      </c>
      <c r="C23" s="6" t="s">
        <v>38</v>
      </c>
      <c r="D23" s="6" t="s">
        <v>48</v>
      </c>
      <c r="E23" s="6" t="s">
        <v>23</v>
      </c>
      <c r="F23" s="7">
        <v>45381</v>
      </c>
      <c r="G23" s="6">
        <v>6</v>
      </c>
      <c r="H23" s="14">
        <v>1002.0675517241378</v>
      </c>
      <c r="I23" s="8" t="s">
        <v>900</v>
      </c>
      <c r="J23" s="8" t="str" cm="1">
        <f t="array" ref="J23">_xlfn.IFS(Table3[[#This Row],[Age (Years)]] &lt; 40, "Young", Table3[[#This Row],[Age (Years)]] &gt;= 40, "Middle", Table3[[#This Row],[Age (Years)]] &gt; 60, "Senior")</f>
        <v>Middle</v>
      </c>
      <c r="K23" s="8" t="str" cm="1">
        <f t="array" ref="K23">_xlfn.IFS(Table3[[#This Row],[Drug_Cost_GBP]] &gt; 1200, "High Cost", Table3[[#This Row],[Drug_Cost_GBP]] &lt; 1200, "Normal")</f>
        <v>Normal</v>
      </c>
      <c r="L23" s="8" t="str" cm="1">
        <f t="array" ref="L23">IFERROR(_xlfn.IFS(Table3[[#This Row],[Age (Years)]]  &gt; 75, "YES", Table3[[#This Row],[Age (Years)]] &lt; 75, "NO"), "UNKNOWN")</f>
        <v>YES</v>
      </c>
      <c r="M23" s="8" t="str">
        <f>IF(Table3[[#This Row],[Drug_Cost_GBP]] &gt; Analysis_Sheet!$B$21, "Above Average", "Within Average")</f>
        <v>Within Average</v>
      </c>
      <c r="N23" s="39" t="str">
        <f t="shared" si="0"/>
        <v>March 2024</v>
      </c>
    </row>
    <row r="24" spans="1:14" x14ac:dyDescent="0.3">
      <c r="A24" s="5" t="s">
        <v>645</v>
      </c>
      <c r="B24" s="18">
        <v>88</v>
      </c>
      <c r="C24" s="6" t="s">
        <v>899</v>
      </c>
      <c r="D24" s="6" t="s">
        <v>10</v>
      </c>
      <c r="E24" s="6" t="s">
        <v>43</v>
      </c>
      <c r="F24" s="7" t="s">
        <v>900</v>
      </c>
      <c r="G24" s="6">
        <v>12</v>
      </c>
      <c r="H24" s="14">
        <v>879.82</v>
      </c>
      <c r="I24" s="8" t="s">
        <v>26</v>
      </c>
      <c r="J24" s="4" t="str" cm="1">
        <f t="array" ref="J24">_xlfn.IFS(Table3[[#This Row],[Age (Years)]] &lt; 40, "Young", Table3[[#This Row],[Age (Years)]] &gt;= 40, "Middle", Table3[[#This Row],[Age (Years)]] &gt; 60, "Senior")</f>
        <v>Middle</v>
      </c>
      <c r="K24" s="4" t="str" cm="1">
        <f t="array" ref="K24">_xlfn.IFS(Table3[[#This Row],[Drug_Cost_GBP]] &gt; 1200, "High Cost", Table3[[#This Row],[Drug_Cost_GBP]] &lt; 1200, "Normal")</f>
        <v>Normal</v>
      </c>
      <c r="L24" s="4" t="str" cm="1">
        <f t="array" ref="L24">IFERROR(_xlfn.IFS(Table3[[#This Row],[Age (Years)]]  &gt; 75, "YES", Table3[[#This Row],[Age (Years)]] &lt; 75, "NO"), "UNKNOWN")</f>
        <v>YES</v>
      </c>
      <c r="M24" s="4" t="str">
        <f>IF(Table3[[#This Row],[Drug_Cost_GBP]] &gt; Analysis_Sheet!$B$21, "Above Average", "Within Average")</f>
        <v>Within Average</v>
      </c>
      <c r="N24" s="39" t="str">
        <f t="shared" si="0"/>
        <v>Unknown</v>
      </c>
    </row>
    <row r="25" spans="1:14" x14ac:dyDescent="0.3">
      <c r="A25" s="5" t="s">
        <v>95</v>
      </c>
      <c r="B25" s="18">
        <v>87</v>
      </c>
      <c r="C25" s="6" t="s">
        <v>899</v>
      </c>
      <c r="D25" s="6" t="s">
        <v>14</v>
      </c>
      <c r="E25" s="6" t="s">
        <v>57</v>
      </c>
      <c r="F25" s="7">
        <v>45491</v>
      </c>
      <c r="G25" s="6">
        <v>12</v>
      </c>
      <c r="H25" s="14">
        <v>387.49</v>
      </c>
      <c r="I25" s="8" t="s">
        <v>900</v>
      </c>
      <c r="J25" s="4" t="str" cm="1">
        <f t="array" ref="J25">_xlfn.IFS(Table3[[#This Row],[Age (Years)]] &lt; 40, "Young", Table3[[#This Row],[Age (Years)]] &gt;= 40, "Middle", Table3[[#This Row],[Age (Years)]] &gt; 60, "Senior")</f>
        <v>Middle</v>
      </c>
      <c r="K25" s="4" t="str" cm="1">
        <f t="array" ref="K25">_xlfn.IFS(Table3[[#This Row],[Drug_Cost_GBP]] &gt; 1200, "High Cost", Table3[[#This Row],[Drug_Cost_GBP]] &lt; 1200, "Normal")</f>
        <v>Normal</v>
      </c>
      <c r="L25" s="4" t="str" cm="1">
        <f t="array" ref="L25">IFERROR(_xlfn.IFS(Table3[[#This Row],[Age (Years)]]  &gt; 75, "YES", Table3[[#This Row],[Age (Years)]] &lt; 75, "NO"), "UNKNOWN")</f>
        <v>YES</v>
      </c>
      <c r="M25" s="4" t="str">
        <f>IF(Table3[[#This Row],[Drug_Cost_GBP]] &gt; Analysis_Sheet!$B$21, "Above Average", "Within Average")</f>
        <v>Within Average</v>
      </c>
      <c r="N25" s="39" t="str">
        <f t="shared" si="0"/>
        <v>July 2024</v>
      </c>
    </row>
    <row r="26" spans="1:14" x14ac:dyDescent="0.3">
      <c r="A26" s="1" t="s">
        <v>214</v>
      </c>
      <c r="B26" s="17">
        <v>87</v>
      </c>
      <c r="C26" s="2" t="s">
        <v>900</v>
      </c>
      <c r="D26" s="2" t="s">
        <v>19</v>
      </c>
      <c r="E26" s="2" t="s">
        <v>43</v>
      </c>
      <c r="F26" s="3">
        <v>45477</v>
      </c>
      <c r="G26" s="2">
        <v>12</v>
      </c>
      <c r="H26" s="13">
        <v>1002.0675517241378</v>
      </c>
      <c r="I26" s="4" t="s">
        <v>21</v>
      </c>
      <c r="J26" s="8" t="str" cm="1">
        <f t="array" ref="J26">_xlfn.IFS(Table3[[#This Row],[Age (Years)]] &lt; 40, "Young", Table3[[#This Row],[Age (Years)]] &gt;= 40, "Middle", Table3[[#This Row],[Age (Years)]] &gt; 60, "Senior")</f>
        <v>Middle</v>
      </c>
      <c r="K26" s="8" t="str" cm="1">
        <f t="array" ref="K26">_xlfn.IFS(Table3[[#This Row],[Drug_Cost_GBP]] &gt; 1200, "High Cost", Table3[[#This Row],[Drug_Cost_GBP]] &lt; 1200, "Normal")</f>
        <v>Normal</v>
      </c>
      <c r="L26" s="8" t="str" cm="1">
        <f t="array" ref="L26">IFERROR(_xlfn.IFS(Table3[[#This Row],[Age (Years)]]  &gt; 75, "YES", Table3[[#This Row],[Age (Years)]] &lt; 75, "NO"), "UNKNOWN")</f>
        <v>YES</v>
      </c>
      <c r="M26" s="8" t="str">
        <f>IF(Table3[[#This Row],[Drug_Cost_GBP]] &gt; Analysis_Sheet!$B$21, "Above Average", "Within Average")</f>
        <v>Within Average</v>
      </c>
      <c r="N26" s="39" t="str">
        <f t="shared" si="0"/>
        <v>July 2024</v>
      </c>
    </row>
    <row r="27" spans="1:14" x14ac:dyDescent="0.3">
      <c r="A27" s="5" t="s">
        <v>277</v>
      </c>
      <c r="B27" s="18">
        <v>87</v>
      </c>
      <c r="C27" s="6" t="s">
        <v>900</v>
      </c>
      <c r="D27" s="6" t="s">
        <v>48</v>
      </c>
      <c r="E27" s="6" t="s">
        <v>11</v>
      </c>
      <c r="F27" s="7">
        <v>45331</v>
      </c>
      <c r="G27" s="6">
        <v>5</v>
      </c>
      <c r="H27" s="14">
        <v>791.73</v>
      </c>
      <c r="I27" s="8" t="s">
        <v>21</v>
      </c>
      <c r="J27" s="8" t="str" cm="1">
        <f t="array" ref="J27">_xlfn.IFS(Table3[[#This Row],[Age (Years)]] &lt; 40, "Young", Table3[[#This Row],[Age (Years)]] &gt;= 40, "Middle", Table3[[#This Row],[Age (Years)]] &gt; 60, "Senior")</f>
        <v>Middle</v>
      </c>
      <c r="K27" s="8" t="str" cm="1">
        <f t="array" ref="K27">_xlfn.IFS(Table3[[#This Row],[Drug_Cost_GBP]] &gt; 1200, "High Cost", Table3[[#This Row],[Drug_Cost_GBP]] &lt; 1200, "Normal")</f>
        <v>Normal</v>
      </c>
      <c r="L27" s="8" t="str" cm="1">
        <f t="array" ref="L27">IFERROR(_xlfn.IFS(Table3[[#This Row],[Age (Years)]]  &gt; 75, "YES", Table3[[#This Row],[Age (Years)]] &lt; 75, "NO"), "UNKNOWN")</f>
        <v>YES</v>
      </c>
      <c r="M27" s="8" t="str">
        <f>IF(Table3[[#This Row],[Drug_Cost_GBP]] &gt; Analysis_Sheet!$B$21, "Above Average", "Within Average")</f>
        <v>Within Average</v>
      </c>
      <c r="N27" s="39" t="str">
        <f t="shared" si="0"/>
        <v>February 2024</v>
      </c>
    </row>
    <row r="28" spans="1:14" x14ac:dyDescent="0.3">
      <c r="A28" s="5" t="s">
        <v>485</v>
      </c>
      <c r="B28" s="18">
        <v>87</v>
      </c>
      <c r="C28" s="6" t="s">
        <v>899</v>
      </c>
      <c r="D28" s="6" t="s">
        <v>19</v>
      </c>
      <c r="E28" s="6" t="s">
        <v>43</v>
      </c>
      <c r="F28" s="7">
        <v>45515</v>
      </c>
      <c r="G28" s="6">
        <v>10</v>
      </c>
      <c r="H28" s="14">
        <v>1002.0675517241378</v>
      </c>
      <c r="I28" s="8" t="s">
        <v>900</v>
      </c>
      <c r="J28" s="4" t="str" cm="1">
        <f t="array" ref="J28">_xlfn.IFS(Table3[[#This Row],[Age (Years)]] &lt; 40, "Young", Table3[[#This Row],[Age (Years)]] &gt;= 40, "Middle", Table3[[#This Row],[Age (Years)]] &gt; 60, "Senior")</f>
        <v>Middle</v>
      </c>
      <c r="K28" s="4" t="str" cm="1">
        <f t="array" ref="K28">_xlfn.IFS(Table3[[#This Row],[Drug_Cost_GBP]] &gt; 1200, "High Cost", Table3[[#This Row],[Drug_Cost_GBP]] &lt; 1200, "Normal")</f>
        <v>Normal</v>
      </c>
      <c r="L28" s="4" t="str" cm="1">
        <f t="array" ref="L28">IFERROR(_xlfn.IFS(Table3[[#This Row],[Age (Years)]]  &gt; 75, "YES", Table3[[#This Row],[Age (Years)]] &lt; 75, "NO"), "UNKNOWN")</f>
        <v>YES</v>
      </c>
      <c r="M28" s="4" t="str">
        <f>IF(Table3[[#This Row],[Drug_Cost_GBP]] &gt; Analysis_Sheet!$B$21, "Above Average", "Within Average")</f>
        <v>Within Average</v>
      </c>
      <c r="N28" s="39" t="str">
        <f t="shared" si="0"/>
        <v>August 2024</v>
      </c>
    </row>
    <row r="29" spans="1:14" x14ac:dyDescent="0.3">
      <c r="A29" s="1" t="s">
        <v>730</v>
      </c>
      <c r="B29" s="17">
        <v>87</v>
      </c>
      <c r="C29" s="2" t="s">
        <v>899</v>
      </c>
      <c r="D29" s="2" t="s">
        <v>10</v>
      </c>
      <c r="E29" s="2" t="s">
        <v>29</v>
      </c>
      <c r="F29" s="3" t="s">
        <v>900</v>
      </c>
      <c r="G29" s="2">
        <v>12</v>
      </c>
      <c r="H29" s="13">
        <v>1002.0675517241378</v>
      </c>
      <c r="I29" s="4" t="s">
        <v>21</v>
      </c>
      <c r="J29" s="4" t="str" cm="1">
        <f t="array" ref="J29">_xlfn.IFS(Table3[[#This Row],[Age (Years)]] &lt; 40, "Young", Table3[[#This Row],[Age (Years)]] &gt;= 40, "Middle", Table3[[#This Row],[Age (Years)]] &gt; 60, "Senior")</f>
        <v>Middle</v>
      </c>
      <c r="K29" s="4" t="str" cm="1">
        <f t="array" ref="K29">_xlfn.IFS(Table3[[#This Row],[Drug_Cost_GBP]] &gt; 1200, "High Cost", Table3[[#This Row],[Drug_Cost_GBP]] &lt; 1200, "Normal")</f>
        <v>Normal</v>
      </c>
      <c r="L29" s="4" t="str" cm="1">
        <f t="array" ref="L29">IFERROR(_xlfn.IFS(Table3[[#This Row],[Age (Years)]]  &gt; 75, "YES", Table3[[#This Row],[Age (Years)]] &lt; 75, "NO"), "UNKNOWN")</f>
        <v>YES</v>
      </c>
      <c r="M29" s="4" t="str">
        <f>IF(Table3[[#This Row],[Drug_Cost_GBP]] &gt; Analysis_Sheet!$B$21, "Above Average", "Within Average")</f>
        <v>Within Average</v>
      </c>
      <c r="N29" s="39" t="str">
        <f t="shared" si="0"/>
        <v>Unknown</v>
      </c>
    </row>
    <row r="30" spans="1:14" x14ac:dyDescent="0.3">
      <c r="A30" s="1" t="s">
        <v>770</v>
      </c>
      <c r="B30" s="17">
        <v>87</v>
      </c>
      <c r="C30" s="2" t="s">
        <v>900</v>
      </c>
      <c r="D30" s="2" t="s">
        <v>51</v>
      </c>
      <c r="E30" s="2" t="s">
        <v>43</v>
      </c>
      <c r="F30" s="3">
        <v>45593</v>
      </c>
      <c r="G30" s="2">
        <v>12</v>
      </c>
      <c r="H30" s="13">
        <v>1002.0675517241378</v>
      </c>
      <c r="I30" s="4" t="s">
        <v>26</v>
      </c>
      <c r="J30" s="4" t="str" cm="1">
        <f t="array" ref="J30">_xlfn.IFS(Table3[[#This Row],[Age (Years)]] &lt; 40, "Young", Table3[[#This Row],[Age (Years)]] &gt;= 40, "Middle", Table3[[#This Row],[Age (Years)]] &gt; 60, "Senior")</f>
        <v>Middle</v>
      </c>
      <c r="K30" s="4" t="str" cm="1">
        <f t="array" ref="K30">_xlfn.IFS(Table3[[#This Row],[Drug_Cost_GBP]] &gt; 1200, "High Cost", Table3[[#This Row],[Drug_Cost_GBP]] &lt; 1200, "Normal")</f>
        <v>Normal</v>
      </c>
      <c r="L30" s="4" t="str" cm="1">
        <f t="array" ref="L30">IFERROR(_xlfn.IFS(Table3[[#This Row],[Age (Years)]]  &gt; 75, "YES", Table3[[#This Row],[Age (Years)]] &lt; 75, "NO"), "UNKNOWN")</f>
        <v>YES</v>
      </c>
      <c r="M30" s="4" t="str">
        <f>IF(Table3[[#This Row],[Drug_Cost_GBP]] &gt; Analysis_Sheet!$B$21, "Above Average", "Within Average")</f>
        <v>Within Average</v>
      </c>
      <c r="N30" s="39" t="str">
        <f t="shared" si="0"/>
        <v>October 2024</v>
      </c>
    </row>
    <row r="31" spans="1:14" x14ac:dyDescent="0.3">
      <c r="A31" s="1" t="s">
        <v>778</v>
      </c>
      <c r="B31" s="17">
        <v>87</v>
      </c>
      <c r="C31" s="2" t="s">
        <v>899</v>
      </c>
      <c r="D31" s="2" t="s">
        <v>51</v>
      </c>
      <c r="E31" s="2" t="s">
        <v>34</v>
      </c>
      <c r="F31" s="3" t="s">
        <v>900</v>
      </c>
      <c r="G31" s="2">
        <v>12</v>
      </c>
      <c r="H31" s="13">
        <v>1002.0675517241378</v>
      </c>
      <c r="I31" s="4" t="s">
        <v>21</v>
      </c>
      <c r="J31" s="8" t="str" cm="1">
        <f t="array" ref="J31">_xlfn.IFS(Table3[[#This Row],[Age (Years)]] &lt; 40, "Young", Table3[[#This Row],[Age (Years)]] &gt;= 40, "Middle", Table3[[#This Row],[Age (Years)]] &gt; 60, "Senior")</f>
        <v>Middle</v>
      </c>
      <c r="K31" s="8" t="str" cm="1">
        <f t="array" ref="K31">_xlfn.IFS(Table3[[#This Row],[Drug_Cost_GBP]] &gt; 1200, "High Cost", Table3[[#This Row],[Drug_Cost_GBP]] &lt; 1200, "Normal")</f>
        <v>Normal</v>
      </c>
      <c r="L31" s="8" t="str" cm="1">
        <f t="array" ref="L31">IFERROR(_xlfn.IFS(Table3[[#This Row],[Age (Years)]]  &gt; 75, "YES", Table3[[#This Row],[Age (Years)]] &lt; 75, "NO"), "UNKNOWN")</f>
        <v>YES</v>
      </c>
      <c r="M31" s="8" t="str">
        <f>IF(Table3[[#This Row],[Drug_Cost_GBP]] &gt; Analysis_Sheet!$B$21, "Above Average", "Within Average")</f>
        <v>Within Average</v>
      </c>
      <c r="N31" s="39" t="str">
        <f t="shared" si="0"/>
        <v>Unknown</v>
      </c>
    </row>
    <row r="32" spans="1:14" x14ac:dyDescent="0.3">
      <c r="A32" s="1" t="s">
        <v>378</v>
      </c>
      <c r="B32" s="17">
        <v>86</v>
      </c>
      <c r="C32" s="2" t="s">
        <v>900</v>
      </c>
      <c r="D32" s="2" t="s">
        <v>19</v>
      </c>
      <c r="E32" s="2" t="s">
        <v>43</v>
      </c>
      <c r="F32" s="3">
        <v>45332</v>
      </c>
      <c r="G32" s="2">
        <v>16</v>
      </c>
      <c r="H32" s="13">
        <v>1002.0675517241378</v>
      </c>
      <c r="I32" s="4" t="s">
        <v>21</v>
      </c>
      <c r="J32" s="8" t="str" cm="1">
        <f t="array" ref="J32">_xlfn.IFS(Table3[[#This Row],[Age (Years)]] &lt; 40, "Young", Table3[[#This Row],[Age (Years)]] &gt;= 40, "Middle", Table3[[#This Row],[Age (Years)]] &gt; 60, "Senior")</f>
        <v>Middle</v>
      </c>
      <c r="K32" s="8" t="str" cm="1">
        <f t="array" ref="K32">_xlfn.IFS(Table3[[#This Row],[Drug_Cost_GBP]] &gt; 1200, "High Cost", Table3[[#This Row],[Drug_Cost_GBP]] &lt; 1200, "Normal")</f>
        <v>Normal</v>
      </c>
      <c r="L32" s="8" t="str" cm="1">
        <f t="array" ref="L32">IFERROR(_xlfn.IFS(Table3[[#This Row],[Age (Years)]]  &gt; 75, "YES", Table3[[#This Row],[Age (Years)]] &lt; 75, "NO"), "UNKNOWN")</f>
        <v>YES</v>
      </c>
      <c r="M32" s="8" t="str">
        <f>IF(Table3[[#This Row],[Drug_Cost_GBP]] &gt; Analysis_Sheet!$B$21, "Above Average", "Within Average")</f>
        <v>Within Average</v>
      </c>
      <c r="N32" s="39" t="str">
        <f t="shared" si="0"/>
        <v>February 2024</v>
      </c>
    </row>
    <row r="33" spans="1:14" x14ac:dyDescent="0.3">
      <c r="A33" s="5" t="s">
        <v>543</v>
      </c>
      <c r="B33" s="18">
        <v>86</v>
      </c>
      <c r="C33" s="6" t="s">
        <v>38</v>
      </c>
      <c r="D33" s="6" t="s">
        <v>10</v>
      </c>
      <c r="E33" s="6" t="s">
        <v>57</v>
      </c>
      <c r="F33" s="7">
        <v>45600</v>
      </c>
      <c r="G33" s="6">
        <v>12</v>
      </c>
      <c r="H33" s="14">
        <v>147.22999999999999</v>
      </c>
      <c r="I33" s="8" t="s">
        <v>900</v>
      </c>
      <c r="J33" s="8" t="str" cm="1">
        <f t="array" ref="J33">_xlfn.IFS(Table3[[#This Row],[Age (Years)]] &lt; 40, "Young", Table3[[#This Row],[Age (Years)]] &gt;= 40, "Middle", Table3[[#This Row],[Age (Years)]] &gt; 60, "Senior")</f>
        <v>Middle</v>
      </c>
      <c r="K33" s="8" t="str" cm="1">
        <f t="array" ref="K33">_xlfn.IFS(Table3[[#This Row],[Drug_Cost_GBP]] &gt; 1200, "High Cost", Table3[[#This Row],[Drug_Cost_GBP]] &lt; 1200, "Normal")</f>
        <v>Normal</v>
      </c>
      <c r="L33" s="8" t="str" cm="1">
        <f t="array" ref="L33">IFERROR(_xlfn.IFS(Table3[[#This Row],[Age (Years)]]  &gt; 75, "YES", Table3[[#This Row],[Age (Years)]] &lt; 75, "NO"), "UNKNOWN")</f>
        <v>YES</v>
      </c>
      <c r="M33" s="8" t="str">
        <f>IF(Table3[[#This Row],[Drug_Cost_GBP]] &gt; Analysis_Sheet!$B$21, "Above Average", "Within Average")</f>
        <v>Within Average</v>
      </c>
      <c r="N33" s="39" t="str">
        <f t="shared" si="0"/>
        <v>November 2024</v>
      </c>
    </row>
    <row r="34" spans="1:14" x14ac:dyDescent="0.3">
      <c r="A34" s="5" t="s">
        <v>569</v>
      </c>
      <c r="B34" s="18">
        <v>86</v>
      </c>
      <c r="C34" s="6" t="s">
        <v>899</v>
      </c>
      <c r="D34" s="6" t="s">
        <v>898</v>
      </c>
      <c r="E34" s="6" t="s">
        <v>57</v>
      </c>
      <c r="F34" s="7">
        <v>45457</v>
      </c>
      <c r="G34" s="6">
        <v>12</v>
      </c>
      <c r="H34" s="14">
        <v>1002.0675517241378</v>
      </c>
      <c r="I34" s="8" t="s">
        <v>26</v>
      </c>
      <c r="J34" s="8" t="str" cm="1">
        <f t="array" ref="J34">_xlfn.IFS(Table3[[#This Row],[Age (Years)]] &lt; 40, "Young", Table3[[#This Row],[Age (Years)]] &gt;= 40, "Middle", Table3[[#This Row],[Age (Years)]] &gt; 60, "Senior")</f>
        <v>Middle</v>
      </c>
      <c r="K34" s="8" t="str" cm="1">
        <f t="array" ref="K34">_xlfn.IFS(Table3[[#This Row],[Drug_Cost_GBP]] &gt; 1200, "High Cost", Table3[[#This Row],[Drug_Cost_GBP]] &lt; 1200, "Normal")</f>
        <v>Normal</v>
      </c>
      <c r="L34" s="8" t="str" cm="1">
        <f t="array" ref="L34">IFERROR(_xlfn.IFS(Table3[[#This Row],[Age (Years)]]  &gt; 75, "YES", Table3[[#This Row],[Age (Years)]] &lt; 75, "NO"), "UNKNOWN")</f>
        <v>YES</v>
      </c>
      <c r="M34" s="8" t="str">
        <f>IF(Table3[[#This Row],[Drug_Cost_GBP]] &gt; Analysis_Sheet!$B$21, "Above Average", "Within Average")</f>
        <v>Within Average</v>
      </c>
      <c r="N34" s="39" t="str">
        <f t="shared" si="0"/>
        <v>June 2024</v>
      </c>
    </row>
    <row r="35" spans="1:14" x14ac:dyDescent="0.3">
      <c r="A35" s="5" t="s">
        <v>401</v>
      </c>
      <c r="B35" s="18">
        <v>85</v>
      </c>
      <c r="C35" s="6" t="s">
        <v>900</v>
      </c>
      <c r="D35" s="6" t="s">
        <v>900</v>
      </c>
      <c r="E35" s="6" t="s">
        <v>43</v>
      </c>
      <c r="F35" s="7">
        <v>45598</v>
      </c>
      <c r="G35" s="6">
        <v>12</v>
      </c>
      <c r="H35" s="14">
        <v>963.47</v>
      </c>
      <c r="I35" s="8" t="s">
        <v>900</v>
      </c>
      <c r="J35" s="4" t="str" cm="1">
        <f t="array" ref="J35">_xlfn.IFS(Table3[[#This Row],[Age (Years)]] &lt; 40, "Young", Table3[[#This Row],[Age (Years)]] &gt;= 40, "Middle", Table3[[#This Row],[Age (Years)]] &gt; 60, "Senior")</f>
        <v>Middle</v>
      </c>
      <c r="K35" s="4" t="str" cm="1">
        <f t="array" ref="K35">_xlfn.IFS(Table3[[#This Row],[Drug_Cost_GBP]] &gt; 1200, "High Cost", Table3[[#This Row],[Drug_Cost_GBP]] &lt; 1200, "Normal")</f>
        <v>Normal</v>
      </c>
      <c r="L35" s="4" t="str" cm="1">
        <f t="array" ref="L35">IFERROR(_xlfn.IFS(Table3[[#This Row],[Age (Years)]]  &gt; 75, "YES", Table3[[#This Row],[Age (Years)]] &lt; 75, "NO"), "UNKNOWN")</f>
        <v>YES</v>
      </c>
      <c r="M35" s="4" t="str">
        <f>IF(Table3[[#This Row],[Drug_Cost_GBP]] &gt; Analysis_Sheet!$B$21, "Above Average", "Within Average")</f>
        <v>Within Average</v>
      </c>
      <c r="N35" s="39" t="str">
        <f t="shared" si="0"/>
        <v>November 2024</v>
      </c>
    </row>
    <row r="36" spans="1:14" x14ac:dyDescent="0.3">
      <c r="A36" s="1" t="s">
        <v>156</v>
      </c>
      <c r="B36" s="17">
        <v>84</v>
      </c>
      <c r="C36" s="2" t="s">
        <v>900</v>
      </c>
      <c r="D36" s="2" t="s">
        <v>14</v>
      </c>
      <c r="E36" s="2" t="s">
        <v>43</v>
      </c>
      <c r="F36" s="3">
        <v>45412</v>
      </c>
      <c r="G36" s="2">
        <v>12</v>
      </c>
      <c r="H36" s="13">
        <v>1002.0675517241378</v>
      </c>
      <c r="I36" s="4" t="s">
        <v>21</v>
      </c>
      <c r="J36" s="4" t="str" cm="1">
        <f t="array" ref="J36">_xlfn.IFS(Table3[[#This Row],[Age (Years)]] &lt; 40, "Young", Table3[[#This Row],[Age (Years)]] &gt;= 40, "Middle", Table3[[#This Row],[Age (Years)]] &gt; 60, "Senior")</f>
        <v>Middle</v>
      </c>
      <c r="K36" s="4" t="str" cm="1">
        <f t="array" ref="K36">_xlfn.IFS(Table3[[#This Row],[Drug_Cost_GBP]] &gt; 1200, "High Cost", Table3[[#This Row],[Drug_Cost_GBP]] &lt; 1200, "Normal")</f>
        <v>Normal</v>
      </c>
      <c r="L36" s="4" t="str" cm="1">
        <f t="array" ref="L36">IFERROR(_xlfn.IFS(Table3[[#This Row],[Age (Years)]]  &gt; 75, "YES", Table3[[#This Row],[Age (Years)]] &lt; 75, "NO"), "UNKNOWN")</f>
        <v>YES</v>
      </c>
      <c r="M36" s="4" t="str">
        <f>IF(Table3[[#This Row],[Drug_Cost_GBP]] &gt; Analysis_Sheet!$B$21, "Above Average", "Within Average")</f>
        <v>Within Average</v>
      </c>
      <c r="N36" s="39" t="str">
        <f t="shared" si="0"/>
        <v>April 2024</v>
      </c>
    </row>
    <row r="37" spans="1:14" x14ac:dyDescent="0.3">
      <c r="A37" s="1" t="s">
        <v>776</v>
      </c>
      <c r="B37" s="17">
        <v>84</v>
      </c>
      <c r="C37" s="2" t="s">
        <v>899</v>
      </c>
      <c r="D37" s="2" t="s">
        <v>10</v>
      </c>
      <c r="E37" s="2" t="s">
        <v>23</v>
      </c>
      <c r="F37" s="3" t="s">
        <v>900</v>
      </c>
      <c r="G37" s="2">
        <v>12</v>
      </c>
      <c r="H37" s="13">
        <v>587.36</v>
      </c>
      <c r="I37" s="4" t="s">
        <v>16</v>
      </c>
      <c r="J37" s="4" t="str" cm="1">
        <f t="array" ref="J37">_xlfn.IFS(Table3[[#This Row],[Age (Years)]] &lt; 40, "Young", Table3[[#This Row],[Age (Years)]] &gt;= 40, "Middle", Table3[[#This Row],[Age (Years)]] &gt; 60, "Senior")</f>
        <v>Middle</v>
      </c>
      <c r="K37" s="4" t="str" cm="1">
        <f t="array" ref="K37">_xlfn.IFS(Table3[[#This Row],[Drug_Cost_GBP]] &gt; 1200, "High Cost", Table3[[#This Row],[Drug_Cost_GBP]] &lt; 1200, "Normal")</f>
        <v>Normal</v>
      </c>
      <c r="L37" s="4" t="str" cm="1">
        <f t="array" ref="L37">IFERROR(_xlfn.IFS(Table3[[#This Row],[Age (Years)]]  &gt; 75, "YES", Table3[[#This Row],[Age (Years)]] &lt; 75, "NO"), "UNKNOWN")</f>
        <v>YES</v>
      </c>
      <c r="M37" s="4" t="str">
        <f>IF(Table3[[#This Row],[Drug_Cost_GBP]] &gt; Analysis_Sheet!$B$21, "Above Average", "Within Average")</f>
        <v>Within Average</v>
      </c>
      <c r="N37" s="39" t="str">
        <f t="shared" si="0"/>
        <v>Unknown</v>
      </c>
    </row>
    <row r="38" spans="1:14" x14ac:dyDescent="0.3">
      <c r="A38" s="1" t="s">
        <v>792</v>
      </c>
      <c r="B38" s="17">
        <v>84</v>
      </c>
      <c r="C38" s="2" t="s">
        <v>38</v>
      </c>
      <c r="D38" s="2" t="s">
        <v>48</v>
      </c>
      <c r="E38" s="2" t="s">
        <v>43</v>
      </c>
      <c r="F38" s="3">
        <v>45385</v>
      </c>
      <c r="G38" s="2">
        <v>12</v>
      </c>
      <c r="H38" s="13">
        <v>1071.3499999999999</v>
      </c>
      <c r="I38" s="4" t="s">
        <v>16</v>
      </c>
      <c r="J38" s="8" t="str" cm="1">
        <f t="array" ref="J38">_xlfn.IFS(Table3[[#This Row],[Age (Years)]] &lt; 40, "Young", Table3[[#This Row],[Age (Years)]] &gt;= 40, "Middle", Table3[[#This Row],[Age (Years)]] &gt; 60, "Senior")</f>
        <v>Middle</v>
      </c>
      <c r="K38" s="8" t="str" cm="1">
        <f t="array" ref="K38">_xlfn.IFS(Table3[[#This Row],[Drug_Cost_GBP]] &gt; 1200, "High Cost", Table3[[#This Row],[Drug_Cost_GBP]] &lt; 1200, "Normal")</f>
        <v>Normal</v>
      </c>
      <c r="L38" s="8" t="str" cm="1">
        <f t="array" ref="L38">IFERROR(_xlfn.IFS(Table3[[#This Row],[Age (Years)]]  &gt; 75, "YES", Table3[[#This Row],[Age (Years)]] &lt; 75, "NO"), "UNKNOWN")</f>
        <v>YES</v>
      </c>
      <c r="M38" s="8" t="str">
        <f>IF(Table3[[#This Row],[Drug_Cost_GBP]] &gt; Analysis_Sheet!$B$21, "Above Average", "Within Average")</f>
        <v>Above Average</v>
      </c>
      <c r="N38" s="39" t="str">
        <f t="shared" si="0"/>
        <v>April 2024</v>
      </c>
    </row>
    <row r="39" spans="1:14" x14ac:dyDescent="0.3">
      <c r="A39" s="1" t="s">
        <v>266</v>
      </c>
      <c r="B39" s="17">
        <v>83</v>
      </c>
      <c r="C39" s="2" t="s">
        <v>900</v>
      </c>
      <c r="D39" s="2" t="s">
        <v>25</v>
      </c>
      <c r="E39" s="2" t="s">
        <v>29</v>
      </c>
      <c r="F39" s="3">
        <v>45532</v>
      </c>
      <c r="G39" s="2">
        <v>12</v>
      </c>
      <c r="H39" s="13">
        <v>1002.0675517241378</v>
      </c>
      <c r="I39" s="4" t="s">
        <v>12</v>
      </c>
      <c r="J39" s="4" t="str" cm="1">
        <f t="array" ref="J39">_xlfn.IFS(Table3[[#This Row],[Age (Years)]] &lt; 40, "Young", Table3[[#This Row],[Age (Years)]] &gt;= 40, "Middle", Table3[[#This Row],[Age (Years)]] &gt; 60, "Senior")</f>
        <v>Middle</v>
      </c>
      <c r="K39" s="4" t="str" cm="1">
        <f t="array" ref="K39">_xlfn.IFS(Table3[[#This Row],[Drug_Cost_GBP]] &gt; 1200, "High Cost", Table3[[#This Row],[Drug_Cost_GBP]] &lt; 1200, "Normal")</f>
        <v>Normal</v>
      </c>
      <c r="L39" s="4" t="str" cm="1">
        <f t="array" ref="L39">IFERROR(_xlfn.IFS(Table3[[#This Row],[Age (Years)]]  &gt; 75, "YES", Table3[[#This Row],[Age (Years)]] &lt; 75, "NO"), "UNKNOWN")</f>
        <v>YES</v>
      </c>
      <c r="M39" s="4" t="str">
        <f>IF(Table3[[#This Row],[Drug_Cost_GBP]] &gt; Analysis_Sheet!$B$21, "Above Average", "Within Average")</f>
        <v>Within Average</v>
      </c>
      <c r="N39" s="39" t="str">
        <f t="shared" si="0"/>
        <v>August 2024</v>
      </c>
    </row>
    <row r="40" spans="1:14" x14ac:dyDescent="0.3">
      <c r="A40" s="1" t="s">
        <v>330</v>
      </c>
      <c r="B40" s="17">
        <v>83</v>
      </c>
      <c r="C40" s="2" t="s">
        <v>38</v>
      </c>
      <c r="D40" s="2" t="s">
        <v>19</v>
      </c>
      <c r="E40" s="2" t="s">
        <v>11</v>
      </c>
      <c r="F40" s="3">
        <v>45609</v>
      </c>
      <c r="G40" s="2">
        <v>12</v>
      </c>
      <c r="H40" s="13">
        <v>1002.0675517241378</v>
      </c>
      <c r="I40" s="4" t="s">
        <v>26</v>
      </c>
      <c r="J40" s="8" t="str" cm="1">
        <f t="array" ref="J40">_xlfn.IFS(Table3[[#This Row],[Age (Years)]] &lt; 40, "Young", Table3[[#This Row],[Age (Years)]] &gt;= 40, "Middle", Table3[[#This Row],[Age (Years)]] &gt; 60, "Senior")</f>
        <v>Middle</v>
      </c>
      <c r="K40" s="8" t="str" cm="1">
        <f t="array" ref="K40">_xlfn.IFS(Table3[[#This Row],[Drug_Cost_GBP]] &gt; 1200, "High Cost", Table3[[#This Row],[Drug_Cost_GBP]] &lt; 1200, "Normal")</f>
        <v>Normal</v>
      </c>
      <c r="L40" s="8" t="str" cm="1">
        <f t="array" ref="L40">IFERROR(_xlfn.IFS(Table3[[#This Row],[Age (Years)]]  &gt; 75, "YES", Table3[[#This Row],[Age (Years)]] &lt; 75, "NO"), "UNKNOWN")</f>
        <v>YES</v>
      </c>
      <c r="M40" s="8" t="str">
        <f>IF(Table3[[#This Row],[Drug_Cost_GBP]] &gt; Analysis_Sheet!$B$21, "Above Average", "Within Average")</f>
        <v>Within Average</v>
      </c>
      <c r="N40" s="39" t="str">
        <f t="shared" si="0"/>
        <v>November 2024</v>
      </c>
    </row>
    <row r="41" spans="1:14" x14ac:dyDescent="0.3">
      <c r="A41" s="5" t="s">
        <v>547</v>
      </c>
      <c r="B41" s="18">
        <v>83</v>
      </c>
      <c r="C41" s="6" t="s">
        <v>899</v>
      </c>
      <c r="D41" s="6" t="s">
        <v>19</v>
      </c>
      <c r="E41" s="6" t="s">
        <v>29</v>
      </c>
      <c r="F41" s="7">
        <v>45367</v>
      </c>
      <c r="G41" s="6">
        <v>15</v>
      </c>
      <c r="H41" s="14">
        <v>1002.0675517241378</v>
      </c>
      <c r="I41" s="8" t="s">
        <v>26</v>
      </c>
      <c r="J41" s="4" t="str" cm="1">
        <f t="array" ref="J41">_xlfn.IFS(Table3[[#This Row],[Age (Years)]] &lt; 40, "Young", Table3[[#This Row],[Age (Years)]] &gt;= 40, "Middle", Table3[[#This Row],[Age (Years)]] &gt; 60, "Senior")</f>
        <v>Middle</v>
      </c>
      <c r="K41" s="4" t="str" cm="1">
        <f t="array" ref="K41">_xlfn.IFS(Table3[[#This Row],[Drug_Cost_GBP]] &gt; 1200, "High Cost", Table3[[#This Row],[Drug_Cost_GBP]] &lt; 1200, "Normal")</f>
        <v>Normal</v>
      </c>
      <c r="L41" s="4" t="str" cm="1">
        <f t="array" ref="L41">IFERROR(_xlfn.IFS(Table3[[#This Row],[Age (Years)]]  &gt; 75, "YES", Table3[[#This Row],[Age (Years)]] &lt; 75, "NO"), "UNKNOWN")</f>
        <v>YES</v>
      </c>
      <c r="M41" s="4" t="str">
        <f>IF(Table3[[#This Row],[Drug_Cost_GBP]] &gt; Analysis_Sheet!$B$21, "Above Average", "Within Average")</f>
        <v>Within Average</v>
      </c>
      <c r="N41" s="39" t="str">
        <f t="shared" si="0"/>
        <v>March 2024</v>
      </c>
    </row>
    <row r="42" spans="1:14" x14ac:dyDescent="0.3">
      <c r="A42" s="1" t="s">
        <v>648</v>
      </c>
      <c r="B42" s="17">
        <v>83</v>
      </c>
      <c r="C42" s="2" t="s">
        <v>900</v>
      </c>
      <c r="D42" s="2" t="s">
        <v>51</v>
      </c>
      <c r="E42" s="2" t="s">
        <v>23</v>
      </c>
      <c r="F42" s="3">
        <v>45376</v>
      </c>
      <c r="G42" s="2">
        <v>12</v>
      </c>
      <c r="H42" s="13">
        <v>1295.1500000000001</v>
      </c>
      <c r="I42" s="4" t="s">
        <v>900</v>
      </c>
      <c r="J42" s="8" t="str" cm="1">
        <f t="array" ref="J42">_xlfn.IFS(Table3[[#This Row],[Age (Years)]] &lt; 40, "Young", Table3[[#This Row],[Age (Years)]] &gt;= 40, "Middle", Table3[[#This Row],[Age (Years)]] &gt; 60, "Senior")</f>
        <v>Middle</v>
      </c>
      <c r="K42" s="8" t="str" cm="1">
        <f t="array" ref="K42">_xlfn.IFS(Table3[[#This Row],[Drug_Cost_GBP]] &gt; 1200, "High Cost", Table3[[#This Row],[Drug_Cost_GBP]] &lt; 1200, "Normal")</f>
        <v>High Cost</v>
      </c>
      <c r="L42" s="8" t="str" cm="1">
        <f t="array" ref="L42">IFERROR(_xlfn.IFS(Table3[[#This Row],[Age (Years)]]  &gt; 75, "YES", Table3[[#This Row],[Age (Years)]] &lt; 75, "NO"), "UNKNOWN")</f>
        <v>YES</v>
      </c>
      <c r="M42" s="8" t="str">
        <f>IF(Table3[[#This Row],[Drug_Cost_GBP]] &gt; Analysis_Sheet!$B$21, "Above Average", "Within Average")</f>
        <v>Above Average</v>
      </c>
      <c r="N42" s="39" t="str">
        <f t="shared" si="0"/>
        <v>March 2024</v>
      </c>
    </row>
    <row r="43" spans="1:14" x14ac:dyDescent="0.3">
      <c r="A43" s="5" t="s">
        <v>871</v>
      </c>
      <c r="B43" s="18">
        <v>83</v>
      </c>
      <c r="C43" s="6" t="s">
        <v>899</v>
      </c>
      <c r="D43" s="6" t="s">
        <v>51</v>
      </c>
      <c r="E43" s="6" t="s">
        <v>11</v>
      </c>
      <c r="F43" s="7">
        <v>45323</v>
      </c>
      <c r="G43" s="6">
        <v>12</v>
      </c>
      <c r="H43" s="14">
        <v>1592.78</v>
      </c>
      <c r="I43" s="8" t="s">
        <v>16</v>
      </c>
      <c r="J43" s="4" t="str" cm="1">
        <f t="array" ref="J43">_xlfn.IFS(Table3[[#This Row],[Age (Years)]] &lt; 40, "Young", Table3[[#This Row],[Age (Years)]] &gt;= 40, "Middle", Table3[[#This Row],[Age (Years)]] &gt; 60, "Senior")</f>
        <v>Middle</v>
      </c>
      <c r="K43" s="4" t="str" cm="1">
        <f t="array" ref="K43">_xlfn.IFS(Table3[[#This Row],[Drug_Cost_GBP]] &gt; 1200, "High Cost", Table3[[#This Row],[Drug_Cost_GBP]] &lt; 1200, "Normal")</f>
        <v>High Cost</v>
      </c>
      <c r="L43" s="4" t="str" cm="1">
        <f t="array" ref="L43">IFERROR(_xlfn.IFS(Table3[[#This Row],[Age (Years)]]  &gt; 75, "YES", Table3[[#This Row],[Age (Years)]] &lt; 75, "NO"), "UNKNOWN")</f>
        <v>YES</v>
      </c>
      <c r="M43" s="4" t="str">
        <f>IF(Table3[[#This Row],[Drug_Cost_GBP]] &gt; Analysis_Sheet!$B$21, "Above Average", "Within Average")</f>
        <v>Above Average</v>
      </c>
      <c r="N43" s="39" t="str">
        <f t="shared" si="0"/>
        <v>February 2024</v>
      </c>
    </row>
    <row r="44" spans="1:14" x14ac:dyDescent="0.3">
      <c r="A44" s="1" t="s">
        <v>408</v>
      </c>
      <c r="B44" s="17">
        <v>82</v>
      </c>
      <c r="C44" s="2" t="s">
        <v>38</v>
      </c>
      <c r="D44" s="2" t="s">
        <v>19</v>
      </c>
      <c r="E44" s="2" t="s">
        <v>23</v>
      </c>
      <c r="F44" s="3">
        <v>45323</v>
      </c>
      <c r="G44" s="2">
        <v>12</v>
      </c>
      <c r="H44" s="13">
        <v>1002.0675517241378</v>
      </c>
      <c r="I44" s="4" t="s">
        <v>21</v>
      </c>
      <c r="J44" s="4" t="str" cm="1">
        <f t="array" ref="J44">_xlfn.IFS(Table3[[#This Row],[Age (Years)]] &lt; 40, "Young", Table3[[#This Row],[Age (Years)]] &gt;= 40, "Middle", Table3[[#This Row],[Age (Years)]] &gt; 60, "Senior")</f>
        <v>Middle</v>
      </c>
      <c r="K44" s="4" t="str" cm="1">
        <f t="array" ref="K44">_xlfn.IFS(Table3[[#This Row],[Drug_Cost_GBP]] &gt; 1200, "High Cost", Table3[[#This Row],[Drug_Cost_GBP]] &lt; 1200, "Normal")</f>
        <v>Normal</v>
      </c>
      <c r="L44" s="4" t="str" cm="1">
        <f t="array" ref="L44">IFERROR(_xlfn.IFS(Table3[[#This Row],[Age (Years)]]  &gt; 75, "YES", Table3[[#This Row],[Age (Years)]] &lt; 75, "NO"), "UNKNOWN")</f>
        <v>YES</v>
      </c>
      <c r="M44" s="4" t="str">
        <f>IF(Table3[[#This Row],[Drug_Cost_GBP]] &gt; Analysis_Sheet!$B$21, "Above Average", "Within Average")</f>
        <v>Within Average</v>
      </c>
      <c r="N44" s="39" t="str">
        <f t="shared" si="0"/>
        <v>February 2024</v>
      </c>
    </row>
    <row r="45" spans="1:14" x14ac:dyDescent="0.3">
      <c r="A45" s="5" t="s">
        <v>225</v>
      </c>
      <c r="B45" s="18">
        <v>81</v>
      </c>
      <c r="C45" s="6" t="s">
        <v>899</v>
      </c>
      <c r="D45" s="6" t="s">
        <v>25</v>
      </c>
      <c r="E45" s="6" t="s">
        <v>11</v>
      </c>
      <c r="F45" s="7">
        <v>45318</v>
      </c>
      <c r="G45" s="6">
        <v>13</v>
      </c>
      <c r="H45" s="14">
        <v>872.71</v>
      </c>
      <c r="I45" s="8" t="s">
        <v>16</v>
      </c>
      <c r="J45" s="8" t="str" cm="1">
        <f t="array" ref="J45">_xlfn.IFS(Table3[[#This Row],[Age (Years)]] &lt; 40, "Young", Table3[[#This Row],[Age (Years)]] &gt;= 40, "Middle", Table3[[#This Row],[Age (Years)]] &gt; 60, "Senior")</f>
        <v>Middle</v>
      </c>
      <c r="K45" s="8" t="str" cm="1">
        <f t="array" ref="K45">_xlfn.IFS(Table3[[#This Row],[Drug_Cost_GBP]] &gt; 1200, "High Cost", Table3[[#This Row],[Drug_Cost_GBP]] &lt; 1200, "Normal")</f>
        <v>Normal</v>
      </c>
      <c r="L45" s="8" t="str" cm="1">
        <f t="array" ref="L45">IFERROR(_xlfn.IFS(Table3[[#This Row],[Age (Years)]]  &gt; 75, "YES", Table3[[#This Row],[Age (Years)]] &lt; 75, "NO"), "UNKNOWN")</f>
        <v>YES</v>
      </c>
      <c r="M45" s="8" t="str">
        <f>IF(Table3[[#This Row],[Drug_Cost_GBP]] &gt; Analysis_Sheet!$B$21, "Above Average", "Within Average")</f>
        <v>Within Average</v>
      </c>
      <c r="N45" s="39" t="str">
        <f t="shared" si="0"/>
        <v>January 2024</v>
      </c>
    </row>
    <row r="46" spans="1:14" x14ac:dyDescent="0.3">
      <c r="A46" s="5" t="s">
        <v>589</v>
      </c>
      <c r="B46" s="18">
        <v>81</v>
      </c>
      <c r="C46" s="6" t="s">
        <v>899</v>
      </c>
      <c r="D46" s="6" t="s">
        <v>10</v>
      </c>
      <c r="E46" s="6" t="s">
        <v>43</v>
      </c>
      <c r="F46" s="7" t="s">
        <v>900</v>
      </c>
      <c r="G46" s="6">
        <v>12</v>
      </c>
      <c r="H46" s="14">
        <v>1002.0675517241378</v>
      </c>
      <c r="I46" s="8" t="s">
        <v>900</v>
      </c>
      <c r="J46" s="8" t="str" cm="1">
        <f t="array" ref="J46">_xlfn.IFS(Table3[[#This Row],[Age (Years)]] &lt; 40, "Young", Table3[[#This Row],[Age (Years)]] &gt;= 40, "Middle", Table3[[#This Row],[Age (Years)]] &gt; 60, "Senior")</f>
        <v>Middle</v>
      </c>
      <c r="K46" s="8" t="str" cm="1">
        <f t="array" ref="K46">_xlfn.IFS(Table3[[#This Row],[Drug_Cost_GBP]] &gt; 1200, "High Cost", Table3[[#This Row],[Drug_Cost_GBP]] &lt; 1200, "Normal")</f>
        <v>Normal</v>
      </c>
      <c r="L46" s="8" t="str" cm="1">
        <f t="array" ref="L46">IFERROR(_xlfn.IFS(Table3[[#This Row],[Age (Years)]]  &gt; 75, "YES", Table3[[#This Row],[Age (Years)]] &lt; 75, "NO"), "UNKNOWN")</f>
        <v>YES</v>
      </c>
      <c r="M46" s="8" t="str">
        <f>IF(Table3[[#This Row],[Drug_Cost_GBP]] &gt; Analysis_Sheet!$B$21, "Above Average", "Within Average")</f>
        <v>Within Average</v>
      </c>
      <c r="N46" s="39" t="str">
        <f t="shared" si="0"/>
        <v>Unknown</v>
      </c>
    </row>
    <row r="47" spans="1:14" x14ac:dyDescent="0.3">
      <c r="A47" s="5" t="s">
        <v>673</v>
      </c>
      <c r="B47" s="18">
        <v>81</v>
      </c>
      <c r="C47" s="6" t="s">
        <v>38</v>
      </c>
      <c r="D47" s="6" t="s">
        <v>898</v>
      </c>
      <c r="E47" s="6" t="s">
        <v>43</v>
      </c>
      <c r="F47" s="7">
        <v>45451</v>
      </c>
      <c r="G47" s="6">
        <v>12</v>
      </c>
      <c r="H47" s="14">
        <v>1002.0675517241378</v>
      </c>
      <c r="I47" s="8" t="s">
        <v>16</v>
      </c>
      <c r="J47" s="4" t="str" cm="1">
        <f t="array" ref="J47">_xlfn.IFS(Table3[[#This Row],[Age (Years)]] &lt; 40, "Young", Table3[[#This Row],[Age (Years)]] &gt;= 40, "Middle", Table3[[#This Row],[Age (Years)]] &gt; 60, "Senior")</f>
        <v>Middle</v>
      </c>
      <c r="K47" s="4" t="str" cm="1">
        <f t="array" ref="K47">_xlfn.IFS(Table3[[#This Row],[Drug_Cost_GBP]] &gt; 1200, "High Cost", Table3[[#This Row],[Drug_Cost_GBP]] &lt; 1200, "Normal")</f>
        <v>Normal</v>
      </c>
      <c r="L47" s="4" t="str" cm="1">
        <f t="array" ref="L47">IFERROR(_xlfn.IFS(Table3[[#This Row],[Age (Years)]]  &gt; 75, "YES", Table3[[#This Row],[Age (Years)]] &lt; 75, "NO"), "UNKNOWN")</f>
        <v>YES</v>
      </c>
      <c r="M47" s="4" t="str">
        <f>IF(Table3[[#This Row],[Drug_Cost_GBP]] &gt; Analysis_Sheet!$B$21, "Above Average", "Within Average")</f>
        <v>Within Average</v>
      </c>
      <c r="N47" s="39" t="str">
        <f t="shared" si="0"/>
        <v>June 2024</v>
      </c>
    </row>
    <row r="48" spans="1:14" x14ac:dyDescent="0.3">
      <c r="A48" s="5" t="s">
        <v>145</v>
      </c>
      <c r="B48" s="18">
        <v>80</v>
      </c>
      <c r="C48" s="6" t="s">
        <v>38</v>
      </c>
      <c r="D48" s="6" t="s">
        <v>19</v>
      </c>
      <c r="E48" s="6" t="s">
        <v>29</v>
      </c>
      <c r="F48" s="7">
        <v>45414</v>
      </c>
      <c r="G48" s="6">
        <v>7</v>
      </c>
      <c r="H48" s="14">
        <v>1047.24</v>
      </c>
      <c r="I48" s="8" t="s">
        <v>900</v>
      </c>
      <c r="J48" s="8" t="str" cm="1">
        <f t="array" ref="J48">_xlfn.IFS(Table3[[#This Row],[Age (Years)]] &lt; 40, "Young", Table3[[#This Row],[Age (Years)]] &gt;= 40, "Middle", Table3[[#This Row],[Age (Years)]] &gt; 60, "Senior")</f>
        <v>Middle</v>
      </c>
      <c r="K48" s="8" t="str" cm="1">
        <f t="array" ref="K48">_xlfn.IFS(Table3[[#This Row],[Drug_Cost_GBP]] &gt; 1200, "High Cost", Table3[[#This Row],[Drug_Cost_GBP]] &lt; 1200, "Normal")</f>
        <v>Normal</v>
      </c>
      <c r="L48" s="8" t="str" cm="1">
        <f t="array" ref="L48">IFERROR(_xlfn.IFS(Table3[[#This Row],[Age (Years)]]  &gt; 75, "YES", Table3[[#This Row],[Age (Years)]] &lt; 75, "NO"), "UNKNOWN")</f>
        <v>YES</v>
      </c>
      <c r="M48" s="8" t="str">
        <f>IF(Table3[[#This Row],[Drug_Cost_GBP]] &gt; Analysis_Sheet!$B$21, "Above Average", "Within Average")</f>
        <v>Above Average</v>
      </c>
      <c r="N48" s="39" t="str">
        <f t="shared" si="0"/>
        <v>May 2024</v>
      </c>
    </row>
    <row r="49" spans="1:14" x14ac:dyDescent="0.3">
      <c r="A49" s="5" t="s">
        <v>333</v>
      </c>
      <c r="B49" s="18">
        <v>80</v>
      </c>
      <c r="C49" s="6" t="s">
        <v>900</v>
      </c>
      <c r="D49" s="6" t="s">
        <v>14</v>
      </c>
      <c r="E49" s="6" t="s">
        <v>43</v>
      </c>
      <c r="F49" s="7">
        <v>45364</v>
      </c>
      <c r="G49" s="6">
        <v>7</v>
      </c>
      <c r="H49" s="14">
        <v>1002.0675517241378</v>
      </c>
      <c r="I49" s="8" t="s">
        <v>21</v>
      </c>
      <c r="J49" s="4" t="str" cm="1">
        <f t="array" ref="J49">_xlfn.IFS(Table3[[#This Row],[Age (Years)]] &lt; 40, "Young", Table3[[#This Row],[Age (Years)]] &gt;= 40, "Middle", Table3[[#This Row],[Age (Years)]] &gt; 60, "Senior")</f>
        <v>Middle</v>
      </c>
      <c r="K49" s="4" t="str" cm="1">
        <f t="array" ref="K49">_xlfn.IFS(Table3[[#This Row],[Drug_Cost_GBP]] &gt; 1200, "High Cost", Table3[[#This Row],[Drug_Cost_GBP]] &lt; 1200, "Normal")</f>
        <v>Normal</v>
      </c>
      <c r="L49" s="4" t="str" cm="1">
        <f t="array" ref="L49">IFERROR(_xlfn.IFS(Table3[[#This Row],[Age (Years)]]  &gt; 75, "YES", Table3[[#This Row],[Age (Years)]] &lt; 75, "NO"), "UNKNOWN")</f>
        <v>YES</v>
      </c>
      <c r="M49" s="4" t="str">
        <f>IF(Table3[[#This Row],[Drug_Cost_GBP]] &gt; Analysis_Sheet!$B$21, "Above Average", "Within Average")</f>
        <v>Within Average</v>
      </c>
      <c r="N49" s="39" t="str">
        <f t="shared" si="0"/>
        <v>March 2024</v>
      </c>
    </row>
    <row r="50" spans="1:14" x14ac:dyDescent="0.3">
      <c r="A50" s="1" t="s">
        <v>454</v>
      </c>
      <c r="B50" s="17">
        <v>80</v>
      </c>
      <c r="C50" s="2" t="s">
        <v>900</v>
      </c>
      <c r="D50" s="2" t="s">
        <v>19</v>
      </c>
      <c r="E50" s="2" t="s">
        <v>43</v>
      </c>
      <c r="F50" s="3">
        <v>45349</v>
      </c>
      <c r="G50" s="2">
        <v>12</v>
      </c>
      <c r="H50" s="13">
        <v>140.71</v>
      </c>
      <c r="I50" s="4" t="s">
        <v>900</v>
      </c>
      <c r="J50" s="4" t="str" cm="1">
        <f t="array" ref="J50">_xlfn.IFS(Table3[[#This Row],[Age (Years)]] &lt; 40, "Young", Table3[[#This Row],[Age (Years)]] &gt;= 40, "Middle", Table3[[#This Row],[Age (Years)]] &gt; 60, "Senior")</f>
        <v>Middle</v>
      </c>
      <c r="K50" s="4" t="str" cm="1">
        <f t="array" ref="K50">_xlfn.IFS(Table3[[#This Row],[Drug_Cost_GBP]] &gt; 1200, "High Cost", Table3[[#This Row],[Drug_Cost_GBP]] &lt; 1200, "Normal")</f>
        <v>Normal</v>
      </c>
      <c r="L50" s="4" t="str" cm="1">
        <f t="array" ref="L50">IFERROR(_xlfn.IFS(Table3[[#This Row],[Age (Years)]]  &gt; 75, "YES", Table3[[#This Row],[Age (Years)]] &lt; 75, "NO"), "UNKNOWN")</f>
        <v>YES</v>
      </c>
      <c r="M50" s="4" t="str">
        <f>IF(Table3[[#This Row],[Drug_Cost_GBP]] &gt; Analysis_Sheet!$B$21, "Above Average", "Within Average")</f>
        <v>Within Average</v>
      </c>
      <c r="N50" s="39" t="str">
        <f t="shared" si="0"/>
        <v>February 2024</v>
      </c>
    </row>
    <row r="51" spans="1:14" x14ac:dyDescent="0.3">
      <c r="A51" s="1" t="s">
        <v>650</v>
      </c>
      <c r="B51" s="17">
        <v>80</v>
      </c>
      <c r="C51" s="2" t="s">
        <v>38</v>
      </c>
      <c r="D51" s="2" t="s">
        <v>900</v>
      </c>
      <c r="E51" s="2" t="s">
        <v>43</v>
      </c>
      <c r="F51" s="3">
        <v>45652</v>
      </c>
      <c r="G51" s="2">
        <v>9</v>
      </c>
      <c r="H51" s="13">
        <v>1920.54</v>
      </c>
      <c r="I51" s="4" t="s">
        <v>16</v>
      </c>
      <c r="J51" s="4" t="str" cm="1">
        <f t="array" ref="J51">_xlfn.IFS(Table3[[#This Row],[Age (Years)]] &lt; 40, "Young", Table3[[#This Row],[Age (Years)]] &gt;= 40, "Middle", Table3[[#This Row],[Age (Years)]] &gt; 60, "Senior")</f>
        <v>Middle</v>
      </c>
      <c r="K51" s="4" t="str" cm="1">
        <f t="array" ref="K51">_xlfn.IFS(Table3[[#This Row],[Drug_Cost_GBP]] &gt; 1200, "High Cost", Table3[[#This Row],[Drug_Cost_GBP]] &lt; 1200, "Normal")</f>
        <v>High Cost</v>
      </c>
      <c r="L51" s="4" t="str" cm="1">
        <f t="array" ref="L51">IFERROR(_xlfn.IFS(Table3[[#This Row],[Age (Years)]]  &gt; 75, "YES", Table3[[#This Row],[Age (Years)]] &lt; 75, "NO"), "UNKNOWN")</f>
        <v>YES</v>
      </c>
      <c r="M51" s="4" t="str">
        <f>IF(Table3[[#This Row],[Drug_Cost_GBP]] &gt; Analysis_Sheet!$B$21, "Above Average", "Within Average")</f>
        <v>Above Average</v>
      </c>
      <c r="N51" s="39" t="str">
        <f t="shared" si="0"/>
        <v>December 2024</v>
      </c>
    </row>
    <row r="52" spans="1:14" x14ac:dyDescent="0.3">
      <c r="A52" s="1" t="s">
        <v>884</v>
      </c>
      <c r="B52" s="17">
        <v>80</v>
      </c>
      <c r="C52" s="2" t="s">
        <v>38</v>
      </c>
      <c r="D52" s="2" t="s">
        <v>900</v>
      </c>
      <c r="E52" s="2" t="s">
        <v>23</v>
      </c>
      <c r="F52" s="3">
        <v>45333</v>
      </c>
      <c r="G52" s="2">
        <v>12</v>
      </c>
      <c r="H52" s="13">
        <v>1002.0675517241378</v>
      </c>
      <c r="I52" s="4" t="s">
        <v>26</v>
      </c>
      <c r="J52" s="8" t="str" cm="1">
        <f t="array" ref="J52">_xlfn.IFS(Table3[[#This Row],[Age (Years)]] &lt; 40, "Young", Table3[[#This Row],[Age (Years)]] &gt;= 40, "Middle", Table3[[#This Row],[Age (Years)]] &gt; 60, "Senior")</f>
        <v>Middle</v>
      </c>
      <c r="K52" s="8" t="str" cm="1">
        <f t="array" ref="K52">_xlfn.IFS(Table3[[#This Row],[Drug_Cost_GBP]] &gt; 1200, "High Cost", Table3[[#This Row],[Drug_Cost_GBP]] &lt; 1200, "Normal")</f>
        <v>Normal</v>
      </c>
      <c r="L52" s="8" t="str" cm="1">
        <f t="array" ref="L52">IFERROR(_xlfn.IFS(Table3[[#This Row],[Age (Years)]]  &gt; 75, "YES", Table3[[#This Row],[Age (Years)]] &lt; 75, "NO"), "UNKNOWN")</f>
        <v>YES</v>
      </c>
      <c r="M52" s="8" t="str">
        <f>IF(Table3[[#This Row],[Drug_Cost_GBP]] &gt; Analysis_Sheet!$B$21, "Above Average", "Within Average")</f>
        <v>Within Average</v>
      </c>
      <c r="N52" s="39" t="str">
        <f t="shared" si="0"/>
        <v>February 2024</v>
      </c>
    </row>
    <row r="53" spans="1:14" x14ac:dyDescent="0.3">
      <c r="A53" s="1" t="s">
        <v>160</v>
      </c>
      <c r="B53" s="17">
        <v>79</v>
      </c>
      <c r="C53" s="2" t="s">
        <v>899</v>
      </c>
      <c r="D53" s="2" t="s">
        <v>19</v>
      </c>
      <c r="E53" s="2" t="s">
        <v>43</v>
      </c>
      <c r="F53" s="3">
        <v>45503</v>
      </c>
      <c r="G53" s="2">
        <v>12</v>
      </c>
      <c r="H53" s="13">
        <v>1002.0675517241378</v>
      </c>
      <c r="I53" s="4" t="s">
        <v>12</v>
      </c>
      <c r="J53" s="4" t="str" cm="1">
        <f t="array" ref="J53">_xlfn.IFS(Table3[[#This Row],[Age (Years)]] &lt; 40, "Young", Table3[[#This Row],[Age (Years)]] &gt;= 40, "Middle", Table3[[#This Row],[Age (Years)]] &gt; 60, "Senior")</f>
        <v>Middle</v>
      </c>
      <c r="K53" s="4" t="str" cm="1">
        <f t="array" ref="K53">_xlfn.IFS(Table3[[#This Row],[Drug_Cost_GBP]] &gt; 1200, "High Cost", Table3[[#This Row],[Drug_Cost_GBP]] &lt; 1200, "Normal")</f>
        <v>Normal</v>
      </c>
      <c r="L53" s="4" t="str" cm="1">
        <f t="array" ref="L53">IFERROR(_xlfn.IFS(Table3[[#This Row],[Age (Years)]]  &gt; 75, "YES", Table3[[#This Row],[Age (Years)]] &lt; 75, "NO"), "UNKNOWN")</f>
        <v>YES</v>
      </c>
      <c r="M53" s="4" t="str">
        <f>IF(Table3[[#This Row],[Drug_Cost_GBP]] &gt; Analysis_Sheet!$B$21, "Above Average", "Within Average")</f>
        <v>Within Average</v>
      </c>
      <c r="N53" s="39" t="str">
        <f t="shared" si="0"/>
        <v>July 2024</v>
      </c>
    </row>
    <row r="54" spans="1:14" x14ac:dyDescent="0.3">
      <c r="A54" s="1" t="s">
        <v>164</v>
      </c>
      <c r="B54" s="17">
        <v>79</v>
      </c>
      <c r="C54" s="2" t="s">
        <v>38</v>
      </c>
      <c r="D54" s="2" t="s">
        <v>48</v>
      </c>
      <c r="E54" s="2" t="s">
        <v>29</v>
      </c>
      <c r="F54" s="3">
        <v>45569</v>
      </c>
      <c r="G54" s="2">
        <v>12</v>
      </c>
      <c r="H54" s="13">
        <v>1002.0675517241378</v>
      </c>
      <c r="I54" s="4" t="s">
        <v>900</v>
      </c>
      <c r="J54" s="4" t="str" cm="1">
        <f t="array" ref="J54">_xlfn.IFS(Table3[[#This Row],[Age (Years)]] &lt; 40, "Young", Table3[[#This Row],[Age (Years)]] &gt;= 40, "Middle", Table3[[#This Row],[Age (Years)]] &gt; 60, "Senior")</f>
        <v>Middle</v>
      </c>
      <c r="K54" s="4" t="str" cm="1">
        <f t="array" ref="K54">_xlfn.IFS(Table3[[#This Row],[Drug_Cost_GBP]] &gt; 1200, "High Cost", Table3[[#This Row],[Drug_Cost_GBP]] &lt; 1200, "Normal")</f>
        <v>Normal</v>
      </c>
      <c r="L54" s="4" t="str" cm="1">
        <f t="array" ref="L54">IFERROR(_xlfn.IFS(Table3[[#This Row],[Age (Years)]]  &gt; 75, "YES", Table3[[#This Row],[Age (Years)]] &lt; 75, "NO"), "UNKNOWN")</f>
        <v>YES</v>
      </c>
      <c r="M54" s="4" t="str">
        <f>IF(Table3[[#This Row],[Drug_Cost_GBP]] &gt; Analysis_Sheet!$B$21, "Above Average", "Within Average")</f>
        <v>Within Average</v>
      </c>
      <c r="N54" s="39" t="str">
        <f t="shared" si="0"/>
        <v>October 2024</v>
      </c>
    </row>
    <row r="55" spans="1:14" x14ac:dyDescent="0.3">
      <c r="A55" s="1" t="s">
        <v>168</v>
      </c>
      <c r="B55" s="17">
        <v>79</v>
      </c>
      <c r="C55" s="2" t="s">
        <v>899</v>
      </c>
      <c r="D55" s="2" t="s">
        <v>25</v>
      </c>
      <c r="E55" s="2" t="s">
        <v>34</v>
      </c>
      <c r="F55" s="3">
        <v>45501</v>
      </c>
      <c r="G55" s="2">
        <v>12</v>
      </c>
      <c r="H55" s="13">
        <v>1002.0675517241378</v>
      </c>
      <c r="I55" s="4" t="s">
        <v>12</v>
      </c>
      <c r="J55" s="4" t="str" cm="1">
        <f t="array" ref="J55">_xlfn.IFS(Table3[[#This Row],[Age (Years)]] &lt; 40, "Young", Table3[[#This Row],[Age (Years)]] &gt;= 40, "Middle", Table3[[#This Row],[Age (Years)]] &gt; 60, "Senior")</f>
        <v>Middle</v>
      </c>
      <c r="K55" s="4" t="str" cm="1">
        <f t="array" ref="K55">_xlfn.IFS(Table3[[#This Row],[Drug_Cost_GBP]] &gt; 1200, "High Cost", Table3[[#This Row],[Drug_Cost_GBP]] &lt; 1200, "Normal")</f>
        <v>Normal</v>
      </c>
      <c r="L55" s="4" t="str" cm="1">
        <f t="array" ref="L55">IFERROR(_xlfn.IFS(Table3[[#This Row],[Age (Years)]]  &gt; 75, "YES", Table3[[#This Row],[Age (Years)]] &lt; 75, "NO"), "UNKNOWN")</f>
        <v>YES</v>
      </c>
      <c r="M55" s="4" t="str">
        <f>IF(Table3[[#This Row],[Drug_Cost_GBP]] &gt; Analysis_Sheet!$B$21, "Above Average", "Within Average")</f>
        <v>Within Average</v>
      </c>
      <c r="N55" s="39" t="str">
        <f t="shared" si="0"/>
        <v>July 2024</v>
      </c>
    </row>
    <row r="56" spans="1:14" x14ac:dyDescent="0.3">
      <c r="A56" s="1" t="s">
        <v>206</v>
      </c>
      <c r="B56" s="17">
        <v>79</v>
      </c>
      <c r="C56" s="2" t="s">
        <v>38</v>
      </c>
      <c r="D56" s="2" t="s">
        <v>14</v>
      </c>
      <c r="E56" s="2" t="s">
        <v>43</v>
      </c>
      <c r="F56" s="3">
        <v>45553</v>
      </c>
      <c r="G56" s="2">
        <v>12</v>
      </c>
      <c r="H56" s="13">
        <v>1002.0675517241378</v>
      </c>
      <c r="I56" s="4" t="s">
        <v>12</v>
      </c>
      <c r="J56" s="8" t="str" cm="1">
        <f t="array" ref="J56">_xlfn.IFS(Table3[[#This Row],[Age (Years)]] &lt; 40, "Young", Table3[[#This Row],[Age (Years)]] &gt;= 40, "Middle", Table3[[#This Row],[Age (Years)]] &gt; 60, "Senior")</f>
        <v>Middle</v>
      </c>
      <c r="K56" s="8" t="str" cm="1">
        <f t="array" ref="K56">_xlfn.IFS(Table3[[#This Row],[Drug_Cost_GBP]] &gt; 1200, "High Cost", Table3[[#This Row],[Drug_Cost_GBP]] &lt; 1200, "Normal")</f>
        <v>Normal</v>
      </c>
      <c r="L56" s="8" t="str" cm="1">
        <f t="array" ref="L56">IFERROR(_xlfn.IFS(Table3[[#This Row],[Age (Years)]]  &gt; 75, "YES", Table3[[#This Row],[Age (Years)]] &lt; 75, "NO"), "UNKNOWN")</f>
        <v>YES</v>
      </c>
      <c r="M56" s="8" t="str">
        <f>IF(Table3[[#This Row],[Drug_Cost_GBP]] &gt; Analysis_Sheet!$B$21, "Above Average", "Within Average")</f>
        <v>Within Average</v>
      </c>
      <c r="N56" s="39" t="str">
        <f t="shared" si="0"/>
        <v>September 2024</v>
      </c>
    </row>
    <row r="57" spans="1:14" x14ac:dyDescent="0.3">
      <c r="A57" s="5" t="s">
        <v>235</v>
      </c>
      <c r="B57" s="18">
        <v>79</v>
      </c>
      <c r="C57" s="6" t="s">
        <v>899</v>
      </c>
      <c r="D57" s="6" t="s">
        <v>19</v>
      </c>
      <c r="E57" s="6" t="s">
        <v>23</v>
      </c>
      <c r="F57" s="7">
        <v>45546</v>
      </c>
      <c r="G57" s="6">
        <v>5</v>
      </c>
      <c r="H57" s="14">
        <v>1002.0675517241378</v>
      </c>
      <c r="I57" s="8" t="s">
        <v>26</v>
      </c>
      <c r="J57" s="8" t="str" cm="1">
        <f t="array" ref="J57">_xlfn.IFS(Table3[[#This Row],[Age (Years)]] &lt; 40, "Young", Table3[[#This Row],[Age (Years)]] &gt;= 40, "Middle", Table3[[#This Row],[Age (Years)]] &gt; 60, "Senior")</f>
        <v>Middle</v>
      </c>
      <c r="K57" s="8" t="str" cm="1">
        <f t="array" ref="K57">_xlfn.IFS(Table3[[#This Row],[Drug_Cost_GBP]] &gt; 1200, "High Cost", Table3[[#This Row],[Drug_Cost_GBP]] &lt; 1200, "Normal")</f>
        <v>Normal</v>
      </c>
      <c r="L57" s="8" t="str" cm="1">
        <f t="array" ref="L57">IFERROR(_xlfn.IFS(Table3[[#This Row],[Age (Years)]]  &gt; 75, "YES", Table3[[#This Row],[Age (Years)]] &lt; 75, "NO"), "UNKNOWN")</f>
        <v>YES</v>
      </c>
      <c r="M57" s="8" t="str">
        <f>IF(Table3[[#This Row],[Drug_Cost_GBP]] &gt; Analysis_Sheet!$B$21, "Above Average", "Within Average")</f>
        <v>Within Average</v>
      </c>
      <c r="N57" s="39" t="str">
        <f t="shared" si="0"/>
        <v>September 2024</v>
      </c>
    </row>
    <row r="58" spans="1:14" x14ac:dyDescent="0.3">
      <c r="A58" s="5" t="s">
        <v>299</v>
      </c>
      <c r="B58" s="18">
        <v>79</v>
      </c>
      <c r="C58" s="6" t="s">
        <v>38</v>
      </c>
      <c r="D58" s="6" t="s">
        <v>14</v>
      </c>
      <c r="E58" s="6" t="s">
        <v>23</v>
      </c>
      <c r="F58" s="7">
        <v>45448</v>
      </c>
      <c r="G58" s="6">
        <v>12</v>
      </c>
      <c r="H58" s="14">
        <v>1002.0675517241378</v>
      </c>
      <c r="I58" s="8" t="s">
        <v>21</v>
      </c>
      <c r="J58" s="8" t="str" cm="1">
        <f t="array" ref="J58">_xlfn.IFS(Table3[[#This Row],[Age (Years)]] &lt; 40, "Young", Table3[[#This Row],[Age (Years)]] &gt;= 40, "Middle", Table3[[#This Row],[Age (Years)]] &gt; 60, "Senior")</f>
        <v>Middle</v>
      </c>
      <c r="K58" s="8" t="str" cm="1">
        <f t="array" ref="K58">_xlfn.IFS(Table3[[#This Row],[Drug_Cost_GBP]] &gt; 1200, "High Cost", Table3[[#This Row],[Drug_Cost_GBP]] &lt; 1200, "Normal")</f>
        <v>Normal</v>
      </c>
      <c r="L58" s="8" t="str" cm="1">
        <f t="array" ref="L58">IFERROR(_xlfn.IFS(Table3[[#This Row],[Age (Years)]]  &gt; 75, "YES", Table3[[#This Row],[Age (Years)]] &lt; 75, "NO"), "UNKNOWN")</f>
        <v>YES</v>
      </c>
      <c r="M58" s="8" t="str">
        <f>IF(Table3[[#This Row],[Drug_Cost_GBP]] &gt; Analysis_Sheet!$B$21, "Above Average", "Within Average")</f>
        <v>Within Average</v>
      </c>
      <c r="N58" s="39" t="str">
        <f t="shared" si="0"/>
        <v>June 2024</v>
      </c>
    </row>
    <row r="59" spans="1:14" x14ac:dyDescent="0.3">
      <c r="A59" s="5" t="s">
        <v>683</v>
      </c>
      <c r="B59" s="18">
        <v>79</v>
      </c>
      <c r="C59" s="6" t="s">
        <v>899</v>
      </c>
      <c r="D59" s="6" t="s">
        <v>19</v>
      </c>
      <c r="E59" s="6" t="s">
        <v>11</v>
      </c>
      <c r="F59" s="7">
        <v>45293</v>
      </c>
      <c r="G59" s="6">
        <v>8</v>
      </c>
      <c r="H59" s="14">
        <v>1002.0675517241378</v>
      </c>
      <c r="I59" s="8" t="s">
        <v>16</v>
      </c>
      <c r="J59" s="4" t="str" cm="1">
        <f t="array" ref="J59">_xlfn.IFS(Table3[[#This Row],[Age (Years)]] &lt; 40, "Young", Table3[[#This Row],[Age (Years)]] &gt;= 40, "Middle", Table3[[#This Row],[Age (Years)]] &gt; 60, "Senior")</f>
        <v>Middle</v>
      </c>
      <c r="K59" s="4" t="str" cm="1">
        <f t="array" ref="K59">_xlfn.IFS(Table3[[#This Row],[Drug_Cost_GBP]] &gt; 1200, "High Cost", Table3[[#This Row],[Drug_Cost_GBP]] &lt; 1200, "Normal")</f>
        <v>Normal</v>
      </c>
      <c r="L59" s="4" t="str" cm="1">
        <f t="array" ref="L59">IFERROR(_xlfn.IFS(Table3[[#This Row],[Age (Years)]]  &gt; 75, "YES", Table3[[#This Row],[Age (Years)]] &lt; 75, "NO"), "UNKNOWN")</f>
        <v>YES</v>
      </c>
      <c r="M59" s="4" t="str">
        <f>IF(Table3[[#This Row],[Drug_Cost_GBP]] &gt; Analysis_Sheet!$B$21, "Above Average", "Within Average")</f>
        <v>Within Average</v>
      </c>
      <c r="N59" s="39" t="str">
        <f t="shared" si="0"/>
        <v>January 2024</v>
      </c>
    </row>
    <row r="60" spans="1:14" x14ac:dyDescent="0.3">
      <c r="A60" s="1" t="s">
        <v>710</v>
      </c>
      <c r="B60" s="17">
        <v>79</v>
      </c>
      <c r="C60" s="2" t="s">
        <v>900</v>
      </c>
      <c r="D60" s="2" t="s">
        <v>19</v>
      </c>
      <c r="E60" s="2" t="s">
        <v>23</v>
      </c>
      <c r="F60" s="3">
        <v>45569</v>
      </c>
      <c r="G60" s="2">
        <v>6</v>
      </c>
      <c r="H60" s="13">
        <v>1724.93</v>
      </c>
      <c r="I60" s="4" t="s">
        <v>21</v>
      </c>
      <c r="J60" s="4" t="str" cm="1">
        <f t="array" ref="J60">_xlfn.IFS(Table3[[#This Row],[Age (Years)]] &lt; 40, "Young", Table3[[#This Row],[Age (Years)]] &gt;= 40, "Middle", Table3[[#This Row],[Age (Years)]] &gt; 60, "Senior")</f>
        <v>Middle</v>
      </c>
      <c r="K60" s="4" t="str" cm="1">
        <f t="array" ref="K60">_xlfn.IFS(Table3[[#This Row],[Drug_Cost_GBP]] &gt; 1200, "High Cost", Table3[[#This Row],[Drug_Cost_GBP]] &lt; 1200, "Normal")</f>
        <v>High Cost</v>
      </c>
      <c r="L60" s="4" t="str" cm="1">
        <f t="array" ref="L60">IFERROR(_xlfn.IFS(Table3[[#This Row],[Age (Years)]]  &gt; 75, "YES", Table3[[#This Row],[Age (Years)]] &lt; 75, "NO"), "UNKNOWN")</f>
        <v>YES</v>
      </c>
      <c r="M60" s="4" t="str">
        <f>IF(Table3[[#This Row],[Drug_Cost_GBP]] &gt; Analysis_Sheet!$B$21, "Above Average", "Within Average")</f>
        <v>Above Average</v>
      </c>
      <c r="N60" s="39" t="str">
        <f t="shared" si="0"/>
        <v>October 2024</v>
      </c>
    </row>
    <row r="61" spans="1:14" x14ac:dyDescent="0.3">
      <c r="A61" s="1" t="s">
        <v>796</v>
      </c>
      <c r="B61" s="17">
        <v>79</v>
      </c>
      <c r="C61" s="2" t="s">
        <v>900</v>
      </c>
      <c r="D61" s="2" t="s">
        <v>14</v>
      </c>
      <c r="E61" s="2" t="s">
        <v>57</v>
      </c>
      <c r="F61" s="3" t="s">
        <v>900</v>
      </c>
      <c r="G61" s="2">
        <v>7</v>
      </c>
      <c r="H61" s="13">
        <v>1002.0675517241378</v>
      </c>
      <c r="I61" s="4" t="s">
        <v>12</v>
      </c>
      <c r="J61" s="8" t="str" cm="1">
        <f t="array" ref="J61">_xlfn.IFS(Table3[[#This Row],[Age (Years)]] &lt; 40, "Young", Table3[[#This Row],[Age (Years)]] &gt;= 40, "Middle", Table3[[#This Row],[Age (Years)]] &gt; 60, "Senior")</f>
        <v>Middle</v>
      </c>
      <c r="K61" s="8" t="str" cm="1">
        <f t="array" ref="K61">_xlfn.IFS(Table3[[#This Row],[Drug_Cost_GBP]] &gt; 1200, "High Cost", Table3[[#This Row],[Drug_Cost_GBP]] &lt; 1200, "Normal")</f>
        <v>Normal</v>
      </c>
      <c r="L61" s="8" t="str" cm="1">
        <f t="array" ref="L61">IFERROR(_xlfn.IFS(Table3[[#This Row],[Age (Years)]]  &gt; 75, "YES", Table3[[#This Row],[Age (Years)]] &lt; 75, "NO"), "UNKNOWN")</f>
        <v>YES</v>
      </c>
      <c r="M61" s="8" t="str">
        <f>IF(Table3[[#This Row],[Drug_Cost_GBP]] &gt; Analysis_Sheet!$B$21, "Above Average", "Within Average")</f>
        <v>Within Average</v>
      </c>
      <c r="N61" s="39" t="str">
        <f t="shared" si="0"/>
        <v>Unknown</v>
      </c>
    </row>
    <row r="62" spans="1:14" x14ac:dyDescent="0.3">
      <c r="A62" s="5" t="s">
        <v>803</v>
      </c>
      <c r="B62" s="18">
        <v>79</v>
      </c>
      <c r="C62" s="6" t="s">
        <v>899</v>
      </c>
      <c r="D62" s="6" t="s">
        <v>900</v>
      </c>
      <c r="E62" s="6" t="s">
        <v>23</v>
      </c>
      <c r="F62" s="7">
        <v>45466</v>
      </c>
      <c r="G62" s="6">
        <v>12</v>
      </c>
      <c r="H62" s="14">
        <v>475.96</v>
      </c>
      <c r="I62" s="8" t="s">
        <v>16</v>
      </c>
      <c r="J62" s="8" t="str" cm="1">
        <f t="array" ref="J62">_xlfn.IFS(Table3[[#This Row],[Age (Years)]] &lt; 40, "Young", Table3[[#This Row],[Age (Years)]] &gt;= 40, "Middle", Table3[[#This Row],[Age (Years)]] &gt; 60, "Senior")</f>
        <v>Middle</v>
      </c>
      <c r="K62" s="8" t="str" cm="1">
        <f t="array" ref="K62">_xlfn.IFS(Table3[[#This Row],[Drug_Cost_GBP]] &gt; 1200, "High Cost", Table3[[#This Row],[Drug_Cost_GBP]] &lt; 1200, "Normal")</f>
        <v>Normal</v>
      </c>
      <c r="L62" s="8" t="str" cm="1">
        <f t="array" ref="L62">IFERROR(_xlfn.IFS(Table3[[#This Row],[Age (Years)]]  &gt; 75, "YES", Table3[[#This Row],[Age (Years)]] &lt; 75, "NO"), "UNKNOWN")</f>
        <v>YES</v>
      </c>
      <c r="M62" s="8" t="str">
        <f>IF(Table3[[#This Row],[Drug_Cost_GBP]] &gt; Analysis_Sheet!$B$21, "Above Average", "Within Average")</f>
        <v>Within Average</v>
      </c>
      <c r="N62" s="39" t="str">
        <f t="shared" si="0"/>
        <v>June 2024</v>
      </c>
    </row>
    <row r="63" spans="1:14" x14ac:dyDescent="0.3">
      <c r="A63" s="1" t="s">
        <v>82</v>
      </c>
      <c r="B63" s="17">
        <v>78</v>
      </c>
      <c r="C63" s="2" t="s">
        <v>38</v>
      </c>
      <c r="D63" s="2" t="s">
        <v>48</v>
      </c>
      <c r="E63" s="2" t="s">
        <v>34</v>
      </c>
      <c r="F63" s="3">
        <v>45489</v>
      </c>
      <c r="G63" s="2">
        <v>12</v>
      </c>
      <c r="H63" s="13">
        <v>1237.9000000000001</v>
      </c>
      <c r="I63" s="4" t="s">
        <v>900</v>
      </c>
      <c r="J63" s="4" t="str" cm="1">
        <f t="array" ref="J63">_xlfn.IFS(Table3[[#This Row],[Age (Years)]] &lt; 40, "Young", Table3[[#This Row],[Age (Years)]] &gt;= 40, "Middle", Table3[[#This Row],[Age (Years)]] &gt; 60, "Senior")</f>
        <v>Middle</v>
      </c>
      <c r="K63" s="4" t="str" cm="1">
        <f t="array" ref="K63">_xlfn.IFS(Table3[[#This Row],[Drug_Cost_GBP]] &gt; 1200, "High Cost", Table3[[#This Row],[Drug_Cost_GBP]] &lt; 1200, "Normal")</f>
        <v>High Cost</v>
      </c>
      <c r="L63" s="4" t="str" cm="1">
        <f t="array" ref="L63">IFERROR(_xlfn.IFS(Table3[[#This Row],[Age (Years)]]  &gt; 75, "YES", Table3[[#This Row],[Age (Years)]] &lt; 75, "NO"), "UNKNOWN")</f>
        <v>YES</v>
      </c>
      <c r="M63" s="4" t="str">
        <f>IF(Table3[[#This Row],[Drug_Cost_GBP]] &gt; Analysis_Sheet!$B$21, "Above Average", "Within Average")</f>
        <v>Above Average</v>
      </c>
      <c r="N63" s="39" t="str">
        <f t="shared" si="0"/>
        <v>July 2024</v>
      </c>
    </row>
    <row r="64" spans="1:14" x14ac:dyDescent="0.3">
      <c r="A64" s="1" t="s">
        <v>108</v>
      </c>
      <c r="B64" s="17">
        <v>78</v>
      </c>
      <c r="C64" s="2" t="s">
        <v>900</v>
      </c>
      <c r="D64" s="2" t="s">
        <v>51</v>
      </c>
      <c r="E64" s="2" t="s">
        <v>34</v>
      </c>
      <c r="F64" s="3">
        <v>45485</v>
      </c>
      <c r="G64" s="2">
        <v>12</v>
      </c>
      <c r="H64" s="13">
        <v>262.12</v>
      </c>
      <c r="I64" s="4" t="s">
        <v>900</v>
      </c>
      <c r="J64" s="8" t="str" cm="1">
        <f t="array" ref="J64">_xlfn.IFS(Table3[[#This Row],[Age (Years)]] &lt; 40, "Young", Table3[[#This Row],[Age (Years)]] &gt;= 40, "Middle", Table3[[#This Row],[Age (Years)]] &gt; 60, "Senior")</f>
        <v>Middle</v>
      </c>
      <c r="K64" s="8" t="str" cm="1">
        <f t="array" ref="K64">_xlfn.IFS(Table3[[#This Row],[Drug_Cost_GBP]] &gt; 1200, "High Cost", Table3[[#This Row],[Drug_Cost_GBP]] &lt; 1200, "Normal")</f>
        <v>Normal</v>
      </c>
      <c r="L64" s="8" t="str" cm="1">
        <f t="array" ref="L64">IFERROR(_xlfn.IFS(Table3[[#This Row],[Age (Years)]]  &gt; 75, "YES", Table3[[#This Row],[Age (Years)]] &lt; 75, "NO"), "UNKNOWN")</f>
        <v>YES</v>
      </c>
      <c r="M64" s="8" t="str">
        <f>IF(Table3[[#This Row],[Drug_Cost_GBP]] &gt; Analysis_Sheet!$B$21, "Above Average", "Within Average")</f>
        <v>Within Average</v>
      </c>
      <c r="N64" s="39" t="str">
        <f t="shared" si="0"/>
        <v>July 2024</v>
      </c>
    </row>
    <row r="65" spans="1:14" x14ac:dyDescent="0.3">
      <c r="A65" s="5" t="s">
        <v>127</v>
      </c>
      <c r="B65" s="18">
        <v>78</v>
      </c>
      <c r="C65" s="6" t="s">
        <v>38</v>
      </c>
      <c r="D65" s="6" t="s">
        <v>898</v>
      </c>
      <c r="E65" s="6" t="s">
        <v>43</v>
      </c>
      <c r="F65" s="7">
        <v>45365</v>
      </c>
      <c r="G65" s="6">
        <v>12</v>
      </c>
      <c r="H65" s="14">
        <v>1002.0675517241378</v>
      </c>
      <c r="I65" s="8" t="s">
        <v>21</v>
      </c>
      <c r="J65" s="8" t="str" cm="1">
        <f t="array" ref="J65">_xlfn.IFS(Table3[[#This Row],[Age (Years)]] &lt; 40, "Young", Table3[[#This Row],[Age (Years)]] &gt;= 40, "Middle", Table3[[#This Row],[Age (Years)]] &gt; 60, "Senior")</f>
        <v>Middle</v>
      </c>
      <c r="K65" s="8" t="str" cm="1">
        <f t="array" ref="K65">_xlfn.IFS(Table3[[#This Row],[Drug_Cost_GBP]] &gt; 1200, "High Cost", Table3[[#This Row],[Drug_Cost_GBP]] &lt; 1200, "Normal")</f>
        <v>Normal</v>
      </c>
      <c r="L65" s="8" t="str" cm="1">
        <f t="array" ref="L65">IFERROR(_xlfn.IFS(Table3[[#This Row],[Age (Years)]]  &gt; 75, "YES", Table3[[#This Row],[Age (Years)]] &lt; 75, "NO"), "UNKNOWN")</f>
        <v>YES</v>
      </c>
      <c r="M65" s="8" t="str">
        <f>IF(Table3[[#This Row],[Drug_Cost_GBP]] &gt; Analysis_Sheet!$B$21, "Above Average", "Within Average")</f>
        <v>Within Average</v>
      </c>
      <c r="N65" s="39" t="str">
        <f t="shared" si="0"/>
        <v>March 2024</v>
      </c>
    </row>
    <row r="66" spans="1:14" x14ac:dyDescent="0.3">
      <c r="A66" s="5" t="s">
        <v>335</v>
      </c>
      <c r="B66" s="18">
        <v>78</v>
      </c>
      <c r="C66" s="6" t="s">
        <v>899</v>
      </c>
      <c r="D66" s="6" t="s">
        <v>51</v>
      </c>
      <c r="E66" s="6" t="s">
        <v>34</v>
      </c>
      <c r="F66" s="7" t="s">
        <v>900</v>
      </c>
      <c r="G66" s="6">
        <v>12</v>
      </c>
      <c r="H66" s="14">
        <v>1002.0675517241378</v>
      </c>
      <c r="I66" s="8" t="s">
        <v>900</v>
      </c>
      <c r="J66" s="8" t="str" cm="1">
        <f t="array" ref="J66">_xlfn.IFS(Table3[[#This Row],[Age (Years)]] &lt; 40, "Young", Table3[[#This Row],[Age (Years)]] &gt;= 40, "Middle", Table3[[#This Row],[Age (Years)]] &gt; 60, "Senior")</f>
        <v>Middle</v>
      </c>
      <c r="K66" s="8" t="str" cm="1">
        <f t="array" ref="K66">_xlfn.IFS(Table3[[#This Row],[Drug_Cost_GBP]] &gt; 1200, "High Cost", Table3[[#This Row],[Drug_Cost_GBP]] &lt; 1200, "Normal")</f>
        <v>Normal</v>
      </c>
      <c r="L66" s="8" t="str" cm="1">
        <f t="array" ref="L66">IFERROR(_xlfn.IFS(Table3[[#This Row],[Age (Years)]]  &gt; 75, "YES", Table3[[#This Row],[Age (Years)]] &lt; 75, "NO"), "UNKNOWN")</f>
        <v>YES</v>
      </c>
      <c r="M66" s="8" t="str">
        <f>IF(Table3[[#This Row],[Drug_Cost_GBP]] &gt; Analysis_Sheet!$B$21, "Above Average", "Within Average")</f>
        <v>Within Average</v>
      </c>
      <c r="N66" s="39" t="str">
        <f t="shared" si="0"/>
        <v>Unknown</v>
      </c>
    </row>
    <row r="67" spans="1:14" x14ac:dyDescent="0.3">
      <c r="A67" s="5" t="s">
        <v>341</v>
      </c>
      <c r="B67" s="18">
        <v>78</v>
      </c>
      <c r="C67" s="6" t="s">
        <v>38</v>
      </c>
      <c r="D67" s="6" t="s">
        <v>14</v>
      </c>
      <c r="E67" s="6" t="s">
        <v>43</v>
      </c>
      <c r="F67" s="7">
        <v>45397</v>
      </c>
      <c r="G67" s="6">
        <v>7</v>
      </c>
      <c r="H67" s="14">
        <v>847.64</v>
      </c>
      <c r="I67" s="8" t="s">
        <v>16</v>
      </c>
      <c r="J67" s="4" t="str" cm="1">
        <f t="array" ref="J67">_xlfn.IFS(Table3[[#This Row],[Age (Years)]] &lt; 40, "Young", Table3[[#This Row],[Age (Years)]] &gt;= 40, "Middle", Table3[[#This Row],[Age (Years)]] &gt; 60, "Senior")</f>
        <v>Middle</v>
      </c>
      <c r="K67" s="4" t="str" cm="1">
        <f t="array" ref="K67">_xlfn.IFS(Table3[[#This Row],[Drug_Cost_GBP]] &gt; 1200, "High Cost", Table3[[#This Row],[Drug_Cost_GBP]] &lt; 1200, "Normal")</f>
        <v>Normal</v>
      </c>
      <c r="L67" s="4" t="str" cm="1">
        <f t="array" ref="L67">IFERROR(_xlfn.IFS(Table3[[#This Row],[Age (Years)]]  &gt; 75, "YES", Table3[[#This Row],[Age (Years)]] &lt; 75, "NO"), "UNKNOWN")</f>
        <v>YES</v>
      </c>
      <c r="M67" s="4" t="str">
        <f>IF(Table3[[#This Row],[Drug_Cost_GBP]] &gt; Analysis_Sheet!$B$21, "Above Average", "Within Average")</f>
        <v>Within Average</v>
      </c>
      <c r="N67" s="39" t="str">
        <f t="shared" ref="N67:N130" si="1">IF(ISNUMBER(F67),TEXT(F67,"MMMM YYYY"),"Unknown")</f>
        <v>April 2024</v>
      </c>
    </row>
    <row r="68" spans="1:14" x14ac:dyDescent="0.3">
      <c r="A68" s="1" t="s">
        <v>392</v>
      </c>
      <c r="B68" s="17">
        <v>78</v>
      </c>
      <c r="C68" s="2" t="s">
        <v>900</v>
      </c>
      <c r="D68" s="2" t="s">
        <v>14</v>
      </c>
      <c r="E68" s="2" t="s">
        <v>23</v>
      </c>
      <c r="F68" s="3">
        <v>45444</v>
      </c>
      <c r="G68" s="2">
        <v>10</v>
      </c>
      <c r="H68" s="13">
        <v>1002.0675517241378</v>
      </c>
      <c r="I68" s="4" t="s">
        <v>26</v>
      </c>
      <c r="J68" s="8" t="str" cm="1">
        <f t="array" ref="J68">_xlfn.IFS(Table3[[#This Row],[Age (Years)]] &lt; 40, "Young", Table3[[#This Row],[Age (Years)]] &gt;= 40, "Middle", Table3[[#This Row],[Age (Years)]] &gt; 60, "Senior")</f>
        <v>Middle</v>
      </c>
      <c r="K68" s="8" t="str" cm="1">
        <f t="array" ref="K68">_xlfn.IFS(Table3[[#This Row],[Drug_Cost_GBP]] &gt; 1200, "High Cost", Table3[[#This Row],[Drug_Cost_GBP]] &lt; 1200, "Normal")</f>
        <v>Normal</v>
      </c>
      <c r="L68" s="8" t="str" cm="1">
        <f t="array" ref="L68">IFERROR(_xlfn.IFS(Table3[[#This Row],[Age (Years)]]  &gt; 75, "YES", Table3[[#This Row],[Age (Years)]] &lt; 75, "NO"), "UNKNOWN")</f>
        <v>YES</v>
      </c>
      <c r="M68" s="8" t="str">
        <f>IF(Table3[[#This Row],[Drug_Cost_GBP]] &gt; Analysis_Sheet!$B$21, "Above Average", "Within Average")</f>
        <v>Within Average</v>
      </c>
      <c r="N68" s="39" t="str">
        <f t="shared" si="1"/>
        <v>June 2024</v>
      </c>
    </row>
    <row r="69" spans="1:14" x14ac:dyDescent="0.3">
      <c r="A69" s="5" t="s">
        <v>431</v>
      </c>
      <c r="B69" s="18">
        <v>78</v>
      </c>
      <c r="C69" s="6" t="s">
        <v>38</v>
      </c>
      <c r="D69" s="6" t="s">
        <v>51</v>
      </c>
      <c r="E69" s="6" t="s">
        <v>57</v>
      </c>
      <c r="F69" s="7" t="s">
        <v>900</v>
      </c>
      <c r="G69" s="6">
        <v>12</v>
      </c>
      <c r="H69" s="14">
        <v>191.86</v>
      </c>
      <c r="I69" s="8" t="s">
        <v>16</v>
      </c>
      <c r="J69" s="4" t="str" cm="1">
        <f t="array" ref="J69">_xlfn.IFS(Table3[[#This Row],[Age (Years)]] &lt; 40, "Young", Table3[[#This Row],[Age (Years)]] &gt;= 40, "Middle", Table3[[#This Row],[Age (Years)]] &gt; 60, "Senior")</f>
        <v>Middle</v>
      </c>
      <c r="K69" s="4" t="str" cm="1">
        <f t="array" ref="K69">_xlfn.IFS(Table3[[#This Row],[Drug_Cost_GBP]] &gt; 1200, "High Cost", Table3[[#This Row],[Drug_Cost_GBP]] &lt; 1200, "Normal")</f>
        <v>Normal</v>
      </c>
      <c r="L69" s="4" t="str" cm="1">
        <f t="array" ref="L69">IFERROR(_xlfn.IFS(Table3[[#This Row],[Age (Years)]]  &gt; 75, "YES", Table3[[#This Row],[Age (Years)]] &lt; 75, "NO"), "UNKNOWN")</f>
        <v>YES</v>
      </c>
      <c r="M69" s="4" t="str">
        <f>IF(Table3[[#This Row],[Drug_Cost_GBP]] &gt; Analysis_Sheet!$B$21, "Above Average", "Within Average")</f>
        <v>Within Average</v>
      </c>
      <c r="N69" s="39" t="str">
        <f t="shared" si="1"/>
        <v>Unknown</v>
      </c>
    </row>
    <row r="70" spans="1:14" x14ac:dyDescent="0.3">
      <c r="A70" s="1" t="s">
        <v>442</v>
      </c>
      <c r="B70" s="17">
        <v>78</v>
      </c>
      <c r="C70" s="2" t="s">
        <v>38</v>
      </c>
      <c r="D70" s="2" t="s">
        <v>48</v>
      </c>
      <c r="E70" s="2" t="s">
        <v>43</v>
      </c>
      <c r="F70" s="3">
        <v>45558</v>
      </c>
      <c r="G70" s="2">
        <v>13</v>
      </c>
      <c r="H70" s="13">
        <v>899.2</v>
      </c>
      <c r="I70" s="4" t="s">
        <v>12</v>
      </c>
      <c r="J70" s="4" t="str" cm="1">
        <f t="array" ref="J70">_xlfn.IFS(Table3[[#This Row],[Age (Years)]] &lt; 40, "Young", Table3[[#This Row],[Age (Years)]] &gt;= 40, "Middle", Table3[[#This Row],[Age (Years)]] &gt; 60, "Senior")</f>
        <v>Middle</v>
      </c>
      <c r="K70" s="4" t="str" cm="1">
        <f t="array" ref="K70">_xlfn.IFS(Table3[[#This Row],[Drug_Cost_GBP]] &gt; 1200, "High Cost", Table3[[#This Row],[Drug_Cost_GBP]] &lt; 1200, "Normal")</f>
        <v>Normal</v>
      </c>
      <c r="L70" s="4" t="str" cm="1">
        <f t="array" ref="L70">IFERROR(_xlfn.IFS(Table3[[#This Row],[Age (Years)]]  &gt; 75, "YES", Table3[[#This Row],[Age (Years)]] &lt; 75, "NO"), "UNKNOWN")</f>
        <v>YES</v>
      </c>
      <c r="M70" s="4" t="str">
        <f>IF(Table3[[#This Row],[Drug_Cost_GBP]] &gt; Analysis_Sheet!$B$21, "Above Average", "Within Average")</f>
        <v>Within Average</v>
      </c>
      <c r="N70" s="39" t="str">
        <f t="shared" si="1"/>
        <v>September 2024</v>
      </c>
    </row>
    <row r="71" spans="1:14" x14ac:dyDescent="0.3">
      <c r="A71" s="5" t="s">
        <v>141</v>
      </c>
      <c r="B71" s="18">
        <v>77</v>
      </c>
      <c r="C71" s="6" t="s">
        <v>899</v>
      </c>
      <c r="D71" s="6" t="s">
        <v>51</v>
      </c>
      <c r="E71" s="6" t="s">
        <v>29</v>
      </c>
      <c r="F71" s="7">
        <v>45506</v>
      </c>
      <c r="G71" s="6">
        <v>12</v>
      </c>
      <c r="H71" s="14">
        <v>1002.0675517241378</v>
      </c>
      <c r="I71" s="8" t="s">
        <v>21</v>
      </c>
      <c r="J71" s="4" t="str" cm="1">
        <f t="array" ref="J71">_xlfn.IFS(Table3[[#This Row],[Age (Years)]] &lt; 40, "Young", Table3[[#This Row],[Age (Years)]] &gt;= 40, "Middle", Table3[[#This Row],[Age (Years)]] &gt; 60, "Senior")</f>
        <v>Middle</v>
      </c>
      <c r="K71" s="4" t="str" cm="1">
        <f t="array" ref="K71">_xlfn.IFS(Table3[[#This Row],[Drug_Cost_GBP]] &gt; 1200, "High Cost", Table3[[#This Row],[Drug_Cost_GBP]] &lt; 1200, "Normal")</f>
        <v>Normal</v>
      </c>
      <c r="L71" s="4" t="str" cm="1">
        <f t="array" ref="L71">IFERROR(_xlfn.IFS(Table3[[#This Row],[Age (Years)]]  &gt; 75, "YES", Table3[[#This Row],[Age (Years)]] &lt; 75, "NO"), "UNKNOWN")</f>
        <v>YES</v>
      </c>
      <c r="M71" s="4" t="str">
        <f>IF(Table3[[#This Row],[Drug_Cost_GBP]] &gt; Analysis_Sheet!$B$21, "Above Average", "Within Average")</f>
        <v>Within Average</v>
      </c>
      <c r="N71" s="39" t="str">
        <f t="shared" si="1"/>
        <v>August 2024</v>
      </c>
    </row>
    <row r="72" spans="1:14" x14ac:dyDescent="0.3">
      <c r="A72" s="1" t="s">
        <v>318</v>
      </c>
      <c r="B72" s="17">
        <v>77</v>
      </c>
      <c r="C72" s="2" t="s">
        <v>38</v>
      </c>
      <c r="D72" s="2" t="s">
        <v>14</v>
      </c>
      <c r="E72" s="2" t="s">
        <v>29</v>
      </c>
      <c r="F72" s="3">
        <v>45499</v>
      </c>
      <c r="G72" s="2">
        <v>12</v>
      </c>
      <c r="H72" s="13">
        <v>1002.0675517241378</v>
      </c>
      <c r="I72" s="4" t="s">
        <v>16</v>
      </c>
      <c r="J72" s="8" t="str" cm="1">
        <f t="array" ref="J72">_xlfn.IFS(Table3[[#This Row],[Age (Years)]] &lt; 40, "Young", Table3[[#This Row],[Age (Years)]] &gt;= 40, "Middle", Table3[[#This Row],[Age (Years)]] &gt; 60, "Senior")</f>
        <v>Middle</v>
      </c>
      <c r="K72" s="8" t="str" cm="1">
        <f t="array" ref="K72">_xlfn.IFS(Table3[[#This Row],[Drug_Cost_GBP]] &gt; 1200, "High Cost", Table3[[#This Row],[Drug_Cost_GBP]] &lt; 1200, "Normal")</f>
        <v>Normal</v>
      </c>
      <c r="L72" s="8" t="str" cm="1">
        <f t="array" ref="L72">IFERROR(_xlfn.IFS(Table3[[#This Row],[Age (Years)]]  &gt; 75, "YES", Table3[[#This Row],[Age (Years)]] &lt; 75, "NO"), "UNKNOWN")</f>
        <v>YES</v>
      </c>
      <c r="M72" s="8" t="str">
        <f>IF(Table3[[#This Row],[Drug_Cost_GBP]] &gt; Analysis_Sheet!$B$21, "Above Average", "Within Average")</f>
        <v>Within Average</v>
      </c>
      <c r="N72" s="39" t="str">
        <f t="shared" si="1"/>
        <v>July 2024</v>
      </c>
    </row>
    <row r="73" spans="1:14" x14ac:dyDescent="0.3">
      <c r="A73" s="5" t="s">
        <v>677</v>
      </c>
      <c r="B73" s="18">
        <v>77</v>
      </c>
      <c r="C73" s="6" t="s">
        <v>38</v>
      </c>
      <c r="D73" s="6" t="s">
        <v>898</v>
      </c>
      <c r="E73" s="6" t="s">
        <v>29</v>
      </c>
      <c r="F73" s="7">
        <v>45341</v>
      </c>
      <c r="G73" s="6">
        <v>12</v>
      </c>
      <c r="H73" s="14">
        <v>1002.0675517241378</v>
      </c>
      <c r="I73" s="8" t="s">
        <v>16</v>
      </c>
      <c r="J73" s="4" t="str" cm="1">
        <f t="array" ref="J73">_xlfn.IFS(Table3[[#This Row],[Age (Years)]] &lt; 40, "Young", Table3[[#This Row],[Age (Years)]] &gt;= 40, "Middle", Table3[[#This Row],[Age (Years)]] &gt; 60, "Senior")</f>
        <v>Middle</v>
      </c>
      <c r="K73" s="4" t="str" cm="1">
        <f t="array" ref="K73">_xlfn.IFS(Table3[[#This Row],[Drug_Cost_GBP]] &gt; 1200, "High Cost", Table3[[#This Row],[Drug_Cost_GBP]] &lt; 1200, "Normal")</f>
        <v>Normal</v>
      </c>
      <c r="L73" s="4" t="str" cm="1">
        <f t="array" ref="L73">IFERROR(_xlfn.IFS(Table3[[#This Row],[Age (Years)]]  &gt; 75, "YES", Table3[[#This Row],[Age (Years)]] &lt; 75, "NO"), "UNKNOWN")</f>
        <v>YES</v>
      </c>
      <c r="M73" s="4" t="str">
        <f>IF(Table3[[#This Row],[Drug_Cost_GBP]] &gt; Analysis_Sheet!$B$21, "Above Average", "Within Average")</f>
        <v>Within Average</v>
      </c>
      <c r="N73" s="39" t="str">
        <f t="shared" si="1"/>
        <v>February 2024</v>
      </c>
    </row>
    <row r="74" spans="1:14" x14ac:dyDescent="0.3">
      <c r="A74" s="1" t="s">
        <v>350</v>
      </c>
      <c r="B74" s="17">
        <v>76</v>
      </c>
      <c r="C74" s="2" t="s">
        <v>38</v>
      </c>
      <c r="D74" s="2" t="s">
        <v>900</v>
      </c>
      <c r="E74" s="2" t="s">
        <v>23</v>
      </c>
      <c r="F74" s="3">
        <v>45331</v>
      </c>
      <c r="G74" s="2">
        <v>12</v>
      </c>
      <c r="H74" s="13">
        <v>904.59</v>
      </c>
      <c r="I74" s="4" t="s">
        <v>900</v>
      </c>
      <c r="J74" s="8" t="str" cm="1">
        <f t="array" ref="J74">_xlfn.IFS(Table3[[#This Row],[Age (Years)]] &lt; 40, "Young", Table3[[#This Row],[Age (Years)]] &gt;= 40, "Middle", Table3[[#This Row],[Age (Years)]] &gt; 60, "Senior")</f>
        <v>Middle</v>
      </c>
      <c r="K74" s="8" t="str" cm="1">
        <f t="array" ref="K74">_xlfn.IFS(Table3[[#This Row],[Drug_Cost_GBP]] &gt; 1200, "High Cost", Table3[[#This Row],[Drug_Cost_GBP]] &lt; 1200, "Normal")</f>
        <v>Normal</v>
      </c>
      <c r="L74" s="8" t="str" cm="1">
        <f t="array" ref="L74">IFERROR(_xlfn.IFS(Table3[[#This Row],[Age (Years)]]  &gt; 75, "YES", Table3[[#This Row],[Age (Years)]] &lt; 75, "NO"), "UNKNOWN")</f>
        <v>YES</v>
      </c>
      <c r="M74" s="8" t="str">
        <f>IF(Table3[[#This Row],[Drug_Cost_GBP]] &gt; Analysis_Sheet!$B$21, "Above Average", "Within Average")</f>
        <v>Within Average</v>
      </c>
      <c r="N74" s="39" t="str">
        <f t="shared" si="1"/>
        <v>February 2024</v>
      </c>
    </row>
    <row r="75" spans="1:14" x14ac:dyDescent="0.3">
      <c r="A75" s="5" t="s">
        <v>385</v>
      </c>
      <c r="B75" s="18">
        <v>76</v>
      </c>
      <c r="C75" s="6" t="s">
        <v>899</v>
      </c>
      <c r="D75" s="6" t="s">
        <v>14</v>
      </c>
      <c r="E75" s="6" t="s">
        <v>23</v>
      </c>
      <c r="F75" s="7">
        <v>45380</v>
      </c>
      <c r="G75" s="6">
        <v>12</v>
      </c>
      <c r="H75" s="14">
        <v>563.05999999999995</v>
      </c>
      <c r="I75" s="8" t="s">
        <v>12</v>
      </c>
      <c r="J75" s="8" t="str" cm="1">
        <f t="array" ref="J75">_xlfn.IFS(Table3[[#This Row],[Age (Years)]] &lt; 40, "Young", Table3[[#This Row],[Age (Years)]] &gt;= 40, "Middle", Table3[[#This Row],[Age (Years)]] &gt; 60, "Senior")</f>
        <v>Middle</v>
      </c>
      <c r="K75" s="8" t="str" cm="1">
        <f t="array" ref="K75">_xlfn.IFS(Table3[[#This Row],[Drug_Cost_GBP]] &gt; 1200, "High Cost", Table3[[#This Row],[Drug_Cost_GBP]] &lt; 1200, "Normal")</f>
        <v>Normal</v>
      </c>
      <c r="L75" s="8" t="str" cm="1">
        <f t="array" ref="L75">IFERROR(_xlfn.IFS(Table3[[#This Row],[Age (Years)]]  &gt; 75, "YES", Table3[[#This Row],[Age (Years)]] &lt; 75, "NO"), "UNKNOWN")</f>
        <v>YES</v>
      </c>
      <c r="M75" s="8" t="str">
        <f>IF(Table3[[#This Row],[Drug_Cost_GBP]] &gt; Analysis_Sheet!$B$21, "Above Average", "Within Average")</f>
        <v>Within Average</v>
      </c>
      <c r="N75" s="39" t="str">
        <f t="shared" si="1"/>
        <v>March 2024</v>
      </c>
    </row>
    <row r="76" spans="1:14" x14ac:dyDescent="0.3">
      <c r="A76" s="5" t="s">
        <v>397</v>
      </c>
      <c r="B76" s="18">
        <v>76</v>
      </c>
      <c r="C76" s="6" t="s">
        <v>38</v>
      </c>
      <c r="D76" s="6" t="s">
        <v>25</v>
      </c>
      <c r="E76" s="6" t="s">
        <v>23</v>
      </c>
      <c r="F76" s="7">
        <v>45618</v>
      </c>
      <c r="G76" s="6">
        <v>20</v>
      </c>
      <c r="H76" s="14">
        <v>1002.0675517241378</v>
      </c>
      <c r="I76" s="8" t="s">
        <v>16</v>
      </c>
      <c r="J76" s="4" t="str" cm="1">
        <f t="array" ref="J76">_xlfn.IFS(Table3[[#This Row],[Age (Years)]] &lt; 40, "Young", Table3[[#This Row],[Age (Years)]] &gt;= 40, "Middle", Table3[[#This Row],[Age (Years)]] &gt; 60, "Senior")</f>
        <v>Middle</v>
      </c>
      <c r="K76" s="4" t="str" cm="1">
        <f t="array" ref="K76">_xlfn.IFS(Table3[[#This Row],[Drug_Cost_GBP]] &gt; 1200, "High Cost", Table3[[#This Row],[Drug_Cost_GBP]] &lt; 1200, "Normal")</f>
        <v>Normal</v>
      </c>
      <c r="L76" s="4" t="str" cm="1">
        <f t="array" ref="L76">IFERROR(_xlfn.IFS(Table3[[#This Row],[Age (Years)]]  &gt; 75, "YES", Table3[[#This Row],[Age (Years)]] &lt; 75, "NO"), "UNKNOWN")</f>
        <v>YES</v>
      </c>
      <c r="M76" s="4" t="str">
        <f>IF(Table3[[#This Row],[Drug_Cost_GBP]] &gt; Analysis_Sheet!$B$21, "Above Average", "Within Average")</f>
        <v>Within Average</v>
      </c>
      <c r="N76" s="39" t="str">
        <f t="shared" si="1"/>
        <v>November 2024</v>
      </c>
    </row>
    <row r="77" spans="1:14" x14ac:dyDescent="0.3">
      <c r="A77" s="1" t="s">
        <v>542</v>
      </c>
      <c r="B77" s="17">
        <v>76</v>
      </c>
      <c r="C77" s="2" t="s">
        <v>899</v>
      </c>
      <c r="D77" s="2" t="s">
        <v>898</v>
      </c>
      <c r="E77" s="2" t="s">
        <v>34</v>
      </c>
      <c r="F77" s="3">
        <v>45430</v>
      </c>
      <c r="G77" s="2">
        <v>12</v>
      </c>
      <c r="H77" s="13">
        <v>1002.0675517241378</v>
      </c>
      <c r="I77" s="4" t="s">
        <v>900</v>
      </c>
      <c r="J77" s="4" t="str" cm="1">
        <f t="array" ref="J77">_xlfn.IFS(Table3[[#This Row],[Age (Years)]] &lt; 40, "Young", Table3[[#This Row],[Age (Years)]] &gt;= 40, "Middle", Table3[[#This Row],[Age (Years)]] &gt; 60, "Senior")</f>
        <v>Middle</v>
      </c>
      <c r="K77" s="4" t="str" cm="1">
        <f t="array" ref="K77">_xlfn.IFS(Table3[[#This Row],[Drug_Cost_GBP]] &gt; 1200, "High Cost", Table3[[#This Row],[Drug_Cost_GBP]] &lt; 1200, "Normal")</f>
        <v>Normal</v>
      </c>
      <c r="L77" s="4" t="str" cm="1">
        <f t="array" ref="L77">IFERROR(_xlfn.IFS(Table3[[#This Row],[Age (Years)]]  &gt; 75, "YES", Table3[[#This Row],[Age (Years)]] &lt; 75, "NO"), "UNKNOWN")</f>
        <v>YES</v>
      </c>
      <c r="M77" s="4" t="str">
        <f>IF(Table3[[#This Row],[Drug_Cost_GBP]] &gt; Analysis_Sheet!$B$21, "Above Average", "Within Average")</f>
        <v>Within Average</v>
      </c>
      <c r="N77" s="39" t="str">
        <f t="shared" si="1"/>
        <v>May 2024</v>
      </c>
    </row>
    <row r="78" spans="1:14" x14ac:dyDescent="0.3">
      <c r="A78" s="1" t="s">
        <v>572</v>
      </c>
      <c r="B78" s="17">
        <v>76</v>
      </c>
      <c r="C78" s="2" t="s">
        <v>900</v>
      </c>
      <c r="D78" s="2" t="s">
        <v>25</v>
      </c>
      <c r="E78" s="2" t="s">
        <v>29</v>
      </c>
      <c r="F78" s="3">
        <v>45559</v>
      </c>
      <c r="G78" s="2">
        <v>7</v>
      </c>
      <c r="H78" s="13">
        <v>1002.0675517241378</v>
      </c>
      <c r="I78" s="4" t="s">
        <v>12</v>
      </c>
      <c r="J78" s="8" t="str" cm="1">
        <f t="array" ref="J78">_xlfn.IFS(Table3[[#This Row],[Age (Years)]] &lt; 40, "Young", Table3[[#This Row],[Age (Years)]] &gt;= 40, "Middle", Table3[[#This Row],[Age (Years)]] &gt; 60, "Senior")</f>
        <v>Middle</v>
      </c>
      <c r="K78" s="8" t="str" cm="1">
        <f t="array" ref="K78">_xlfn.IFS(Table3[[#This Row],[Drug_Cost_GBP]] &gt; 1200, "High Cost", Table3[[#This Row],[Drug_Cost_GBP]] &lt; 1200, "Normal")</f>
        <v>Normal</v>
      </c>
      <c r="L78" s="8" t="str" cm="1">
        <f t="array" ref="L78">IFERROR(_xlfn.IFS(Table3[[#This Row],[Age (Years)]]  &gt; 75, "YES", Table3[[#This Row],[Age (Years)]] &lt; 75, "NO"), "UNKNOWN")</f>
        <v>YES</v>
      </c>
      <c r="M78" s="8" t="str">
        <f>IF(Table3[[#This Row],[Drug_Cost_GBP]] &gt; Analysis_Sheet!$B$21, "Above Average", "Within Average")</f>
        <v>Within Average</v>
      </c>
      <c r="N78" s="39" t="str">
        <f t="shared" si="1"/>
        <v>September 2024</v>
      </c>
    </row>
    <row r="79" spans="1:14" x14ac:dyDescent="0.3">
      <c r="A79" s="5" t="s">
        <v>667</v>
      </c>
      <c r="B79" s="18">
        <v>76</v>
      </c>
      <c r="C79" s="6" t="s">
        <v>899</v>
      </c>
      <c r="D79" s="6" t="s">
        <v>48</v>
      </c>
      <c r="E79" s="6" t="s">
        <v>29</v>
      </c>
      <c r="F79" s="7">
        <v>45406</v>
      </c>
      <c r="G79" s="6">
        <v>15</v>
      </c>
      <c r="H79" s="14">
        <v>1002.0675517241378</v>
      </c>
      <c r="I79" s="8" t="s">
        <v>16</v>
      </c>
      <c r="J79" s="8" t="str" cm="1">
        <f t="array" ref="J79">_xlfn.IFS(Table3[[#This Row],[Age (Years)]] &lt; 40, "Young", Table3[[#This Row],[Age (Years)]] &gt;= 40, "Middle", Table3[[#This Row],[Age (Years)]] &gt; 60, "Senior")</f>
        <v>Middle</v>
      </c>
      <c r="K79" s="8" t="str" cm="1">
        <f t="array" ref="K79">_xlfn.IFS(Table3[[#This Row],[Drug_Cost_GBP]] &gt; 1200, "High Cost", Table3[[#This Row],[Drug_Cost_GBP]] &lt; 1200, "Normal")</f>
        <v>Normal</v>
      </c>
      <c r="L79" s="8" t="str" cm="1">
        <f t="array" ref="L79">IFERROR(_xlfn.IFS(Table3[[#This Row],[Age (Years)]]  &gt; 75, "YES", Table3[[#This Row],[Age (Years)]] &lt; 75, "NO"), "UNKNOWN")</f>
        <v>YES</v>
      </c>
      <c r="M79" s="8" t="str">
        <f>IF(Table3[[#This Row],[Drug_Cost_GBP]] &gt; Analysis_Sheet!$B$21, "Above Average", "Within Average")</f>
        <v>Within Average</v>
      </c>
      <c r="N79" s="39" t="str">
        <f t="shared" si="1"/>
        <v>April 2024</v>
      </c>
    </row>
    <row r="80" spans="1:14" x14ac:dyDescent="0.3">
      <c r="A80" s="5" t="s">
        <v>675</v>
      </c>
      <c r="B80" s="18">
        <v>76</v>
      </c>
      <c r="C80" s="6" t="s">
        <v>38</v>
      </c>
      <c r="D80" s="6" t="s">
        <v>900</v>
      </c>
      <c r="E80" s="6" t="s">
        <v>57</v>
      </c>
      <c r="F80" s="7">
        <v>45387</v>
      </c>
      <c r="G80" s="6">
        <v>2</v>
      </c>
      <c r="H80" s="14">
        <v>1002.0675517241378</v>
      </c>
      <c r="I80" s="8" t="s">
        <v>26</v>
      </c>
      <c r="J80" s="4" t="str" cm="1">
        <f t="array" ref="J80">_xlfn.IFS(Table3[[#This Row],[Age (Years)]] &lt; 40, "Young", Table3[[#This Row],[Age (Years)]] &gt;= 40, "Middle", Table3[[#This Row],[Age (Years)]] &gt; 60, "Senior")</f>
        <v>Middle</v>
      </c>
      <c r="K80" s="4" t="str" cm="1">
        <f t="array" ref="K80">_xlfn.IFS(Table3[[#This Row],[Drug_Cost_GBP]] &gt; 1200, "High Cost", Table3[[#This Row],[Drug_Cost_GBP]] &lt; 1200, "Normal")</f>
        <v>Normal</v>
      </c>
      <c r="L80" s="4" t="str" cm="1">
        <f t="array" ref="L80">IFERROR(_xlfn.IFS(Table3[[#This Row],[Age (Years)]]  &gt; 75, "YES", Table3[[#This Row],[Age (Years)]] &lt; 75, "NO"), "UNKNOWN")</f>
        <v>YES</v>
      </c>
      <c r="M80" s="4" t="str">
        <f>IF(Table3[[#This Row],[Drug_Cost_GBP]] &gt; Analysis_Sheet!$B$21, "Above Average", "Within Average")</f>
        <v>Within Average</v>
      </c>
      <c r="N80" s="39" t="str">
        <f t="shared" si="1"/>
        <v>April 2024</v>
      </c>
    </row>
    <row r="81" spans="1:14" x14ac:dyDescent="0.3">
      <c r="A81" s="1" t="s">
        <v>750</v>
      </c>
      <c r="B81" s="17">
        <v>76</v>
      </c>
      <c r="C81" s="2" t="s">
        <v>899</v>
      </c>
      <c r="D81" s="2" t="s">
        <v>14</v>
      </c>
      <c r="E81" s="2" t="s">
        <v>34</v>
      </c>
      <c r="F81" s="3">
        <v>45457</v>
      </c>
      <c r="G81" s="2">
        <v>4</v>
      </c>
      <c r="H81" s="13">
        <v>1002.0675517241378</v>
      </c>
      <c r="I81" s="4" t="s">
        <v>12</v>
      </c>
      <c r="J81" s="4" t="str" cm="1">
        <f t="array" ref="J81">_xlfn.IFS(Table3[[#This Row],[Age (Years)]] &lt; 40, "Young", Table3[[#This Row],[Age (Years)]] &gt;= 40, "Middle", Table3[[#This Row],[Age (Years)]] &gt; 60, "Senior")</f>
        <v>Middle</v>
      </c>
      <c r="K81" s="4" t="str" cm="1">
        <f t="array" ref="K81">_xlfn.IFS(Table3[[#This Row],[Drug_Cost_GBP]] &gt; 1200, "High Cost", Table3[[#This Row],[Drug_Cost_GBP]] &lt; 1200, "Normal")</f>
        <v>Normal</v>
      </c>
      <c r="L81" s="4" t="str" cm="1">
        <f t="array" ref="L81">IFERROR(_xlfn.IFS(Table3[[#This Row],[Age (Years)]]  &gt; 75, "YES", Table3[[#This Row],[Age (Years)]] &lt; 75, "NO"), "UNKNOWN")</f>
        <v>YES</v>
      </c>
      <c r="M81" s="4" t="str">
        <f>IF(Table3[[#This Row],[Drug_Cost_GBP]] &gt; Analysis_Sheet!$B$21, "Above Average", "Within Average")</f>
        <v>Within Average</v>
      </c>
      <c r="N81" s="39" t="str">
        <f t="shared" si="1"/>
        <v>June 2024</v>
      </c>
    </row>
    <row r="82" spans="1:14" x14ac:dyDescent="0.3">
      <c r="A82" s="1" t="s">
        <v>780</v>
      </c>
      <c r="B82" s="17">
        <v>76</v>
      </c>
      <c r="C82" s="2" t="s">
        <v>899</v>
      </c>
      <c r="D82" s="2" t="s">
        <v>51</v>
      </c>
      <c r="E82" s="2" t="s">
        <v>23</v>
      </c>
      <c r="F82" s="3">
        <v>45565</v>
      </c>
      <c r="G82" s="2">
        <v>12</v>
      </c>
      <c r="H82" s="13">
        <v>1002.0675517241378</v>
      </c>
      <c r="I82" s="4" t="s">
        <v>26</v>
      </c>
      <c r="J82" s="8" t="str" cm="1">
        <f t="array" ref="J82">_xlfn.IFS(Table3[[#This Row],[Age (Years)]] &lt; 40, "Young", Table3[[#This Row],[Age (Years)]] &gt;= 40, "Middle", Table3[[#This Row],[Age (Years)]] &gt; 60, "Senior")</f>
        <v>Middle</v>
      </c>
      <c r="K82" s="8" t="str" cm="1">
        <f t="array" ref="K82">_xlfn.IFS(Table3[[#This Row],[Drug_Cost_GBP]] &gt; 1200, "High Cost", Table3[[#This Row],[Drug_Cost_GBP]] &lt; 1200, "Normal")</f>
        <v>Normal</v>
      </c>
      <c r="L82" s="8" t="str" cm="1">
        <f t="array" ref="L82">IFERROR(_xlfn.IFS(Table3[[#This Row],[Age (Years)]]  &gt; 75, "YES", Table3[[#This Row],[Age (Years)]] &lt; 75, "NO"), "UNKNOWN")</f>
        <v>YES</v>
      </c>
      <c r="M82" s="8" t="str">
        <f>IF(Table3[[#This Row],[Drug_Cost_GBP]] &gt; Analysis_Sheet!$B$21, "Above Average", "Within Average")</f>
        <v>Within Average</v>
      </c>
      <c r="N82" s="39" t="str">
        <f t="shared" si="1"/>
        <v>September 2024</v>
      </c>
    </row>
    <row r="83" spans="1:14" x14ac:dyDescent="0.3">
      <c r="A83" s="5" t="s">
        <v>785</v>
      </c>
      <c r="B83" s="18">
        <v>76</v>
      </c>
      <c r="C83" s="6" t="s">
        <v>38</v>
      </c>
      <c r="D83" s="6" t="s">
        <v>898</v>
      </c>
      <c r="E83" s="6" t="s">
        <v>43</v>
      </c>
      <c r="F83" s="7">
        <v>45553</v>
      </c>
      <c r="G83" s="6">
        <v>12</v>
      </c>
      <c r="H83" s="14">
        <v>1002.0675517241378</v>
      </c>
      <c r="I83" s="8" t="s">
        <v>12</v>
      </c>
      <c r="J83" s="8" t="str" cm="1">
        <f t="array" ref="J83">_xlfn.IFS(Table3[[#This Row],[Age (Years)]] &lt; 40, "Young", Table3[[#This Row],[Age (Years)]] &gt;= 40, "Middle", Table3[[#This Row],[Age (Years)]] &gt; 60, "Senior")</f>
        <v>Middle</v>
      </c>
      <c r="K83" s="8" t="str" cm="1">
        <f t="array" ref="K83">_xlfn.IFS(Table3[[#This Row],[Drug_Cost_GBP]] &gt; 1200, "High Cost", Table3[[#This Row],[Drug_Cost_GBP]] &lt; 1200, "Normal")</f>
        <v>Normal</v>
      </c>
      <c r="L83" s="8" t="str" cm="1">
        <f t="array" ref="L83">IFERROR(_xlfn.IFS(Table3[[#This Row],[Age (Years)]]  &gt; 75, "YES", Table3[[#This Row],[Age (Years)]] &lt; 75, "NO"), "UNKNOWN")</f>
        <v>YES</v>
      </c>
      <c r="M83" s="8" t="str">
        <f>IF(Table3[[#This Row],[Drug_Cost_GBP]] &gt; Analysis_Sheet!$B$21, "Above Average", "Within Average")</f>
        <v>Within Average</v>
      </c>
      <c r="N83" s="39" t="str">
        <f t="shared" si="1"/>
        <v>September 2024</v>
      </c>
    </row>
    <row r="84" spans="1:14" x14ac:dyDescent="0.3">
      <c r="A84" s="1" t="s">
        <v>554</v>
      </c>
      <c r="B84" s="17">
        <v>75</v>
      </c>
      <c r="C84" s="2" t="s">
        <v>38</v>
      </c>
      <c r="D84" s="2" t="s">
        <v>900</v>
      </c>
      <c r="E84" s="2" t="s">
        <v>23</v>
      </c>
      <c r="F84" s="3">
        <v>45512</v>
      </c>
      <c r="G84" s="2">
        <v>12</v>
      </c>
      <c r="H84" s="13">
        <v>589.96</v>
      </c>
      <c r="I84" s="4" t="s">
        <v>900</v>
      </c>
      <c r="J84" s="4" t="str" cm="1">
        <f t="array" ref="J84">_xlfn.IFS(Table3[[#This Row],[Age (Years)]] &lt; 40, "Young", Table3[[#This Row],[Age (Years)]] &gt;= 40, "Middle", Table3[[#This Row],[Age (Years)]] &gt; 60, "Senior")</f>
        <v>Middle</v>
      </c>
      <c r="K84" s="4" t="str" cm="1">
        <f t="array" ref="K84">_xlfn.IFS(Table3[[#This Row],[Drug_Cost_GBP]] &gt; 1200, "High Cost", Table3[[#This Row],[Drug_Cost_GBP]] &lt; 1200, "Normal")</f>
        <v>Normal</v>
      </c>
      <c r="L84" s="4" t="str" cm="1">
        <f t="array" ref="L84">IFERROR(_xlfn.IFS(Table3[[#This Row],[Age (Years)]]  &gt; 75, "YES", Table3[[#This Row],[Age (Years)]] &lt; 75, "NO"), "UNKNOWN")</f>
        <v>UNKNOWN</v>
      </c>
      <c r="M84" s="4" t="str">
        <f>IF(Table3[[#This Row],[Drug_Cost_GBP]] &gt; Analysis_Sheet!$B$21, "Above Average", "Within Average")</f>
        <v>Within Average</v>
      </c>
      <c r="N84" s="39" t="str">
        <f t="shared" si="1"/>
        <v>August 2024</v>
      </c>
    </row>
    <row r="85" spans="1:14" x14ac:dyDescent="0.3">
      <c r="A85" s="1" t="s">
        <v>614</v>
      </c>
      <c r="B85" s="17">
        <v>75</v>
      </c>
      <c r="C85" s="2" t="s">
        <v>38</v>
      </c>
      <c r="D85" s="2" t="s">
        <v>14</v>
      </c>
      <c r="E85" s="2" t="s">
        <v>11</v>
      </c>
      <c r="F85" s="3" t="s">
        <v>900</v>
      </c>
      <c r="G85" s="2">
        <v>11</v>
      </c>
      <c r="H85" s="13">
        <v>1002.0675517241378</v>
      </c>
      <c r="I85" s="4" t="s">
        <v>16</v>
      </c>
      <c r="J85" s="4" t="str" cm="1">
        <f t="array" ref="J85">_xlfn.IFS(Table3[[#This Row],[Age (Years)]] &lt; 40, "Young", Table3[[#This Row],[Age (Years)]] &gt;= 40, "Middle", Table3[[#This Row],[Age (Years)]] &gt; 60, "Senior")</f>
        <v>Middle</v>
      </c>
      <c r="K85" s="4" t="str" cm="1">
        <f t="array" ref="K85">_xlfn.IFS(Table3[[#This Row],[Drug_Cost_GBP]] &gt; 1200, "High Cost", Table3[[#This Row],[Drug_Cost_GBP]] &lt; 1200, "Normal")</f>
        <v>Normal</v>
      </c>
      <c r="L85" s="4" t="str" cm="1">
        <f t="array" ref="L85">IFERROR(_xlfn.IFS(Table3[[#This Row],[Age (Years)]]  &gt; 75, "YES", Table3[[#This Row],[Age (Years)]] &lt; 75, "NO"), "UNKNOWN")</f>
        <v>UNKNOWN</v>
      </c>
      <c r="M85" s="4" t="str">
        <f>IF(Table3[[#This Row],[Drug_Cost_GBP]] &gt; Analysis_Sheet!$B$21, "Above Average", "Within Average")</f>
        <v>Within Average</v>
      </c>
      <c r="N85" s="39" t="str">
        <f t="shared" si="1"/>
        <v>Unknown</v>
      </c>
    </row>
    <row r="86" spans="1:14" x14ac:dyDescent="0.3">
      <c r="A86" s="1" t="s">
        <v>724</v>
      </c>
      <c r="B86" s="17">
        <v>75</v>
      </c>
      <c r="C86" s="2" t="s">
        <v>900</v>
      </c>
      <c r="D86" s="2" t="s">
        <v>14</v>
      </c>
      <c r="E86" s="2" t="s">
        <v>57</v>
      </c>
      <c r="F86" s="3">
        <v>45473</v>
      </c>
      <c r="G86" s="2">
        <v>12</v>
      </c>
      <c r="H86" s="13">
        <v>1002.0675517241378</v>
      </c>
      <c r="I86" s="4" t="s">
        <v>900</v>
      </c>
      <c r="J86" s="4" t="str" cm="1">
        <f t="array" ref="J86">_xlfn.IFS(Table3[[#This Row],[Age (Years)]] &lt; 40, "Young", Table3[[#This Row],[Age (Years)]] &gt;= 40, "Middle", Table3[[#This Row],[Age (Years)]] &gt; 60, "Senior")</f>
        <v>Middle</v>
      </c>
      <c r="K86" s="4" t="str" cm="1">
        <f t="array" ref="K86">_xlfn.IFS(Table3[[#This Row],[Drug_Cost_GBP]] &gt; 1200, "High Cost", Table3[[#This Row],[Drug_Cost_GBP]] &lt; 1200, "Normal")</f>
        <v>Normal</v>
      </c>
      <c r="L86" s="4" t="str" cm="1">
        <f t="array" ref="L86">IFERROR(_xlfn.IFS(Table3[[#This Row],[Age (Years)]]  &gt; 75, "YES", Table3[[#This Row],[Age (Years)]] &lt; 75, "NO"), "UNKNOWN")</f>
        <v>UNKNOWN</v>
      </c>
      <c r="M86" s="4" t="str">
        <f>IF(Table3[[#This Row],[Drug_Cost_GBP]] &gt; Analysis_Sheet!$B$21, "Above Average", "Within Average")</f>
        <v>Within Average</v>
      </c>
      <c r="N86" s="39" t="str">
        <f t="shared" si="1"/>
        <v>June 2024</v>
      </c>
    </row>
    <row r="87" spans="1:14" x14ac:dyDescent="0.3">
      <c r="A87" s="1" t="s">
        <v>756</v>
      </c>
      <c r="B87" s="17">
        <v>75</v>
      </c>
      <c r="C87" s="2" t="s">
        <v>38</v>
      </c>
      <c r="D87" s="2" t="s">
        <v>900</v>
      </c>
      <c r="E87" s="2" t="s">
        <v>43</v>
      </c>
      <c r="F87" s="3">
        <v>45585</v>
      </c>
      <c r="G87" s="2">
        <v>12</v>
      </c>
      <c r="H87" s="13">
        <v>1002.0675517241378</v>
      </c>
      <c r="I87" s="4" t="s">
        <v>16</v>
      </c>
      <c r="J87" s="4" t="str" cm="1">
        <f t="array" ref="J87">_xlfn.IFS(Table3[[#This Row],[Age (Years)]] &lt; 40, "Young", Table3[[#This Row],[Age (Years)]] &gt;= 40, "Middle", Table3[[#This Row],[Age (Years)]] &gt; 60, "Senior")</f>
        <v>Middle</v>
      </c>
      <c r="K87" s="4" t="str" cm="1">
        <f t="array" ref="K87">_xlfn.IFS(Table3[[#This Row],[Drug_Cost_GBP]] &gt; 1200, "High Cost", Table3[[#This Row],[Drug_Cost_GBP]] &lt; 1200, "Normal")</f>
        <v>Normal</v>
      </c>
      <c r="L87" s="4" t="str" cm="1">
        <f t="array" ref="L87">IFERROR(_xlfn.IFS(Table3[[#This Row],[Age (Years)]]  &gt; 75, "YES", Table3[[#This Row],[Age (Years)]] &lt; 75, "NO"), "UNKNOWN")</f>
        <v>UNKNOWN</v>
      </c>
      <c r="M87" s="4" t="str">
        <f>IF(Table3[[#This Row],[Drug_Cost_GBP]] &gt; Analysis_Sheet!$B$21, "Above Average", "Within Average")</f>
        <v>Within Average</v>
      </c>
      <c r="N87" s="39" t="str">
        <f t="shared" si="1"/>
        <v>October 2024</v>
      </c>
    </row>
    <row r="88" spans="1:14" x14ac:dyDescent="0.3">
      <c r="A88" s="1" t="s">
        <v>114</v>
      </c>
      <c r="B88" s="17">
        <v>74</v>
      </c>
      <c r="C88" s="2" t="s">
        <v>899</v>
      </c>
      <c r="D88" s="2" t="s">
        <v>51</v>
      </c>
      <c r="E88" s="2" t="s">
        <v>34</v>
      </c>
      <c r="F88" s="3">
        <v>45625</v>
      </c>
      <c r="G88" s="2">
        <v>12</v>
      </c>
      <c r="H88" s="13">
        <v>1002.0675517241378</v>
      </c>
      <c r="I88" s="4" t="s">
        <v>12</v>
      </c>
      <c r="J88" s="8" t="str" cm="1">
        <f t="array" ref="J88">_xlfn.IFS(Table3[[#This Row],[Age (Years)]] &lt; 40, "Young", Table3[[#This Row],[Age (Years)]] &gt;= 40, "Middle", Table3[[#This Row],[Age (Years)]] &gt; 60, "Senior")</f>
        <v>Middle</v>
      </c>
      <c r="K88" s="8" t="str" cm="1">
        <f t="array" ref="K88">_xlfn.IFS(Table3[[#This Row],[Drug_Cost_GBP]] &gt; 1200, "High Cost", Table3[[#This Row],[Drug_Cost_GBP]] &lt; 1200, "Normal")</f>
        <v>Normal</v>
      </c>
      <c r="L88" s="8" t="str" cm="1">
        <f t="array" ref="L88">IFERROR(_xlfn.IFS(Table3[[#This Row],[Age (Years)]]  &gt; 75, "YES", Table3[[#This Row],[Age (Years)]] &lt; 75, "NO"), "UNKNOWN")</f>
        <v>NO</v>
      </c>
      <c r="M88" s="8" t="str">
        <f>IF(Table3[[#This Row],[Drug_Cost_GBP]] &gt; Analysis_Sheet!$B$21, "Above Average", "Within Average")</f>
        <v>Within Average</v>
      </c>
      <c r="N88" s="39" t="str">
        <f t="shared" si="1"/>
        <v>November 2024</v>
      </c>
    </row>
    <row r="89" spans="1:14" x14ac:dyDescent="0.3">
      <c r="A89" s="5" t="s">
        <v>223</v>
      </c>
      <c r="B89" s="18">
        <v>74</v>
      </c>
      <c r="C89" s="6" t="s">
        <v>899</v>
      </c>
      <c r="D89" s="6" t="s">
        <v>14</v>
      </c>
      <c r="E89" s="6" t="s">
        <v>23</v>
      </c>
      <c r="F89" s="7">
        <v>45417</v>
      </c>
      <c r="G89" s="6">
        <v>12</v>
      </c>
      <c r="H89" s="14">
        <v>1131.96</v>
      </c>
      <c r="I89" s="8" t="s">
        <v>26</v>
      </c>
      <c r="J89" s="4" t="str" cm="1">
        <f t="array" ref="J89">_xlfn.IFS(Table3[[#This Row],[Age (Years)]] &lt; 40, "Young", Table3[[#This Row],[Age (Years)]] &gt;= 40, "Middle", Table3[[#This Row],[Age (Years)]] &gt; 60, "Senior")</f>
        <v>Middle</v>
      </c>
      <c r="K89" s="4" t="str" cm="1">
        <f t="array" ref="K89">_xlfn.IFS(Table3[[#This Row],[Drug_Cost_GBP]] &gt; 1200, "High Cost", Table3[[#This Row],[Drug_Cost_GBP]] &lt; 1200, "Normal")</f>
        <v>Normal</v>
      </c>
      <c r="L89" s="4" t="str" cm="1">
        <f t="array" ref="L89">IFERROR(_xlfn.IFS(Table3[[#This Row],[Age (Years)]]  &gt; 75, "YES", Table3[[#This Row],[Age (Years)]] &lt; 75, "NO"), "UNKNOWN")</f>
        <v>NO</v>
      </c>
      <c r="M89" s="4" t="str">
        <f>IF(Table3[[#This Row],[Drug_Cost_GBP]] &gt; Analysis_Sheet!$B$21, "Above Average", "Within Average")</f>
        <v>Above Average</v>
      </c>
      <c r="N89" s="39" t="str">
        <f t="shared" si="1"/>
        <v>May 2024</v>
      </c>
    </row>
    <row r="90" spans="1:14" x14ac:dyDescent="0.3">
      <c r="A90" s="1" t="s">
        <v>248</v>
      </c>
      <c r="B90" s="17">
        <v>74</v>
      </c>
      <c r="C90" s="2" t="s">
        <v>38</v>
      </c>
      <c r="D90" s="2" t="s">
        <v>25</v>
      </c>
      <c r="E90" s="2" t="s">
        <v>29</v>
      </c>
      <c r="F90" s="3" t="s">
        <v>900</v>
      </c>
      <c r="G90" s="2">
        <v>12</v>
      </c>
      <c r="H90" s="13">
        <v>1002.0675517241378</v>
      </c>
      <c r="I90" s="4" t="s">
        <v>900</v>
      </c>
      <c r="J90" s="4" t="str" cm="1">
        <f t="array" ref="J90">_xlfn.IFS(Table3[[#This Row],[Age (Years)]] &lt; 40, "Young", Table3[[#This Row],[Age (Years)]] &gt;= 40, "Middle", Table3[[#This Row],[Age (Years)]] &gt; 60, "Senior")</f>
        <v>Middle</v>
      </c>
      <c r="K90" s="4" t="str" cm="1">
        <f t="array" ref="K90">_xlfn.IFS(Table3[[#This Row],[Drug_Cost_GBP]] &gt; 1200, "High Cost", Table3[[#This Row],[Drug_Cost_GBP]] &lt; 1200, "Normal")</f>
        <v>Normal</v>
      </c>
      <c r="L90" s="4" t="str" cm="1">
        <f t="array" ref="L90">IFERROR(_xlfn.IFS(Table3[[#This Row],[Age (Years)]]  &gt; 75, "YES", Table3[[#This Row],[Age (Years)]] &lt; 75, "NO"), "UNKNOWN")</f>
        <v>NO</v>
      </c>
      <c r="M90" s="4" t="str">
        <f>IF(Table3[[#This Row],[Drug_Cost_GBP]] &gt; Analysis_Sheet!$B$21, "Above Average", "Within Average")</f>
        <v>Within Average</v>
      </c>
      <c r="N90" s="39" t="str">
        <f t="shared" si="1"/>
        <v>Unknown</v>
      </c>
    </row>
    <row r="91" spans="1:14" x14ac:dyDescent="0.3">
      <c r="A91" s="5" t="s">
        <v>75</v>
      </c>
      <c r="B91" s="18">
        <v>73</v>
      </c>
      <c r="C91" s="6" t="s">
        <v>38</v>
      </c>
      <c r="D91" s="6" t="s">
        <v>51</v>
      </c>
      <c r="E91" s="6" t="s">
        <v>29</v>
      </c>
      <c r="F91" s="7">
        <v>45473</v>
      </c>
      <c r="G91" s="6">
        <v>12</v>
      </c>
      <c r="H91" s="14">
        <v>1002.0675517241378</v>
      </c>
      <c r="I91" s="8" t="s">
        <v>12</v>
      </c>
      <c r="J91" s="8" t="str" cm="1">
        <f t="array" ref="J91">_xlfn.IFS(Table3[[#This Row],[Age (Years)]] &lt; 40, "Young", Table3[[#This Row],[Age (Years)]] &gt;= 40, "Middle", Table3[[#This Row],[Age (Years)]] &gt; 60, "Senior")</f>
        <v>Middle</v>
      </c>
      <c r="K91" s="8" t="str" cm="1">
        <f t="array" ref="K91">_xlfn.IFS(Table3[[#This Row],[Drug_Cost_GBP]] &gt; 1200, "High Cost", Table3[[#This Row],[Drug_Cost_GBP]] &lt; 1200, "Normal")</f>
        <v>Normal</v>
      </c>
      <c r="L91" s="8" t="str" cm="1">
        <f t="array" ref="L91">IFERROR(_xlfn.IFS(Table3[[#This Row],[Age (Years)]]  &gt; 75, "YES", Table3[[#This Row],[Age (Years)]] &lt; 75, "NO"), "UNKNOWN")</f>
        <v>NO</v>
      </c>
      <c r="M91" s="8" t="str">
        <f>IF(Table3[[#This Row],[Drug_Cost_GBP]] &gt; Analysis_Sheet!$B$21, "Above Average", "Within Average")</f>
        <v>Within Average</v>
      </c>
      <c r="N91" s="39" t="str">
        <f t="shared" si="1"/>
        <v>June 2024</v>
      </c>
    </row>
    <row r="92" spans="1:14" x14ac:dyDescent="0.3">
      <c r="A92" s="5" t="s">
        <v>257</v>
      </c>
      <c r="B92" s="18">
        <v>73</v>
      </c>
      <c r="C92" s="6" t="s">
        <v>899</v>
      </c>
      <c r="D92" s="6" t="s">
        <v>25</v>
      </c>
      <c r="E92" s="6" t="s">
        <v>29</v>
      </c>
      <c r="F92" s="7">
        <v>45472</v>
      </c>
      <c r="G92" s="6">
        <v>3</v>
      </c>
      <c r="H92" s="14">
        <v>1002.0675517241378</v>
      </c>
      <c r="I92" s="8" t="s">
        <v>16</v>
      </c>
      <c r="J92" s="4" t="str" cm="1">
        <f t="array" ref="J92">_xlfn.IFS(Table3[[#This Row],[Age (Years)]] &lt; 40, "Young", Table3[[#This Row],[Age (Years)]] &gt;= 40, "Middle", Table3[[#This Row],[Age (Years)]] &gt; 60, "Senior")</f>
        <v>Middle</v>
      </c>
      <c r="K92" s="4" t="str" cm="1">
        <f t="array" ref="K92">_xlfn.IFS(Table3[[#This Row],[Drug_Cost_GBP]] &gt; 1200, "High Cost", Table3[[#This Row],[Drug_Cost_GBP]] &lt; 1200, "Normal")</f>
        <v>Normal</v>
      </c>
      <c r="L92" s="4" t="str" cm="1">
        <f t="array" ref="L92">IFERROR(_xlfn.IFS(Table3[[#This Row],[Age (Years)]]  &gt; 75, "YES", Table3[[#This Row],[Age (Years)]] &lt; 75, "NO"), "UNKNOWN")</f>
        <v>NO</v>
      </c>
      <c r="M92" s="4" t="str">
        <f>IF(Table3[[#This Row],[Drug_Cost_GBP]] &gt; Analysis_Sheet!$B$21, "Above Average", "Within Average")</f>
        <v>Within Average</v>
      </c>
      <c r="N92" s="39" t="str">
        <f t="shared" si="1"/>
        <v>June 2024</v>
      </c>
    </row>
    <row r="93" spans="1:14" x14ac:dyDescent="0.3">
      <c r="A93" s="1" t="s">
        <v>698</v>
      </c>
      <c r="B93" s="17">
        <v>73</v>
      </c>
      <c r="C93" s="2" t="s">
        <v>899</v>
      </c>
      <c r="D93" s="2" t="s">
        <v>900</v>
      </c>
      <c r="E93" s="2" t="s">
        <v>29</v>
      </c>
      <c r="F93" s="3">
        <v>45657</v>
      </c>
      <c r="G93" s="2">
        <v>12</v>
      </c>
      <c r="H93" s="13">
        <v>1002.0675517241378</v>
      </c>
      <c r="I93" s="4" t="s">
        <v>900</v>
      </c>
      <c r="J93" s="8" t="str" cm="1">
        <f t="array" ref="J93">_xlfn.IFS(Table3[[#This Row],[Age (Years)]] &lt; 40, "Young", Table3[[#This Row],[Age (Years)]] &gt;= 40, "Middle", Table3[[#This Row],[Age (Years)]] &gt; 60, "Senior")</f>
        <v>Middle</v>
      </c>
      <c r="K93" s="8" t="str" cm="1">
        <f t="array" ref="K93">_xlfn.IFS(Table3[[#This Row],[Drug_Cost_GBP]] &gt; 1200, "High Cost", Table3[[#This Row],[Drug_Cost_GBP]] &lt; 1200, "Normal")</f>
        <v>Normal</v>
      </c>
      <c r="L93" s="8" t="str" cm="1">
        <f t="array" ref="L93">IFERROR(_xlfn.IFS(Table3[[#This Row],[Age (Years)]]  &gt; 75, "YES", Table3[[#This Row],[Age (Years)]] &lt; 75, "NO"), "UNKNOWN")</f>
        <v>NO</v>
      </c>
      <c r="M93" s="8" t="str">
        <f>IF(Table3[[#This Row],[Drug_Cost_GBP]] &gt; Analysis_Sheet!$B$21, "Above Average", "Within Average")</f>
        <v>Within Average</v>
      </c>
      <c r="N93" s="39" t="str">
        <f t="shared" si="1"/>
        <v>December 2024</v>
      </c>
    </row>
    <row r="94" spans="1:14" x14ac:dyDescent="0.3">
      <c r="A94" s="5" t="s">
        <v>863</v>
      </c>
      <c r="B94" s="18">
        <v>73</v>
      </c>
      <c r="C94" s="6" t="s">
        <v>899</v>
      </c>
      <c r="D94" s="6" t="s">
        <v>10</v>
      </c>
      <c r="E94" s="6" t="s">
        <v>11</v>
      </c>
      <c r="F94" s="7">
        <v>45556</v>
      </c>
      <c r="G94" s="6">
        <v>12</v>
      </c>
      <c r="H94" s="14">
        <v>1002.0675517241378</v>
      </c>
      <c r="I94" s="8" t="s">
        <v>12</v>
      </c>
      <c r="J94" s="4" t="str" cm="1">
        <f t="array" ref="J94">_xlfn.IFS(Table3[[#This Row],[Age (Years)]] &lt; 40, "Young", Table3[[#This Row],[Age (Years)]] &gt;= 40, "Middle", Table3[[#This Row],[Age (Years)]] &gt; 60, "Senior")</f>
        <v>Middle</v>
      </c>
      <c r="K94" s="4" t="str" cm="1">
        <f t="array" ref="K94">_xlfn.IFS(Table3[[#This Row],[Drug_Cost_GBP]] &gt; 1200, "High Cost", Table3[[#This Row],[Drug_Cost_GBP]] &lt; 1200, "Normal")</f>
        <v>Normal</v>
      </c>
      <c r="L94" s="4" t="str" cm="1">
        <f t="array" ref="L94">IFERROR(_xlfn.IFS(Table3[[#This Row],[Age (Years)]]  &gt; 75, "YES", Table3[[#This Row],[Age (Years)]] &lt; 75, "NO"), "UNKNOWN")</f>
        <v>NO</v>
      </c>
      <c r="M94" s="4" t="str">
        <f>IF(Table3[[#This Row],[Drug_Cost_GBP]] &gt; Analysis_Sheet!$B$21, "Above Average", "Within Average")</f>
        <v>Within Average</v>
      </c>
      <c r="N94" s="39" t="str">
        <f t="shared" si="1"/>
        <v>September 2024</v>
      </c>
    </row>
    <row r="95" spans="1:14" x14ac:dyDescent="0.3">
      <c r="A95" s="1" t="s">
        <v>138</v>
      </c>
      <c r="B95" s="17">
        <v>72</v>
      </c>
      <c r="C95" s="2" t="s">
        <v>899</v>
      </c>
      <c r="D95" s="2" t="s">
        <v>900</v>
      </c>
      <c r="E95" s="2" t="s">
        <v>11</v>
      </c>
      <c r="F95" s="3">
        <v>45451</v>
      </c>
      <c r="G95" s="2">
        <v>12</v>
      </c>
      <c r="H95" s="13">
        <v>1002.0675517241378</v>
      </c>
      <c r="I95" s="4" t="s">
        <v>16</v>
      </c>
      <c r="J95" s="4" t="str" cm="1">
        <f t="array" ref="J95">_xlfn.IFS(Table3[[#This Row],[Age (Years)]] &lt; 40, "Young", Table3[[#This Row],[Age (Years)]] &gt;= 40, "Middle", Table3[[#This Row],[Age (Years)]] &gt; 60, "Senior")</f>
        <v>Middle</v>
      </c>
      <c r="K95" s="4" t="str" cm="1">
        <f t="array" ref="K95">_xlfn.IFS(Table3[[#This Row],[Drug_Cost_GBP]] &gt; 1200, "High Cost", Table3[[#This Row],[Drug_Cost_GBP]] &lt; 1200, "Normal")</f>
        <v>Normal</v>
      </c>
      <c r="L95" s="4" t="str" cm="1">
        <f t="array" ref="L95">IFERROR(_xlfn.IFS(Table3[[#This Row],[Age (Years)]]  &gt; 75, "YES", Table3[[#This Row],[Age (Years)]] &lt; 75, "NO"), "UNKNOWN")</f>
        <v>NO</v>
      </c>
      <c r="M95" s="4" t="str">
        <f>IF(Table3[[#This Row],[Drug_Cost_GBP]] &gt; Analysis_Sheet!$B$21, "Above Average", "Within Average")</f>
        <v>Within Average</v>
      </c>
      <c r="N95" s="39" t="str">
        <f t="shared" si="1"/>
        <v>June 2024</v>
      </c>
    </row>
    <row r="96" spans="1:14" x14ac:dyDescent="0.3">
      <c r="A96" s="1" t="s">
        <v>180</v>
      </c>
      <c r="B96" s="17">
        <v>72</v>
      </c>
      <c r="C96" s="2" t="s">
        <v>899</v>
      </c>
      <c r="D96" s="2" t="s">
        <v>900</v>
      </c>
      <c r="E96" s="2" t="s">
        <v>43</v>
      </c>
      <c r="F96" s="3">
        <v>45299</v>
      </c>
      <c r="G96" s="2">
        <v>12</v>
      </c>
      <c r="H96" s="13">
        <v>1925</v>
      </c>
      <c r="I96" s="4" t="s">
        <v>26</v>
      </c>
      <c r="J96" s="8" t="str" cm="1">
        <f t="array" ref="J96">_xlfn.IFS(Table3[[#This Row],[Age (Years)]] &lt; 40, "Young", Table3[[#This Row],[Age (Years)]] &gt;= 40, "Middle", Table3[[#This Row],[Age (Years)]] &gt; 60, "Senior")</f>
        <v>Middle</v>
      </c>
      <c r="K96" s="8" t="str" cm="1">
        <f t="array" ref="K96">_xlfn.IFS(Table3[[#This Row],[Drug_Cost_GBP]] &gt; 1200, "High Cost", Table3[[#This Row],[Drug_Cost_GBP]] &lt; 1200, "Normal")</f>
        <v>High Cost</v>
      </c>
      <c r="L96" s="8" t="str" cm="1">
        <f t="array" ref="L96">IFERROR(_xlfn.IFS(Table3[[#This Row],[Age (Years)]]  &gt; 75, "YES", Table3[[#This Row],[Age (Years)]] &lt; 75, "NO"), "UNKNOWN")</f>
        <v>NO</v>
      </c>
      <c r="M96" s="8" t="str">
        <f>IF(Table3[[#This Row],[Drug_Cost_GBP]] &gt; Analysis_Sheet!$B$21, "Above Average", "Within Average")</f>
        <v>Above Average</v>
      </c>
      <c r="N96" s="39" t="str">
        <f t="shared" si="1"/>
        <v>January 2024</v>
      </c>
    </row>
    <row r="97" spans="1:14" x14ac:dyDescent="0.3">
      <c r="A97" s="5" t="s">
        <v>367</v>
      </c>
      <c r="B97" s="18">
        <v>72</v>
      </c>
      <c r="C97" s="6" t="s">
        <v>899</v>
      </c>
      <c r="D97" s="6" t="s">
        <v>10</v>
      </c>
      <c r="E97" s="6" t="s">
        <v>43</v>
      </c>
      <c r="F97" s="7">
        <v>45472</v>
      </c>
      <c r="G97" s="6">
        <v>12</v>
      </c>
      <c r="H97" s="14">
        <v>1808.12</v>
      </c>
      <c r="I97" s="8" t="s">
        <v>21</v>
      </c>
      <c r="J97" s="4" t="str" cm="1">
        <f t="array" ref="J97">_xlfn.IFS(Table3[[#This Row],[Age (Years)]] &lt; 40, "Young", Table3[[#This Row],[Age (Years)]] &gt;= 40, "Middle", Table3[[#This Row],[Age (Years)]] &gt; 60, "Senior")</f>
        <v>Middle</v>
      </c>
      <c r="K97" s="4" t="str" cm="1">
        <f t="array" ref="K97">_xlfn.IFS(Table3[[#This Row],[Drug_Cost_GBP]] &gt; 1200, "High Cost", Table3[[#This Row],[Drug_Cost_GBP]] &lt; 1200, "Normal")</f>
        <v>High Cost</v>
      </c>
      <c r="L97" s="4" t="str" cm="1">
        <f t="array" ref="L97">IFERROR(_xlfn.IFS(Table3[[#This Row],[Age (Years)]]  &gt; 75, "YES", Table3[[#This Row],[Age (Years)]] &lt; 75, "NO"), "UNKNOWN")</f>
        <v>NO</v>
      </c>
      <c r="M97" s="4" t="str">
        <f>IF(Table3[[#This Row],[Drug_Cost_GBP]] &gt; Analysis_Sheet!$B$21, "Above Average", "Within Average")</f>
        <v>Above Average</v>
      </c>
      <c r="N97" s="39" t="str">
        <f t="shared" si="1"/>
        <v>June 2024</v>
      </c>
    </row>
    <row r="98" spans="1:14" x14ac:dyDescent="0.3">
      <c r="A98" s="1" t="s">
        <v>834</v>
      </c>
      <c r="B98" s="17">
        <v>72</v>
      </c>
      <c r="C98" s="2" t="s">
        <v>900</v>
      </c>
      <c r="D98" s="2" t="s">
        <v>25</v>
      </c>
      <c r="E98" s="2" t="s">
        <v>11</v>
      </c>
      <c r="F98" s="3">
        <v>45373</v>
      </c>
      <c r="G98" s="2">
        <v>12</v>
      </c>
      <c r="H98" s="13">
        <v>1002.0675517241378</v>
      </c>
      <c r="I98" s="4" t="s">
        <v>26</v>
      </c>
      <c r="J98" s="8" t="str" cm="1">
        <f t="array" ref="J98">_xlfn.IFS(Table3[[#This Row],[Age (Years)]] &lt; 40, "Young", Table3[[#This Row],[Age (Years)]] &gt;= 40, "Middle", Table3[[#This Row],[Age (Years)]] &gt; 60, "Senior")</f>
        <v>Middle</v>
      </c>
      <c r="K98" s="8" t="str" cm="1">
        <f t="array" ref="K98">_xlfn.IFS(Table3[[#This Row],[Drug_Cost_GBP]] &gt; 1200, "High Cost", Table3[[#This Row],[Drug_Cost_GBP]] &lt; 1200, "Normal")</f>
        <v>Normal</v>
      </c>
      <c r="L98" s="8" t="str" cm="1">
        <f t="array" ref="L98">IFERROR(_xlfn.IFS(Table3[[#This Row],[Age (Years)]]  &gt; 75, "YES", Table3[[#This Row],[Age (Years)]] &lt; 75, "NO"), "UNKNOWN")</f>
        <v>NO</v>
      </c>
      <c r="M98" s="8" t="str">
        <f>IF(Table3[[#This Row],[Drug_Cost_GBP]] &gt; Analysis_Sheet!$B$21, "Above Average", "Within Average")</f>
        <v>Within Average</v>
      </c>
      <c r="N98" s="39" t="str">
        <f t="shared" si="1"/>
        <v>March 2024</v>
      </c>
    </row>
    <row r="99" spans="1:14" x14ac:dyDescent="0.3">
      <c r="A99" s="1" t="s">
        <v>37</v>
      </c>
      <c r="B99" s="17">
        <v>71</v>
      </c>
      <c r="C99" s="2" t="s">
        <v>38</v>
      </c>
      <c r="D99" s="2" t="s">
        <v>19</v>
      </c>
      <c r="E99" s="2" t="s">
        <v>29</v>
      </c>
      <c r="F99" s="3">
        <v>45332</v>
      </c>
      <c r="G99" s="2">
        <v>4</v>
      </c>
      <c r="H99" s="13">
        <v>1002.0675517241378</v>
      </c>
      <c r="I99" s="4" t="s">
        <v>900</v>
      </c>
      <c r="J99" s="4" t="str" cm="1">
        <f t="array" ref="J99">_xlfn.IFS(Table3[[#This Row],[Age (Years)]] &lt; 40, "Young", Table3[[#This Row],[Age (Years)]] &gt;= 40, "Middle", Table3[[#This Row],[Age (Years)]] &gt; 60, "Senior")</f>
        <v>Middle</v>
      </c>
      <c r="K99" s="4" t="str" cm="1">
        <f t="array" ref="K99">_xlfn.IFS(Table3[[#This Row],[Drug_Cost_GBP]] &gt; 1200, "High Cost", Table3[[#This Row],[Drug_Cost_GBP]] &lt; 1200, "Normal")</f>
        <v>Normal</v>
      </c>
      <c r="L99" s="4" t="str" cm="1">
        <f t="array" ref="L99">IFERROR(_xlfn.IFS(Table3[[#This Row],[Age (Years)]]  &gt; 75, "YES", Table3[[#This Row],[Age (Years)]] &lt; 75, "NO"), "UNKNOWN")</f>
        <v>NO</v>
      </c>
      <c r="M99" s="4" t="str">
        <f>IF(Table3[[#This Row],[Drug_Cost_GBP]] &gt; Analysis_Sheet!$B$21, "Above Average", "Within Average")</f>
        <v>Within Average</v>
      </c>
      <c r="N99" s="39" t="str">
        <f t="shared" si="1"/>
        <v>February 2024</v>
      </c>
    </row>
    <row r="100" spans="1:14" x14ac:dyDescent="0.3">
      <c r="A100" s="1" t="s">
        <v>498</v>
      </c>
      <c r="B100" s="17">
        <v>71</v>
      </c>
      <c r="C100" s="2" t="s">
        <v>899</v>
      </c>
      <c r="D100" s="2" t="s">
        <v>25</v>
      </c>
      <c r="E100" s="2" t="s">
        <v>43</v>
      </c>
      <c r="F100" s="3">
        <v>45376</v>
      </c>
      <c r="G100" s="2">
        <v>18</v>
      </c>
      <c r="H100" s="13">
        <v>1031.9000000000001</v>
      </c>
      <c r="I100" s="4" t="s">
        <v>21</v>
      </c>
      <c r="J100" s="4" t="str" cm="1">
        <f t="array" ref="J100">_xlfn.IFS(Table3[[#This Row],[Age (Years)]] &lt; 40, "Young", Table3[[#This Row],[Age (Years)]] &gt;= 40, "Middle", Table3[[#This Row],[Age (Years)]] &gt; 60, "Senior")</f>
        <v>Middle</v>
      </c>
      <c r="K100" s="4" t="str" cm="1">
        <f t="array" ref="K100">_xlfn.IFS(Table3[[#This Row],[Drug_Cost_GBP]] &gt; 1200, "High Cost", Table3[[#This Row],[Drug_Cost_GBP]] &lt; 1200, "Normal")</f>
        <v>Normal</v>
      </c>
      <c r="L100" s="4" t="str" cm="1">
        <f t="array" ref="L100">IFERROR(_xlfn.IFS(Table3[[#This Row],[Age (Years)]]  &gt; 75, "YES", Table3[[#This Row],[Age (Years)]] &lt; 75, "NO"), "UNKNOWN")</f>
        <v>NO</v>
      </c>
      <c r="M100" s="4" t="str">
        <f>IF(Table3[[#This Row],[Drug_Cost_GBP]] &gt; Analysis_Sheet!$B$21, "Above Average", "Within Average")</f>
        <v>Above Average</v>
      </c>
      <c r="N100" s="39" t="str">
        <f t="shared" si="1"/>
        <v>March 2024</v>
      </c>
    </row>
    <row r="101" spans="1:14" x14ac:dyDescent="0.3">
      <c r="A101" s="1" t="s">
        <v>712</v>
      </c>
      <c r="B101" s="17">
        <v>71</v>
      </c>
      <c r="C101" s="2" t="s">
        <v>38</v>
      </c>
      <c r="D101" s="2" t="s">
        <v>14</v>
      </c>
      <c r="E101" s="2" t="s">
        <v>23</v>
      </c>
      <c r="F101" s="3">
        <v>45309</v>
      </c>
      <c r="G101" s="2">
        <v>12</v>
      </c>
      <c r="H101" s="13">
        <v>1002.0675517241378</v>
      </c>
      <c r="I101" s="4" t="s">
        <v>26</v>
      </c>
      <c r="J101" s="8" t="str" cm="1">
        <f t="array" ref="J101">_xlfn.IFS(Table3[[#This Row],[Age (Years)]] &lt; 40, "Young", Table3[[#This Row],[Age (Years)]] &gt;= 40, "Middle", Table3[[#This Row],[Age (Years)]] &gt; 60, "Senior")</f>
        <v>Middle</v>
      </c>
      <c r="K101" s="8" t="str" cm="1">
        <f t="array" ref="K101">_xlfn.IFS(Table3[[#This Row],[Drug_Cost_GBP]] &gt; 1200, "High Cost", Table3[[#This Row],[Drug_Cost_GBP]] &lt; 1200, "Normal")</f>
        <v>Normal</v>
      </c>
      <c r="L101" s="8" t="str" cm="1">
        <f t="array" ref="L101">IFERROR(_xlfn.IFS(Table3[[#This Row],[Age (Years)]]  &gt; 75, "YES", Table3[[#This Row],[Age (Years)]] &lt; 75, "NO"), "UNKNOWN")</f>
        <v>NO</v>
      </c>
      <c r="M101" s="8" t="str">
        <f>IF(Table3[[#This Row],[Drug_Cost_GBP]] &gt; Analysis_Sheet!$B$21, "Above Average", "Within Average")</f>
        <v>Within Average</v>
      </c>
      <c r="N101" s="39" t="str">
        <f t="shared" si="1"/>
        <v>January 2024</v>
      </c>
    </row>
    <row r="102" spans="1:14" x14ac:dyDescent="0.3">
      <c r="A102" s="5" t="s">
        <v>797</v>
      </c>
      <c r="B102" s="18">
        <v>71</v>
      </c>
      <c r="C102" s="6" t="s">
        <v>899</v>
      </c>
      <c r="D102" s="6" t="s">
        <v>898</v>
      </c>
      <c r="E102" s="6" t="s">
        <v>29</v>
      </c>
      <c r="F102" s="7">
        <v>45460</v>
      </c>
      <c r="G102" s="6">
        <v>15</v>
      </c>
      <c r="H102" s="14">
        <v>1002.0675517241378</v>
      </c>
      <c r="I102" s="8" t="s">
        <v>21</v>
      </c>
      <c r="J102" s="4" t="str" cm="1">
        <f t="array" ref="J102">_xlfn.IFS(Table3[[#This Row],[Age (Years)]] &lt; 40, "Young", Table3[[#This Row],[Age (Years)]] &gt;= 40, "Middle", Table3[[#This Row],[Age (Years)]] &gt; 60, "Senior")</f>
        <v>Middle</v>
      </c>
      <c r="K102" s="4" t="str" cm="1">
        <f t="array" ref="K102">_xlfn.IFS(Table3[[#This Row],[Drug_Cost_GBP]] &gt; 1200, "High Cost", Table3[[#This Row],[Drug_Cost_GBP]] &lt; 1200, "Normal")</f>
        <v>Normal</v>
      </c>
      <c r="L102" s="4" t="str" cm="1">
        <f t="array" ref="L102">IFERROR(_xlfn.IFS(Table3[[#This Row],[Age (Years)]]  &gt; 75, "YES", Table3[[#This Row],[Age (Years)]] &lt; 75, "NO"), "UNKNOWN")</f>
        <v>NO</v>
      </c>
      <c r="M102" s="4" t="str">
        <f>IF(Table3[[#This Row],[Drug_Cost_GBP]] &gt; Analysis_Sheet!$B$21, "Above Average", "Within Average")</f>
        <v>Within Average</v>
      </c>
      <c r="N102" s="39" t="str">
        <f t="shared" si="1"/>
        <v>June 2024</v>
      </c>
    </row>
    <row r="103" spans="1:14" x14ac:dyDescent="0.3">
      <c r="A103" s="1" t="s">
        <v>338</v>
      </c>
      <c r="B103" s="17">
        <v>70</v>
      </c>
      <c r="C103" s="2" t="s">
        <v>899</v>
      </c>
      <c r="D103" s="2" t="s">
        <v>48</v>
      </c>
      <c r="E103" s="2" t="s">
        <v>23</v>
      </c>
      <c r="F103" s="3" t="s">
        <v>900</v>
      </c>
      <c r="G103" s="2">
        <v>12</v>
      </c>
      <c r="H103" s="13">
        <v>163.27000000000001</v>
      </c>
      <c r="I103" s="4" t="s">
        <v>21</v>
      </c>
      <c r="J103" s="4" t="str" cm="1">
        <f t="array" ref="J103">_xlfn.IFS(Table3[[#This Row],[Age (Years)]] &lt; 40, "Young", Table3[[#This Row],[Age (Years)]] &gt;= 40, "Middle", Table3[[#This Row],[Age (Years)]] &gt; 60, "Senior")</f>
        <v>Middle</v>
      </c>
      <c r="K103" s="4" t="str" cm="1">
        <f t="array" ref="K103">_xlfn.IFS(Table3[[#This Row],[Drug_Cost_GBP]] &gt; 1200, "High Cost", Table3[[#This Row],[Drug_Cost_GBP]] &lt; 1200, "Normal")</f>
        <v>Normal</v>
      </c>
      <c r="L103" s="4" t="str" cm="1">
        <f t="array" ref="L103">IFERROR(_xlfn.IFS(Table3[[#This Row],[Age (Years)]]  &gt; 75, "YES", Table3[[#This Row],[Age (Years)]] &lt; 75, "NO"), "UNKNOWN")</f>
        <v>NO</v>
      </c>
      <c r="M103" s="4" t="str">
        <f>IF(Table3[[#This Row],[Drug_Cost_GBP]] &gt; Analysis_Sheet!$B$21, "Above Average", "Within Average")</f>
        <v>Within Average</v>
      </c>
      <c r="N103" s="39" t="str">
        <f t="shared" si="1"/>
        <v>Unknown</v>
      </c>
    </row>
    <row r="104" spans="1:14" x14ac:dyDescent="0.3">
      <c r="A104" s="1" t="s">
        <v>292</v>
      </c>
      <c r="B104" s="17">
        <v>69</v>
      </c>
      <c r="C104" s="2" t="s">
        <v>899</v>
      </c>
      <c r="D104" s="2" t="s">
        <v>48</v>
      </c>
      <c r="E104" s="2" t="s">
        <v>57</v>
      </c>
      <c r="F104" s="3">
        <v>45532</v>
      </c>
      <c r="G104" s="2">
        <v>12</v>
      </c>
      <c r="H104" s="13">
        <v>1002.0675517241378</v>
      </c>
      <c r="I104" s="4" t="s">
        <v>21</v>
      </c>
      <c r="J104" s="8" t="str" cm="1">
        <f t="array" ref="J104">_xlfn.IFS(Table3[[#This Row],[Age (Years)]] &lt; 40, "Young", Table3[[#This Row],[Age (Years)]] &gt;= 40, "Middle", Table3[[#This Row],[Age (Years)]] &gt; 60, "Senior")</f>
        <v>Middle</v>
      </c>
      <c r="K104" s="8" t="str" cm="1">
        <f t="array" ref="K104">_xlfn.IFS(Table3[[#This Row],[Drug_Cost_GBP]] &gt; 1200, "High Cost", Table3[[#This Row],[Drug_Cost_GBP]] &lt; 1200, "Normal")</f>
        <v>Normal</v>
      </c>
      <c r="L104" s="8" t="str" cm="1">
        <f t="array" ref="L104">IFERROR(_xlfn.IFS(Table3[[#This Row],[Age (Years)]]  &gt; 75, "YES", Table3[[#This Row],[Age (Years)]] &lt; 75, "NO"), "UNKNOWN")</f>
        <v>NO</v>
      </c>
      <c r="M104" s="8" t="str">
        <f>IF(Table3[[#This Row],[Drug_Cost_GBP]] &gt; Analysis_Sheet!$B$21, "Above Average", "Within Average")</f>
        <v>Within Average</v>
      </c>
      <c r="N104" s="39" t="str">
        <f t="shared" si="1"/>
        <v>August 2024</v>
      </c>
    </row>
    <row r="105" spans="1:14" x14ac:dyDescent="0.3">
      <c r="A105" s="5" t="s">
        <v>571</v>
      </c>
      <c r="B105" s="18">
        <v>69</v>
      </c>
      <c r="C105" s="6" t="s">
        <v>38</v>
      </c>
      <c r="D105" s="6" t="s">
        <v>10</v>
      </c>
      <c r="E105" s="6" t="s">
        <v>11</v>
      </c>
      <c r="F105" s="7" t="s">
        <v>900</v>
      </c>
      <c r="G105" s="6">
        <v>12</v>
      </c>
      <c r="H105" s="14">
        <v>1002.0675517241378</v>
      </c>
      <c r="I105" s="8" t="s">
        <v>26</v>
      </c>
      <c r="J105" s="4" t="str" cm="1">
        <f t="array" ref="J105">_xlfn.IFS(Table3[[#This Row],[Age (Years)]] &lt; 40, "Young", Table3[[#This Row],[Age (Years)]] &gt;= 40, "Middle", Table3[[#This Row],[Age (Years)]] &gt; 60, "Senior")</f>
        <v>Middle</v>
      </c>
      <c r="K105" s="4" t="str" cm="1">
        <f t="array" ref="K105">_xlfn.IFS(Table3[[#This Row],[Drug_Cost_GBP]] &gt; 1200, "High Cost", Table3[[#This Row],[Drug_Cost_GBP]] &lt; 1200, "Normal")</f>
        <v>Normal</v>
      </c>
      <c r="L105" s="4" t="str" cm="1">
        <f t="array" ref="L105">IFERROR(_xlfn.IFS(Table3[[#This Row],[Age (Years)]]  &gt; 75, "YES", Table3[[#This Row],[Age (Years)]] &lt; 75, "NO"), "UNKNOWN")</f>
        <v>NO</v>
      </c>
      <c r="M105" s="4" t="str">
        <f>IF(Table3[[#This Row],[Drug_Cost_GBP]] &gt; Analysis_Sheet!$B$21, "Above Average", "Within Average")</f>
        <v>Within Average</v>
      </c>
      <c r="N105" s="39" t="str">
        <f t="shared" si="1"/>
        <v>Unknown</v>
      </c>
    </row>
    <row r="106" spans="1:14" x14ac:dyDescent="0.3">
      <c r="A106" s="1" t="s">
        <v>798</v>
      </c>
      <c r="B106" s="17">
        <v>69</v>
      </c>
      <c r="C106" s="2" t="s">
        <v>899</v>
      </c>
      <c r="D106" s="2" t="s">
        <v>898</v>
      </c>
      <c r="E106" s="2" t="s">
        <v>43</v>
      </c>
      <c r="F106" s="3">
        <v>45378</v>
      </c>
      <c r="G106" s="2">
        <v>20</v>
      </c>
      <c r="H106" s="13">
        <v>819</v>
      </c>
      <c r="I106" s="4" t="s">
        <v>26</v>
      </c>
      <c r="J106" s="4" t="str" cm="1">
        <f t="array" ref="J106">_xlfn.IFS(Table3[[#This Row],[Age (Years)]] &lt; 40, "Young", Table3[[#This Row],[Age (Years)]] &gt;= 40, "Middle", Table3[[#This Row],[Age (Years)]] &gt; 60, "Senior")</f>
        <v>Middle</v>
      </c>
      <c r="K106" s="4" t="str" cm="1">
        <f t="array" ref="K106">_xlfn.IFS(Table3[[#This Row],[Drug_Cost_GBP]] &gt; 1200, "High Cost", Table3[[#This Row],[Drug_Cost_GBP]] &lt; 1200, "Normal")</f>
        <v>Normal</v>
      </c>
      <c r="L106" s="4" t="str" cm="1">
        <f t="array" ref="L106">IFERROR(_xlfn.IFS(Table3[[#This Row],[Age (Years)]]  &gt; 75, "YES", Table3[[#This Row],[Age (Years)]] &lt; 75, "NO"), "UNKNOWN")</f>
        <v>NO</v>
      </c>
      <c r="M106" s="4" t="str">
        <f>IF(Table3[[#This Row],[Drug_Cost_GBP]] &gt; Analysis_Sheet!$B$21, "Above Average", "Within Average")</f>
        <v>Within Average</v>
      </c>
      <c r="N106" s="39" t="str">
        <f t="shared" si="1"/>
        <v>March 2024</v>
      </c>
    </row>
    <row r="107" spans="1:14" x14ac:dyDescent="0.3">
      <c r="A107" s="1" t="s">
        <v>126</v>
      </c>
      <c r="B107" s="17">
        <v>68</v>
      </c>
      <c r="C107" s="2" t="s">
        <v>899</v>
      </c>
      <c r="D107" s="2" t="s">
        <v>10</v>
      </c>
      <c r="E107" s="2" t="s">
        <v>43</v>
      </c>
      <c r="F107" s="3">
        <v>45563</v>
      </c>
      <c r="G107" s="2">
        <v>12</v>
      </c>
      <c r="H107" s="13">
        <v>1187.5999999999999</v>
      </c>
      <c r="I107" s="4" t="s">
        <v>26</v>
      </c>
      <c r="J107" s="8" t="str" cm="1">
        <f t="array" ref="J107">_xlfn.IFS(Table3[[#This Row],[Age (Years)]] &lt; 40, "Young", Table3[[#This Row],[Age (Years)]] &gt;= 40, "Middle", Table3[[#This Row],[Age (Years)]] &gt; 60, "Senior")</f>
        <v>Middle</v>
      </c>
      <c r="K107" s="8" t="str" cm="1">
        <f t="array" ref="K107">_xlfn.IFS(Table3[[#This Row],[Drug_Cost_GBP]] &gt; 1200, "High Cost", Table3[[#This Row],[Drug_Cost_GBP]] &lt; 1200, "Normal")</f>
        <v>Normal</v>
      </c>
      <c r="L107" s="8" t="str" cm="1">
        <f t="array" ref="L107">IFERROR(_xlfn.IFS(Table3[[#This Row],[Age (Years)]]  &gt; 75, "YES", Table3[[#This Row],[Age (Years)]] &lt; 75, "NO"), "UNKNOWN")</f>
        <v>NO</v>
      </c>
      <c r="M107" s="8" t="str">
        <f>IF(Table3[[#This Row],[Drug_Cost_GBP]] &gt; Analysis_Sheet!$B$21, "Above Average", "Within Average")</f>
        <v>Above Average</v>
      </c>
      <c r="N107" s="39" t="str">
        <f t="shared" si="1"/>
        <v>September 2024</v>
      </c>
    </row>
    <row r="108" spans="1:14" x14ac:dyDescent="0.3">
      <c r="A108" s="5" t="s">
        <v>219</v>
      </c>
      <c r="B108" s="18">
        <v>68</v>
      </c>
      <c r="C108" s="6" t="s">
        <v>899</v>
      </c>
      <c r="D108" s="6" t="s">
        <v>25</v>
      </c>
      <c r="E108" s="6" t="s">
        <v>34</v>
      </c>
      <c r="F108" s="7" t="s">
        <v>900</v>
      </c>
      <c r="G108" s="6">
        <v>12</v>
      </c>
      <c r="H108" s="14">
        <v>1002.0675517241378</v>
      </c>
      <c r="I108" s="8" t="s">
        <v>12</v>
      </c>
      <c r="J108" s="8" t="str" cm="1">
        <f t="array" ref="J108">_xlfn.IFS(Table3[[#This Row],[Age (Years)]] &lt; 40, "Young", Table3[[#This Row],[Age (Years)]] &gt;= 40, "Middle", Table3[[#This Row],[Age (Years)]] &gt; 60, "Senior")</f>
        <v>Middle</v>
      </c>
      <c r="K108" s="8" t="str" cm="1">
        <f t="array" ref="K108">_xlfn.IFS(Table3[[#This Row],[Drug_Cost_GBP]] &gt; 1200, "High Cost", Table3[[#This Row],[Drug_Cost_GBP]] &lt; 1200, "Normal")</f>
        <v>Normal</v>
      </c>
      <c r="L108" s="8" t="str" cm="1">
        <f t="array" ref="L108">IFERROR(_xlfn.IFS(Table3[[#This Row],[Age (Years)]]  &gt; 75, "YES", Table3[[#This Row],[Age (Years)]] &lt; 75, "NO"), "UNKNOWN")</f>
        <v>NO</v>
      </c>
      <c r="M108" s="8" t="str">
        <f>IF(Table3[[#This Row],[Drug_Cost_GBP]] &gt; Analysis_Sheet!$B$21, "Above Average", "Within Average")</f>
        <v>Within Average</v>
      </c>
      <c r="N108" s="39" t="str">
        <f t="shared" si="1"/>
        <v>Unknown</v>
      </c>
    </row>
    <row r="109" spans="1:14" x14ac:dyDescent="0.3">
      <c r="A109" s="5" t="s">
        <v>773</v>
      </c>
      <c r="B109" s="18">
        <v>68</v>
      </c>
      <c r="C109" s="6" t="s">
        <v>38</v>
      </c>
      <c r="D109" s="6" t="s">
        <v>898</v>
      </c>
      <c r="E109" s="6" t="s">
        <v>57</v>
      </c>
      <c r="F109" s="7">
        <v>45366</v>
      </c>
      <c r="G109" s="6">
        <v>12</v>
      </c>
      <c r="H109" s="14">
        <v>1678.28</v>
      </c>
      <c r="I109" s="8" t="s">
        <v>12</v>
      </c>
      <c r="J109" s="4" t="str" cm="1">
        <f t="array" ref="J109">_xlfn.IFS(Table3[[#This Row],[Age (Years)]] &lt; 40, "Young", Table3[[#This Row],[Age (Years)]] &gt;= 40, "Middle", Table3[[#This Row],[Age (Years)]] &gt; 60, "Senior")</f>
        <v>Middle</v>
      </c>
      <c r="K109" s="4" t="str" cm="1">
        <f t="array" ref="K109">_xlfn.IFS(Table3[[#This Row],[Drug_Cost_GBP]] &gt; 1200, "High Cost", Table3[[#This Row],[Drug_Cost_GBP]] &lt; 1200, "Normal")</f>
        <v>High Cost</v>
      </c>
      <c r="L109" s="4" t="str" cm="1">
        <f t="array" ref="L109">IFERROR(_xlfn.IFS(Table3[[#This Row],[Age (Years)]]  &gt; 75, "YES", Table3[[#This Row],[Age (Years)]] &lt; 75, "NO"), "UNKNOWN")</f>
        <v>NO</v>
      </c>
      <c r="M109" s="4" t="str">
        <f>IF(Table3[[#This Row],[Drug_Cost_GBP]] &gt; Analysis_Sheet!$B$21, "Above Average", "Within Average")</f>
        <v>Above Average</v>
      </c>
      <c r="N109" s="39" t="str">
        <f t="shared" si="1"/>
        <v>March 2024</v>
      </c>
    </row>
    <row r="110" spans="1:14" x14ac:dyDescent="0.3">
      <c r="A110" s="1" t="s">
        <v>31</v>
      </c>
      <c r="B110" s="17">
        <v>67</v>
      </c>
      <c r="C110" s="2" t="s">
        <v>900</v>
      </c>
      <c r="D110" s="2" t="s">
        <v>19</v>
      </c>
      <c r="E110" s="2" t="s">
        <v>23</v>
      </c>
      <c r="F110" s="3">
        <v>45506</v>
      </c>
      <c r="G110" s="2">
        <v>12</v>
      </c>
      <c r="H110" s="13">
        <v>1980.5</v>
      </c>
      <c r="I110" s="4" t="s">
        <v>26</v>
      </c>
      <c r="J110" s="8" t="str" cm="1">
        <f t="array" ref="J110">_xlfn.IFS(Table3[[#This Row],[Age (Years)]] &lt; 40, "Young", Table3[[#This Row],[Age (Years)]] &gt;= 40, "Middle", Table3[[#This Row],[Age (Years)]] &gt; 60, "Senior")</f>
        <v>Middle</v>
      </c>
      <c r="K110" s="8" t="str" cm="1">
        <f t="array" ref="K110">_xlfn.IFS(Table3[[#This Row],[Drug_Cost_GBP]] &gt; 1200, "High Cost", Table3[[#This Row],[Drug_Cost_GBP]] &lt; 1200, "Normal")</f>
        <v>High Cost</v>
      </c>
      <c r="L110" s="8" t="str" cm="1">
        <f t="array" ref="L110">IFERROR(_xlfn.IFS(Table3[[#This Row],[Age (Years)]]  &gt; 75, "YES", Table3[[#This Row],[Age (Years)]] &lt; 75, "NO"), "UNKNOWN")</f>
        <v>NO</v>
      </c>
      <c r="M110" s="8" t="str">
        <f>IF(Table3[[#This Row],[Drug_Cost_GBP]] &gt; Analysis_Sheet!$B$21, "Above Average", "Within Average")</f>
        <v>Above Average</v>
      </c>
      <c r="N110" s="39" t="str">
        <f t="shared" si="1"/>
        <v>August 2024</v>
      </c>
    </row>
    <row r="111" spans="1:14" x14ac:dyDescent="0.3">
      <c r="A111" s="5" t="s">
        <v>275</v>
      </c>
      <c r="B111" s="18">
        <v>67</v>
      </c>
      <c r="C111" s="6" t="s">
        <v>900</v>
      </c>
      <c r="D111" s="6" t="s">
        <v>898</v>
      </c>
      <c r="E111" s="6" t="s">
        <v>43</v>
      </c>
      <c r="F111" s="7">
        <v>45593</v>
      </c>
      <c r="G111" s="6">
        <v>12</v>
      </c>
      <c r="H111" s="14">
        <v>135.55000000000001</v>
      </c>
      <c r="I111" s="8" t="s">
        <v>900</v>
      </c>
      <c r="J111" s="4" t="str" cm="1">
        <f t="array" ref="J111">_xlfn.IFS(Table3[[#This Row],[Age (Years)]] &lt; 40, "Young", Table3[[#This Row],[Age (Years)]] &gt;= 40, "Middle", Table3[[#This Row],[Age (Years)]] &gt; 60, "Senior")</f>
        <v>Middle</v>
      </c>
      <c r="K111" s="4" t="str" cm="1">
        <f t="array" ref="K111">_xlfn.IFS(Table3[[#This Row],[Drug_Cost_GBP]] &gt; 1200, "High Cost", Table3[[#This Row],[Drug_Cost_GBP]] &lt; 1200, "Normal")</f>
        <v>Normal</v>
      </c>
      <c r="L111" s="4" t="str" cm="1">
        <f t="array" ref="L111">IFERROR(_xlfn.IFS(Table3[[#This Row],[Age (Years)]]  &gt; 75, "YES", Table3[[#This Row],[Age (Years)]] &lt; 75, "NO"), "UNKNOWN")</f>
        <v>NO</v>
      </c>
      <c r="M111" s="4" t="str">
        <f>IF(Table3[[#This Row],[Drug_Cost_GBP]] &gt; Analysis_Sheet!$B$21, "Above Average", "Within Average")</f>
        <v>Within Average</v>
      </c>
      <c r="N111" s="39" t="str">
        <f t="shared" si="1"/>
        <v>October 2024</v>
      </c>
    </row>
    <row r="112" spans="1:14" x14ac:dyDescent="0.3">
      <c r="A112" s="1" t="s">
        <v>372</v>
      </c>
      <c r="B112" s="17">
        <v>67</v>
      </c>
      <c r="C112" s="2" t="s">
        <v>900</v>
      </c>
      <c r="D112" s="2" t="s">
        <v>898</v>
      </c>
      <c r="E112" s="2" t="s">
        <v>43</v>
      </c>
      <c r="F112" s="3">
        <v>45352</v>
      </c>
      <c r="G112" s="2">
        <v>12</v>
      </c>
      <c r="H112" s="13">
        <v>1002.0675517241378</v>
      </c>
      <c r="I112" s="4" t="s">
        <v>12</v>
      </c>
      <c r="J112" s="4" t="str" cm="1">
        <f t="array" ref="J112">_xlfn.IFS(Table3[[#This Row],[Age (Years)]] &lt; 40, "Young", Table3[[#This Row],[Age (Years)]] &gt;= 40, "Middle", Table3[[#This Row],[Age (Years)]] &gt; 60, "Senior")</f>
        <v>Middle</v>
      </c>
      <c r="K112" s="4" t="str" cm="1">
        <f t="array" ref="K112">_xlfn.IFS(Table3[[#This Row],[Drug_Cost_GBP]] &gt; 1200, "High Cost", Table3[[#This Row],[Drug_Cost_GBP]] &lt; 1200, "Normal")</f>
        <v>Normal</v>
      </c>
      <c r="L112" s="4" t="str" cm="1">
        <f t="array" ref="L112">IFERROR(_xlfn.IFS(Table3[[#This Row],[Age (Years)]]  &gt; 75, "YES", Table3[[#This Row],[Age (Years)]] &lt; 75, "NO"), "UNKNOWN")</f>
        <v>NO</v>
      </c>
      <c r="M112" s="4" t="str">
        <f>IF(Table3[[#This Row],[Drug_Cost_GBP]] &gt; Analysis_Sheet!$B$21, "Above Average", "Within Average")</f>
        <v>Within Average</v>
      </c>
      <c r="N112" s="39" t="str">
        <f t="shared" si="1"/>
        <v>March 2024</v>
      </c>
    </row>
    <row r="113" spans="1:14" x14ac:dyDescent="0.3">
      <c r="A113" s="1" t="s">
        <v>478</v>
      </c>
      <c r="B113" s="17">
        <v>67</v>
      </c>
      <c r="C113" s="2" t="s">
        <v>899</v>
      </c>
      <c r="D113" s="2" t="s">
        <v>19</v>
      </c>
      <c r="E113" s="2" t="s">
        <v>11</v>
      </c>
      <c r="F113" s="3">
        <v>45351</v>
      </c>
      <c r="G113" s="2">
        <v>12</v>
      </c>
      <c r="H113" s="13">
        <v>1002.0675517241378</v>
      </c>
      <c r="I113" s="4" t="s">
        <v>26</v>
      </c>
      <c r="J113" s="4" t="str" cm="1">
        <f t="array" ref="J113">_xlfn.IFS(Table3[[#This Row],[Age (Years)]] &lt; 40, "Young", Table3[[#This Row],[Age (Years)]] &gt;= 40, "Middle", Table3[[#This Row],[Age (Years)]] &gt; 60, "Senior")</f>
        <v>Middle</v>
      </c>
      <c r="K113" s="4" t="str" cm="1">
        <f t="array" ref="K113">_xlfn.IFS(Table3[[#This Row],[Drug_Cost_GBP]] &gt; 1200, "High Cost", Table3[[#This Row],[Drug_Cost_GBP]] &lt; 1200, "Normal")</f>
        <v>Normal</v>
      </c>
      <c r="L113" s="4" t="str" cm="1">
        <f t="array" ref="L113">IFERROR(_xlfn.IFS(Table3[[#This Row],[Age (Years)]]  &gt; 75, "YES", Table3[[#This Row],[Age (Years)]] &lt; 75, "NO"), "UNKNOWN")</f>
        <v>NO</v>
      </c>
      <c r="M113" s="4" t="str">
        <f>IF(Table3[[#This Row],[Drug_Cost_GBP]] &gt; Analysis_Sheet!$B$21, "Above Average", "Within Average")</f>
        <v>Within Average</v>
      </c>
      <c r="N113" s="39" t="str">
        <f t="shared" si="1"/>
        <v>February 2024</v>
      </c>
    </row>
    <row r="114" spans="1:14" x14ac:dyDescent="0.3">
      <c r="A114" s="1" t="s">
        <v>518</v>
      </c>
      <c r="B114" s="17">
        <v>67</v>
      </c>
      <c r="C114" s="2" t="s">
        <v>38</v>
      </c>
      <c r="D114" s="2" t="s">
        <v>48</v>
      </c>
      <c r="E114" s="2" t="s">
        <v>23</v>
      </c>
      <c r="F114" s="3" t="s">
        <v>900</v>
      </c>
      <c r="G114" s="2">
        <v>12</v>
      </c>
      <c r="H114" s="13">
        <v>1002.0675517241378</v>
      </c>
      <c r="I114" s="4" t="s">
        <v>26</v>
      </c>
      <c r="J114" s="4" t="str" cm="1">
        <f t="array" ref="J114">_xlfn.IFS(Table3[[#This Row],[Age (Years)]] &lt; 40, "Young", Table3[[#This Row],[Age (Years)]] &gt;= 40, "Middle", Table3[[#This Row],[Age (Years)]] &gt; 60, "Senior")</f>
        <v>Middle</v>
      </c>
      <c r="K114" s="4" t="str" cm="1">
        <f t="array" ref="K114">_xlfn.IFS(Table3[[#This Row],[Drug_Cost_GBP]] &gt; 1200, "High Cost", Table3[[#This Row],[Drug_Cost_GBP]] &lt; 1200, "Normal")</f>
        <v>Normal</v>
      </c>
      <c r="L114" s="4" t="str" cm="1">
        <f t="array" ref="L114">IFERROR(_xlfn.IFS(Table3[[#This Row],[Age (Years)]]  &gt; 75, "YES", Table3[[#This Row],[Age (Years)]] &lt; 75, "NO"), "UNKNOWN")</f>
        <v>NO</v>
      </c>
      <c r="M114" s="4" t="str">
        <f>IF(Table3[[#This Row],[Drug_Cost_GBP]] &gt; Analysis_Sheet!$B$21, "Above Average", "Within Average")</f>
        <v>Within Average</v>
      </c>
      <c r="N114" s="39" t="str">
        <f t="shared" si="1"/>
        <v>Unknown</v>
      </c>
    </row>
    <row r="115" spans="1:14" x14ac:dyDescent="0.3">
      <c r="A115" s="1" t="s">
        <v>668</v>
      </c>
      <c r="B115" s="17">
        <v>67</v>
      </c>
      <c r="C115" s="2" t="s">
        <v>899</v>
      </c>
      <c r="D115" s="2" t="s">
        <v>900</v>
      </c>
      <c r="E115" s="2" t="s">
        <v>57</v>
      </c>
      <c r="F115" s="3">
        <v>45533</v>
      </c>
      <c r="G115" s="2">
        <v>12</v>
      </c>
      <c r="H115" s="13">
        <v>1002.0675517241378</v>
      </c>
      <c r="I115" s="4" t="s">
        <v>16</v>
      </c>
      <c r="J115" s="4" t="str" cm="1">
        <f t="array" ref="J115">_xlfn.IFS(Table3[[#This Row],[Age (Years)]] &lt; 40, "Young", Table3[[#This Row],[Age (Years)]] &gt;= 40, "Middle", Table3[[#This Row],[Age (Years)]] &gt; 60, "Senior")</f>
        <v>Middle</v>
      </c>
      <c r="K115" s="4" t="str" cm="1">
        <f t="array" ref="K115">_xlfn.IFS(Table3[[#This Row],[Drug_Cost_GBP]] &gt; 1200, "High Cost", Table3[[#This Row],[Drug_Cost_GBP]] &lt; 1200, "Normal")</f>
        <v>Normal</v>
      </c>
      <c r="L115" s="4" t="str" cm="1">
        <f t="array" ref="L115">IFERROR(_xlfn.IFS(Table3[[#This Row],[Age (Years)]]  &gt; 75, "YES", Table3[[#This Row],[Age (Years)]] &lt; 75, "NO"), "UNKNOWN")</f>
        <v>NO</v>
      </c>
      <c r="M115" s="4" t="str">
        <f>IF(Table3[[#This Row],[Drug_Cost_GBP]] &gt; Analysis_Sheet!$B$21, "Above Average", "Within Average")</f>
        <v>Within Average</v>
      </c>
      <c r="N115" s="39" t="str">
        <f t="shared" si="1"/>
        <v>August 2024</v>
      </c>
    </row>
    <row r="116" spans="1:14" x14ac:dyDescent="0.3">
      <c r="A116" s="1" t="s">
        <v>894</v>
      </c>
      <c r="B116" s="17">
        <v>67</v>
      </c>
      <c r="C116" s="2" t="s">
        <v>899</v>
      </c>
      <c r="D116" s="2" t="s">
        <v>48</v>
      </c>
      <c r="E116" s="2" t="s">
        <v>43</v>
      </c>
      <c r="F116" s="3">
        <v>45529</v>
      </c>
      <c r="G116" s="2">
        <v>14</v>
      </c>
      <c r="H116" s="13">
        <v>1002.0675517241378</v>
      </c>
      <c r="I116" s="4" t="s">
        <v>12</v>
      </c>
      <c r="J116" s="4" t="str" cm="1">
        <f t="array" ref="J116">_xlfn.IFS(Table3[[#This Row],[Age (Years)]] &lt; 40, "Young", Table3[[#This Row],[Age (Years)]] &gt;= 40, "Middle", Table3[[#This Row],[Age (Years)]] &gt; 60, "Senior")</f>
        <v>Middle</v>
      </c>
      <c r="K116" s="4" t="str" cm="1">
        <f t="array" ref="K116">_xlfn.IFS(Table3[[#This Row],[Drug_Cost_GBP]] &gt; 1200, "High Cost", Table3[[#This Row],[Drug_Cost_GBP]] &lt; 1200, "Normal")</f>
        <v>Normal</v>
      </c>
      <c r="L116" s="4" t="str" cm="1">
        <f t="array" ref="L116">IFERROR(_xlfn.IFS(Table3[[#This Row],[Age (Years)]]  &gt; 75, "YES", Table3[[#This Row],[Age (Years)]] &lt; 75, "NO"), "UNKNOWN")</f>
        <v>NO</v>
      </c>
      <c r="M116" s="4" t="str">
        <f>IF(Table3[[#This Row],[Drug_Cost_GBP]] &gt; Analysis_Sheet!$B$21, "Above Average", "Within Average")</f>
        <v>Within Average</v>
      </c>
      <c r="N116" s="39" t="str">
        <f t="shared" si="1"/>
        <v>August 2024</v>
      </c>
    </row>
    <row r="117" spans="1:14" x14ac:dyDescent="0.3">
      <c r="A117" s="1" t="s">
        <v>194</v>
      </c>
      <c r="B117" s="17">
        <v>66</v>
      </c>
      <c r="C117" s="2" t="s">
        <v>38</v>
      </c>
      <c r="D117" s="2" t="s">
        <v>19</v>
      </c>
      <c r="E117" s="2" t="s">
        <v>23</v>
      </c>
      <c r="F117" s="3">
        <v>45656</v>
      </c>
      <c r="G117" s="2">
        <v>12</v>
      </c>
      <c r="H117" s="13">
        <v>1002.0675517241378</v>
      </c>
      <c r="I117" s="4" t="s">
        <v>12</v>
      </c>
      <c r="J117" s="4" t="str" cm="1">
        <f t="array" ref="J117">_xlfn.IFS(Table3[[#This Row],[Age (Years)]] &lt; 40, "Young", Table3[[#This Row],[Age (Years)]] &gt;= 40, "Middle", Table3[[#This Row],[Age (Years)]] &gt; 60, "Senior")</f>
        <v>Middle</v>
      </c>
      <c r="K117" s="4" t="str" cm="1">
        <f t="array" ref="K117">_xlfn.IFS(Table3[[#This Row],[Drug_Cost_GBP]] &gt; 1200, "High Cost", Table3[[#This Row],[Drug_Cost_GBP]] &lt; 1200, "Normal")</f>
        <v>Normal</v>
      </c>
      <c r="L117" s="4" t="str" cm="1">
        <f t="array" ref="L117">IFERROR(_xlfn.IFS(Table3[[#This Row],[Age (Years)]]  &gt; 75, "YES", Table3[[#This Row],[Age (Years)]] &lt; 75, "NO"), "UNKNOWN")</f>
        <v>NO</v>
      </c>
      <c r="M117" s="4" t="str">
        <f>IF(Table3[[#This Row],[Drug_Cost_GBP]] &gt; Analysis_Sheet!$B$21, "Above Average", "Within Average")</f>
        <v>Within Average</v>
      </c>
      <c r="N117" s="39" t="str">
        <f t="shared" si="1"/>
        <v>December 2024</v>
      </c>
    </row>
    <row r="118" spans="1:14" x14ac:dyDescent="0.3">
      <c r="A118" s="1" t="s">
        <v>620</v>
      </c>
      <c r="B118" s="17">
        <v>66</v>
      </c>
      <c r="C118" s="2" t="s">
        <v>900</v>
      </c>
      <c r="D118" s="2" t="s">
        <v>898</v>
      </c>
      <c r="E118" s="2" t="s">
        <v>23</v>
      </c>
      <c r="F118" s="3">
        <v>45609</v>
      </c>
      <c r="G118" s="2">
        <v>8</v>
      </c>
      <c r="H118" s="13">
        <v>477.3</v>
      </c>
      <c r="I118" s="4" t="s">
        <v>12</v>
      </c>
      <c r="J118" s="4" t="str" cm="1">
        <f t="array" ref="J118">_xlfn.IFS(Table3[[#This Row],[Age (Years)]] &lt; 40, "Young", Table3[[#This Row],[Age (Years)]] &gt;= 40, "Middle", Table3[[#This Row],[Age (Years)]] &gt; 60, "Senior")</f>
        <v>Middle</v>
      </c>
      <c r="K118" s="4" t="str" cm="1">
        <f t="array" ref="K118">_xlfn.IFS(Table3[[#This Row],[Drug_Cost_GBP]] &gt; 1200, "High Cost", Table3[[#This Row],[Drug_Cost_GBP]] &lt; 1200, "Normal")</f>
        <v>Normal</v>
      </c>
      <c r="L118" s="4" t="str" cm="1">
        <f t="array" ref="L118">IFERROR(_xlfn.IFS(Table3[[#This Row],[Age (Years)]]  &gt; 75, "YES", Table3[[#This Row],[Age (Years)]] &lt; 75, "NO"), "UNKNOWN")</f>
        <v>NO</v>
      </c>
      <c r="M118" s="4" t="str">
        <f>IF(Table3[[#This Row],[Drug_Cost_GBP]] &gt; Analysis_Sheet!$B$21, "Above Average", "Within Average")</f>
        <v>Within Average</v>
      </c>
      <c r="N118" s="39" t="str">
        <f t="shared" si="1"/>
        <v>November 2024</v>
      </c>
    </row>
    <row r="119" spans="1:14" x14ac:dyDescent="0.3">
      <c r="A119" s="1" t="s">
        <v>842</v>
      </c>
      <c r="B119" s="17">
        <v>66</v>
      </c>
      <c r="C119" s="2" t="s">
        <v>38</v>
      </c>
      <c r="D119" s="2" t="s">
        <v>898</v>
      </c>
      <c r="E119" s="2" t="s">
        <v>34</v>
      </c>
      <c r="F119" s="3">
        <v>45445</v>
      </c>
      <c r="G119" s="2">
        <v>12</v>
      </c>
      <c r="H119" s="13">
        <v>1002.0675517241378</v>
      </c>
      <c r="I119" s="4" t="s">
        <v>16</v>
      </c>
      <c r="J119" s="4" t="str" cm="1">
        <f t="array" ref="J119">_xlfn.IFS(Table3[[#This Row],[Age (Years)]] &lt; 40, "Young", Table3[[#This Row],[Age (Years)]] &gt;= 40, "Middle", Table3[[#This Row],[Age (Years)]] &gt; 60, "Senior")</f>
        <v>Middle</v>
      </c>
      <c r="K119" s="4" t="str" cm="1">
        <f t="array" ref="K119">_xlfn.IFS(Table3[[#This Row],[Drug_Cost_GBP]] &gt; 1200, "High Cost", Table3[[#This Row],[Drug_Cost_GBP]] &lt; 1200, "Normal")</f>
        <v>Normal</v>
      </c>
      <c r="L119" s="4" t="str" cm="1">
        <f t="array" ref="L119">IFERROR(_xlfn.IFS(Table3[[#This Row],[Age (Years)]]  &gt; 75, "YES", Table3[[#This Row],[Age (Years)]] &lt; 75, "NO"), "UNKNOWN")</f>
        <v>NO</v>
      </c>
      <c r="M119" s="4" t="str">
        <f>IF(Table3[[#This Row],[Drug_Cost_GBP]] &gt; Analysis_Sheet!$B$21, "Above Average", "Within Average")</f>
        <v>Within Average</v>
      </c>
      <c r="N119" s="39" t="str">
        <f t="shared" si="1"/>
        <v>June 2024</v>
      </c>
    </row>
    <row r="120" spans="1:14" x14ac:dyDescent="0.3">
      <c r="A120" s="1" t="s">
        <v>444</v>
      </c>
      <c r="B120" s="17">
        <v>65</v>
      </c>
      <c r="C120" s="2" t="s">
        <v>38</v>
      </c>
      <c r="D120" s="2" t="s">
        <v>19</v>
      </c>
      <c r="E120" s="2" t="s">
        <v>57</v>
      </c>
      <c r="F120" s="3">
        <v>45397</v>
      </c>
      <c r="G120" s="2">
        <v>12</v>
      </c>
      <c r="H120" s="13">
        <v>1002.0675517241378</v>
      </c>
      <c r="I120" s="4" t="s">
        <v>900</v>
      </c>
      <c r="J120" s="4" t="str" cm="1">
        <f t="array" ref="J120">_xlfn.IFS(Table3[[#This Row],[Age (Years)]] &lt; 40, "Young", Table3[[#This Row],[Age (Years)]] &gt;= 40, "Middle", Table3[[#This Row],[Age (Years)]] &gt; 60, "Senior")</f>
        <v>Middle</v>
      </c>
      <c r="K120" s="4" t="str" cm="1">
        <f t="array" ref="K120">_xlfn.IFS(Table3[[#This Row],[Drug_Cost_GBP]] &gt; 1200, "High Cost", Table3[[#This Row],[Drug_Cost_GBP]] &lt; 1200, "Normal")</f>
        <v>Normal</v>
      </c>
      <c r="L120" s="4" t="str" cm="1">
        <f t="array" ref="L120">IFERROR(_xlfn.IFS(Table3[[#This Row],[Age (Years)]]  &gt; 75, "YES", Table3[[#This Row],[Age (Years)]] &lt; 75, "NO"), "UNKNOWN")</f>
        <v>NO</v>
      </c>
      <c r="M120" s="4" t="str">
        <f>IF(Table3[[#This Row],[Drug_Cost_GBP]] &gt; Analysis_Sheet!$B$21, "Above Average", "Within Average")</f>
        <v>Within Average</v>
      </c>
      <c r="N120" s="39" t="str">
        <f t="shared" si="1"/>
        <v>April 2024</v>
      </c>
    </row>
    <row r="121" spans="1:14" x14ac:dyDescent="0.3">
      <c r="A121" s="1" t="s">
        <v>456</v>
      </c>
      <c r="B121" s="17">
        <v>65</v>
      </c>
      <c r="C121" s="2" t="s">
        <v>38</v>
      </c>
      <c r="D121" s="2" t="s">
        <v>25</v>
      </c>
      <c r="E121" s="2" t="s">
        <v>34</v>
      </c>
      <c r="F121" s="3" t="s">
        <v>900</v>
      </c>
      <c r="G121" s="2">
        <v>12</v>
      </c>
      <c r="H121" s="13">
        <v>1002.0675517241378</v>
      </c>
      <c r="I121" s="4" t="s">
        <v>26</v>
      </c>
      <c r="J121" s="8" t="str" cm="1">
        <f t="array" ref="J121">_xlfn.IFS(Table3[[#This Row],[Age (Years)]] &lt; 40, "Young", Table3[[#This Row],[Age (Years)]] &gt;= 40, "Middle", Table3[[#This Row],[Age (Years)]] &gt; 60, "Senior")</f>
        <v>Middle</v>
      </c>
      <c r="K121" s="8" t="str" cm="1">
        <f t="array" ref="K121">_xlfn.IFS(Table3[[#This Row],[Drug_Cost_GBP]] &gt; 1200, "High Cost", Table3[[#This Row],[Drug_Cost_GBP]] &lt; 1200, "Normal")</f>
        <v>Normal</v>
      </c>
      <c r="L121" s="8" t="str" cm="1">
        <f t="array" ref="L121">IFERROR(_xlfn.IFS(Table3[[#This Row],[Age (Years)]]  &gt; 75, "YES", Table3[[#This Row],[Age (Years)]] &lt; 75, "NO"), "UNKNOWN")</f>
        <v>NO</v>
      </c>
      <c r="M121" s="8" t="str">
        <f>IF(Table3[[#This Row],[Drug_Cost_GBP]] &gt; Analysis_Sheet!$B$21, "Above Average", "Within Average")</f>
        <v>Within Average</v>
      </c>
      <c r="N121" s="39" t="str">
        <f t="shared" si="1"/>
        <v>Unknown</v>
      </c>
    </row>
    <row r="122" spans="1:14" x14ac:dyDescent="0.3">
      <c r="A122" s="5" t="s">
        <v>819</v>
      </c>
      <c r="B122" s="18">
        <v>65</v>
      </c>
      <c r="C122" s="6" t="s">
        <v>38</v>
      </c>
      <c r="D122" s="6" t="s">
        <v>19</v>
      </c>
      <c r="E122" s="6" t="s">
        <v>57</v>
      </c>
      <c r="F122" s="7">
        <v>45448</v>
      </c>
      <c r="G122" s="6">
        <v>12</v>
      </c>
      <c r="H122" s="14">
        <v>1002.0675517241378</v>
      </c>
      <c r="I122" s="8" t="s">
        <v>900</v>
      </c>
      <c r="J122" s="4" t="str" cm="1">
        <f t="array" ref="J122">_xlfn.IFS(Table3[[#This Row],[Age (Years)]] &lt; 40, "Young", Table3[[#This Row],[Age (Years)]] &gt;= 40, "Middle", Table3[[#This Row],[Age (Years)]] &gt; 60, "Senior")</f>
        <v>Middle</v>
      </c>
      <c r="K122" s="4" t="str" cm="1">
        <f t="array" ref="K122">_xlfn.IFS(Table3[[#This Row],[Drug_Cost_GBP]] &gt; 1200, "High Cost", Table3[[#This Row],[Drug_Cost_GBP]] &lt; 1200, "Normal")</f>
        <v>Normal</v>
      </c>
      <c r="L122" s="4" t="str" cm="1">
        <f t="array" ref="L122">IFERROR(_xlfn.IFS(Table3[[#This Row],[Age (Years)]]  &gt; 75, "YES", Table3[[#This Row],[Age (Years)]] &lt; 75, "NO"), "UNKNOWN")</f>
        <v>NO</v>
      </c>
      <c r="M122" s="4" t="str">
        <f>IF(Table3[[#This Row],[Drug_Cost_GBP]] &gt; Analysis_Sheet!$B$21, "Above Average", "Within Average")</f>
        <v>Within Average</v>
      </c>
      <c r="N122" s="39" t="str">
        <f t="shared" si="1"/>
        <v>June 2024</v>
      </c>
    </row>
    <row r="123" spans="1:14" x14ac:dyDescent="0.3">
      <c r="A123" s="1" t="s">
        <v>296</v>
      </c>
      <c r="B123" s="17">
        <v>64</v>
      </c>
      <c r="C123" s="2" t="s">
        <v>38</v>
      </c>
      <c r="D123" s="2" t="s">
        <v>19</v>
      </c>
      <c r="E123" s="2" t="s">
        <v>29</v>
      </c>
      <c r="F123" s="3">
        <v>45502</v>
      </c>
      <c r="G123" s="2">
        <v>12</v>
      </c>
      <c r="H123" s="13">
        <v>1002.0675517241378</v>
      </c>
      <c r="I123" s="4" t="s">
        <v>21</v>
      </c>
      <c r="J123" s="8" t="str" cm="1">
        <f t="array" ref="J123">_xlfn.IFS(Table3[[#This Row],[Age (Years)]] &lt; 40, "Young", Table3[[#This Row],[Age (Years)]] &gt;= 40, "Middle", Table3[[#This Row],[Age (Years)]] &gt; 60, "Senior")</f>
        <v>Middle</v>
      </c>
      <c r="K123" s="8" t="str" cm="1">
        <f t="array" ref="K123">_xlfn.IFS(Table3[[#This Row],[Drug_Cost_GBP]] &gt; 1200, "High Cost", Table3[[#This Row],[Drug_Cost_GBP]] &lt; 1200, "Normal")</f>
        <v>Normal</v>
      </c>
      <c r="L123" s="8" t="str" cm="1">
        <f t="array" ref="L123">IFERROR(_xlfn.IFS(Table3[[#This Row],[Age (Years)]]  &gt; 75, "YES", Table3[[#This Row],[Age (Years)]] &lt; 75, "NO"), "UNKNOWN")</f>
        <v>NO</v>
      </c>
      <c r="M123" s="8" t="str">
        <f>IF(Table3[[#This Row],[Drug_Cost_GBP]] &gt; Analysis_Sheet!$B$21, "Above Average", "Within Average")</f>
        <v>Within Average</v>
      </c>
      <c r="N123" s="39" t="str">
        <f t="shared" si="1"/>
        <v>July 2024</v>
      </c>
    </row>
    <row r="124" spans="1:14" x14ac:dyDescent="0.3">
      <c r="A124" s="5" t="s">
        <v>769</v>
      </c>
      <c r="B124" s="18">
        <v>64</v>
      </c>
      <c r="C124" s="6" t="s">
        <v>38</v>
      </c>
      <c r="D124" s="6" t="s">
        <v>19</v>
      </c>
      <c r="E124" s="6" t="s">
        <v>29</v>
      </c>
      <c r="F124" s="7">
        <v>45494</v>
      </c>
      <c r="G124" s="6">
        <v>8</v>
      </c>
      <c r="H124" s="14">
        <v>1002.0675517241378</v>
      </c>
      <c r="I124" s="8" t="s">
        <v>21</v>
      </c>
      <c r="J124" s="4" t="str" cm="1">
        <f t="array" ref="J124">_xlfn.IFS(Table3[[#This Row],[Age (Years)]] &lt; 40, "Young", Table3[[#This Row],[Age (Years)]] &gt;= 40, "Middle", Table3[[#This Row],[Age (Years)]] &gt; 60, "Senior")</f>
        <v>Middle</v>
      </c>
      <c r="K124" s="4" t="str" cm="1">
        <f t="array" ref="K124">_xlfn.IFS(Table3[[#This Row],[Drug_Cost_GBP]] &gt; 1200, "High Cost", Table3[[#This Row],[Drug_Cost_GBP]] &lt; 1200, "Normal")</f>
        <v>Normal</v>
      </c>
      <c r="L124" s="4" t="str" cm="1">
        <f t="array" ref="L124">IFERROR(_xlfn.IFS(Table3[[#This Row],[Age (Years)]]  &gt; 75, "YES", Table3[[#This Row],[Age (Years)]] &lt; 75, "NO"), "UNKNOWN")</f>
        <v>NO</v>
      </c>
      <c r="M124" s="4" t="str">
        <f>IF(Table3[[#This Row],[Drug_Cost_GBP]] &gt; Analysis_Sheet!$B$21, "Above Average", "Within Average")</f>
        <v>Within Average</v>
      </c>
      <c r="N124" s="39" t="str">
        <f t="shared" si="1"/>
        <v>July 2024</v>
      </c>
    </row>
    <row r="125" spans="1:14" x14ac:dyDescent="0.3">
      <c r="A125" s="1" t="s">
        <v>774</v>
      </c>
      <c r="B125" s="17">
        <v>64</v>
      </c>
      <c r="C125" s="2" t="s">
        <v>38</v>
      </c>
      <c r="D125" s="2" t="s">
        <v>14</v>
      </c>
      <c r="E125" s="2" t="s">
        <v>11</v>
      </c>
      <c r="F125" s="3">
        <v>45311</v>
      </c>
      <c r="G125" s="2">
        <v>20</v>
      </c>
      <c r="H125" s="13">
        <v>1002.0675517241378</v>
      </c>
      <c r="I125" s="4" t="s">
        <v>900</v>
      </c>
      <c r="J125" s="4" t="str" cm="1">
        <f t="array" ref="J125">_xlfn.IFS(Table3[[#This Row],[Age (Years)]] &lt; 40, "Young", Table3[[#This Row],[Age (Years)]] &gt;= 40, "Middle", Table3[[#This Row],[Age (Years)]] &gt; 60, "Senior")</f>
        <v>Middle</v>
      </c>
      <c r="K125" s="4" t="str" cm="1">
        <f t="array" ref="K125">_xlfn.IFS(Table3[[#This Row],[Drug_Cost_GBP]] &gt; 1200, "High Cost", Table3[[#This Row],[Drug_Cost_GBP]] &lt; 1200, "Normal")</f>
        <v>Normal</v>
      </c>
      <c r="L125" s="4" t="str" cm="1">
        <f t="array" ref="L125">IFERROR(_xlfn.IFS(Table3[[#This Row],[Age (Years)]]  &gt; 75, "YES", Table3[[#This Row],[Age (Years)]] &lt; 75, "NO"), "UNKNOWN")</f>
        <v>NO</v>
      </c>
      <c r="M125" s="4" t="str">
        <f>IF(Table3[[#This Row],[Drug_Cost_GBP]] &gt; Analysis_Sheet!$B$21, "Above Average", "Within Average")</f>
        <v>Within Average</v>
      </c>
      <c r="N125" s="39" t="str">
        <f t="shared" si="1"/>
        <v>January 2024</v>
      </c>
    </row>
    <row r="126" spans="1:14" x14ac:dyDescent="0.3">
      <c r="A126" s="1" t="s">
        <v>68</v>
      </c>
      <c r="B126" s="17">
        <v>63</v>
      </c>
      <c r="C126" s="2" t="s">
        <v>899</v>
      </c>
      <c r="D126" s="2" t="s">
        <v>900</v>
      </c>
      <c r="E126" s="2" t="s">
        <v>34</v>
      </c>
      <c r="F126" s="3">
        <v>45456</v>
      </c>
      <c r="G126" s="2">
        <v>12</v>
      </c>
      <c r="H126" s="13">
        <v>1002.0675517241378</v>
      </c>
      <c r="I126" s="4" t="s">
        <v>900</v>
      </c>
      <c r="J126" s="8" t="str" cm="1">
        <f t="array" ref="J126">_xlfn.IFS(Table3[[#This Row],[Age (Years)]] &lt; 40, "Young", Table3[[#This Row],[Age (Years)]] &gt;= 40, "Middle", Table3[[#This Row],[Age (Years)]] &gt; 60, "Senior")</f>
        <v>Middle</v>
      </c>
      <c r="K126" s="8" t="str" cm="1">
        <f t="array" ref="K126">_xlfn.IFS(Table3[[#This Row],[Drug_Cost_GBP]] &gt; 1200, "High Cost", Table3[[#This Row],[Drug_Cost_GBP]] &lt; 1200, "Normal")</f>
        <v>Normal</v>
      </c>
      <c r="L126" s="8" t="str" cm="1">
        <f t="array" ref="L126">IFERROR(_xlfn.IFS(Table3[[#This Row],[Age (Years)]]  &gt; 75, "YES", Table3[[#This Row],[Age (Years)]] &lt; 75, "NO"), "UNKNOWN")</f>
        <v>NO</v>
      </c>
      <c r="M126" s="8" t="str">
        <f>IF(Table3[[#This Row],[Drug_Cost_GBP]] &gt; Analysis_Sheet!$B$21, "Above Average", "Within Average")</f>
        <v>Within Average</v>
      </c>
      <c r="N126" s="39" t="str">
        <f t="shared" si="1"/>
        <v>June 2024</v>
      </c>
    </row>
    <row r="127" spans="1:14" x14ac:dyDescent="0.3">
      <c r="A127" s="5" t="s">
        <v>269</v>
      </c>
      <c r="B127" s="18">
        <v>63</v>
      </c>
      <c r="C127" s="6" t="s">
        <v>899</v>
      </c>
      <c r="D127" s="6" t="s">
        <v>10</v>
      </c>
      <c r="E127" s="6" t="s">
        <v>29</v>
      </c>
      <c r="F127" s="7">
        <v>45556</v>
      </c>
      <c r="G127" s="6">
        <v>18</v>
      </c>
      <c r="H127" s="14">
        <v>66.239999999999995</v>
      </c>
      <c r="I127" s="8" t="s">
        <v>900</v>
      </c>
      <c r="J127" s="8" t="str" cm="1">
        <f t="array" ref="J127">_xlfn.IFS(Table3[[#This Row],[Age (Years)]] &lt; 40, "Young", Table3[[#This Row],[Age (Years)]] &gt;= 40, "Middle", Table3[[#This Row],[Age (Years)]] &gt; 60, "Senior")</f>
        <v>Middle</v>
      </c>
      <c r="K127" s="8" t="str" cm="1">
        <f t="array" ref="K127">_xlfn.IFS(Table3[[#This Row],[Drug_Cost_GBP]] &gt; 1200, "High Cost", Table3[[#This Row],[Drug_Cost_GBP]] &lt; 1200, "Normal")</f>
        <v>Normal</v>
      </c>
      <c r="L127" s="8" t="str" cm="1">
        <f t="array" ref="L127">IFERROR(_xlfn.IFS(Table3[[#This Row],[Age (Years)]]  &gt; 75, "YES", Table3[[#This Row],[Age (Years)]] &lt; 75, "NO"), "UNKNOWN")</f>
        <v>NO</v>
      </c>
      <c r="M127" s="8" t="str">
        <f>IF(Table3[[#This Row],[Drug_Cost_GBP]] &gt; Analysis_Sheet!$B$21, "Above Average", "Within Average")</f>
        <v>Within Average</v>
      </c>
      <c r="N127" s="39" t="str">
        <f t="shared" si="1"/>
        <v>September 2024</v>
      </c>
    </row>
    <row r="128" spans="1:14" x14ac:dyDescent="0.3">
      <c r="A128" s="5" t="s">
        <v>331</v>
      </c>
      <c r="B128" s="18">
        <v>63</v>
      </c>
      <c r="C128" s="6" t="s">
        <v>899</v>
      </c>
      <c r="D128" s="6" t="s">
        <v>898</v>
      </c>
      <c r="E128" s="6" t="s">
        <v>34</v>
      </c>
      <c r="F128" s="7" t="s">
        <v>900</v>
      </c>
      <c r="G128" s="6">
        <v>12</v>
      </c>
      <c r="H128" s="14">
        <v>1002.0675517241378</v>
      </c>
      <c r="I128" s="8" t="s">
        <v>26</v>
      </c>
      <c r="J128" s="4" t="str" cm="1">
        <f t="array" ref="J128">_xlfn.IFS(Table3[[#This Row],[Age (Years)]] &lt; 40, "Young", Table3[[#This Row],[Age (Years)]] &gt;= 40, "Middle", Table3[[#This Row],[Age (Years)]] &gt; 60, "Senior")</f>
        <v>Middle</v>
      </c>
      <c r="K128" s="4" t="str" cm="1">
        <f t="array" ref="K128">_xlfn.IFS(Table3[[#This Row],[Drug_Cost_GBP]] &gt; 1200, "High Cost", Table3[[#This Row],[Drug_Cost_GBP]] &lt; 1200, "Normal")</f>
        <v>Normal</v>
      </c>
      <c r="L128" s="4" t="str" cm="1">
        <f t="array" ref="L128">IFERROR(_xlfn.IFS(Table3[[#This Row],[Age (Years)]]  &gt; 75, "YES", Table3[[#This Row],[Age (Years)]] &lt; 75, "NO"), "UNKNOWN")</f>
        <v>NO</v>
      </c>
      <c r="M128" s="4" t="str">
        <f>IF(Table3[[#This Row],[Drug_Cost_GBP]] &gt; Analysis_Sheet!$B$21, "Above Average", "Within Average")</f>
        <v>Within Average</v>
      </c>
      <c r="N128" s="39" t="str">
        <f t="shared" si="1"/>
        <v>Unknown</v>
      </c>
    </row>
    <row r="129" spans="1:14" x14ac:dyDescent="0.3">
      <c r="A129" s="1" t="s">
        <v>462</v>
      </c>
      <c r="B129" s="17">
        <v>63</v>
      </c>
      <c r="C129" s="2" t="s">
        <v>899</v>
      </c>
      <c r="D129" s="2" t="s">
        <v>898</v>
      </c>
      <c r="E129" s="2" t="s">
        <v>11</v>
      </c>
      <c r="F129" s="3" t="s">
        <v>900</v>
      </c>
      <c r="G129" s="2">
        <v>20</v>
      </c>
      <c r="H129" s="13">
        <v>1002.0675517241378</v>
      </c>
      <c r="I129" s="4" t="s">
        <v>900</v>
      </c>
      <c r="J129" s="8" t="str" cm="1">
        <f t="array" ref="J129">_xlfn.IFS(Table3[[#This Row],[Age (Years)]] &lt; 40, "Young", Table3[[#This Row],[Age (Years)]] &gt;= 40, "Middle", Table3[[#This Row],[Age (Years)]] &gt; 60, "Senior")</f>
        <v>Middle</v>
      </c>
      <c r="K129" s="8" t="str" cm="1">
        <f t="array" ref="K129">_xlfn.IFS(Table3[[#This Row],[Drug_Cost_GBP]] &gt; 1200, "High Cost", Table3[[#This Row],[Drug_Cost_GBP]] &lt; 1200, "Normal")</f>
        <v>Normal</v>
      </c>
      <c r="L129" s="8" t="str" cm="1">
        <f t="array" ref="L129">IFERROR(_xlfn.IFS(Table3[[#This Row],[Age (Years)]]  &gt; 75, "YES", Table3[[#This Row],[Age (Years)]] &lt; 75, "NO"), "UNKNOWN")</f>
        <v>NO</v>
      </c>
      <c r="M129" s="8" t="str">
        <f>IF(Table3[[#This Row],[Drug_Cost_GBP]] &gt; Analysis_Sheet!$B$21, "Above Average", "Within Average")</f>
        <v>Within Average</v>
      </c>
      <c r="N129" s="39" t="str">
        <f t="shared" si="1"/>
        <v>Unknown</v>
      </c>
    </row>
    <row r="130" spans="1:14" x14ac:dyDescent="0.3">
      <c r="A130" s="5" t="s">
        <v>601</v>
      </c>
      <c r="B130" s="18">
        <v>63</v>
      </c>
      <c r="C130" s="6" t="s">
        <v>38</v>
      </c>
      <c r="D130" s="6" t="s">
        <v>900</v>
      </c>
      <c r="E130" s="6" t="s">
        <v>43</v>
      </c>
      <c r="F130" s="7" t="s">
        <v>900</v>
      </c>
      <c r="G130" s="6">
        <v>12</v>
      </c>
      <c r="H130" s="14">
        <v>1002.0675517241378</v>
      </c>
      <c r="I130" s="8" t="s">
        <v>12</v>
      </c>
      <c r="J130" s="4" t="str" cm="1">
        <f t="array" ref="J130">_xlfn.IFS(Table3[[#This Row],[Age (Years)]] &lt; 40, "Young", Table3[[#This Row],[Age (Years)]] &gt;= 40, "Middle", Table3[[#This Row],[Age (Years)]] &gt; 60, "Senior")</f>
        <v>Middle</v>
      </c>
      <c r="K130" s="4" t="str" cm="1">
        <f t="array" ref="K130">_xlfn.IFS(Table3[[#This Row],[Drug_Cost_GBP]] &gt; 1200, "High Cost", Table3[[#This Row],[Drug_Cost_GBP]] &lt; 1200, "Normal")</f>
        <v>Normal</v>
      </c>
      <c r="L130" s="4" t="str" cm="1">
        <f t="array" ref="L130">IFERROR(_xlfn.IFS(Table3[[#This Row],[Age (Years)]]  &gt; 75, "YES", Table3[[#This Row],[Age (Years)]] &lt; 75, "NO"), "UNKNOWN")</f>
        <v>NO</v>
      </c>
      <c r="M130" s="4" t="str">
        <f>IF(Table3[[#This Row],[Drug_Cost_GBP]] &gt; Analysis_Sheet!$B$21, "Above Average", "Within Average")</f>
        <v>Within Average</v>
      </c>
      <c r="N130" s="39" t="str">
        <f t="shared" si="1"/>
        <v>Unknown</v>
      </c>
    </row>
    <row r="131" spans="1:14" x14ac:dyDescent="0.3">
      <c r="A131" s="1" t="s">
        <v>98</v>
      </c>
      <c r="B131" s="17">
        <v>62</v>
      </c>
      <c r="C131" s="2" t="s">
        <v>900</v>
      </c>
      <c r="D131" s="2" t="s">
        <v>898</v>
      </c>
      <c r="E131" s="2" t="s">
        <v>23</v>
      </c>
      <c r="F131" s="3">
        <v>45502</v>
      </c>
      <c r="G131" s="2">
        <v>13</v>
      </c>
      <c r="H131" s="13">
        <v>1002.0675517241378</v>
      </c>
      <c r="I131" s="4" t="s">
        <v>26</v>
      </c>
      <c r="J131" s="8" t="str" cm="1">
        <f t="array" ref="J131">_xlfn.IFS(Table3[[#This Row],[Age (Years)]] &lt; 40, "Young", Table3[[#This Row],[Age (Years)]] &gt;= 40, "Middle", Table3[[#This Row],[Age (Years)]] &gt; 60, "Senior")</f>
        <v>Middle</v>
      </c>
      <c r="K131" s="8" t="str" cm="1">
        <f t="array" ref="K131">_xlfn.IFS(Table3[[#This Row],[Drug_Cost_GBP]] &gt; 1200, "High Cost", Table3[[#This Row],[Drug_Cost_GBP]] &lt; 1200, "Normal")</f>
        <v>Normal</v>
      </c>
      <c r="L131" s="8" t="str" cm="1">
        <f t="array" ref="L131">IFERROR(_xlfn.IFS(Table3[[#This Row],[Age (Years)]]  &gt; 75, "YES", Table3[[#This Row],[Age (Years)]] &lt; 75, "NO"), "UNKNOWN")</f>
        <v>NO</v>
      </c>
      <c r="M131" s="8" t="str">
        <f>IF(Table3[[#This Row],[Drug_Cost_GBP]] &gt; Analysis_Sheet!$B$21, "Above Average", "Within Average")</f>
        <v>Within Average</v>
      </c>
      <c r="N131" s="39" t="str">
        <f t="shared" ref="N131:N194" si="2">IF(ISNUMBER(F131),TEXT(F131,"MMMM YYYY"),"Unknown")</f>
        <v>July 2024</v>
      </c>
    </row>
    <row r="132" spans="1:14" x14ac:dyDescent="0.3">
      <c r="A132" s="5" t="s">
        <v>343</v>
      </c>
      <c r="B132" s="18">
        <v>62</v>
      </c>
      <c r="C132" s="6" t="s">
        <v>899</v>
      </c>
      <c r="D132" s="6" t="s">
        <v>14</v>
      </c>
      <c r="E132" s="6" t="s">
        <v>23</v>
      </c>
      <c r="F132" s="7">
        <v>45573</v>
      </c>
      <c r="G132" s="6">
        <v>12</v>
      </c>
      <c r="H132" s="14">
        <v>1002.0675517241378</v>
      </c>
      <c r="I132" s="8" t="s">
        <v>16</v>
      </c>
      <c r="J132" s="8" t="str" cm="1">
        <f t="array" ref="J132">_xlfn.IFS(Table3[[#This Row],[Age (Years)]] &lt; 40, "Young", Table3[[#This Row],[Age (Years)]] &gt;= 40, "Middle", Table3[[#This Row],[Age (Years)]] &gt; 60, "Senior")</f>
        <v>Middle</v>
      </c>
      <c r="K132" s="8" t="str" cm="1">
        <f t="array" ref="K132">_xlfn.IFS(Table3[[#This Row],[Drug_Cost_GBP]] &gt; 1200, "High Cost", Table3[[#This Row],[Drug_Cost_GBP]] &lt; 1200, "Normal")</f>
        <v>Normal</v>
      </c>
      <c r="L132" s="8" t="str" cm="1">
        <f t="array" ref="L132">IFERROR(_xlfn.IFS(Table3[[#This Row],[Age (Years)]]  &gt; 75, "YES", Table3[[#This Row],[Age (Years)]] &lt; 75, "NO"), "UNKNOWN")</f>
        <v>NO</v>
      </c>
      <c r="M132" s="8" t="str">
        <f>IF(Table3[[#This Row],[Drug_Cost_GBP]] &gt; Analysis_Sheet!$B$21, "Above Average", "Within Average")</f>
        <v>Within Average</v>
      </c>
      <c r="N132" s="39" t="str">
        <f t="shared" si="2"/>
        <v>October 2024</v>
      </c>
    </row>
    <row r="133" spans="1:14" x14ac:dyDescent="0.3">
      <c r="A133" s="5" t="s">
        <v>583</v>
      </c>
      <c r="B133" s="18">
        <v>62</v>
      </c>
      <c r="C133" s="6" t="s">
        <v>899</v>
      </c>
      <c r="D133" s="6" t="s">
        <v>19</v>
      </c>
      <c r="E133" s="6" t="s">
        <v>57</v>
      </c>
      <c r="F133" s="7">
        <v>45579</v>
      </c>
      <c r="G133" s="6">
        <v>12</v>
      </c>
      <c r="H133" s="14">
        <v>1241.78</v>
      </c>
      <c r="I133" s="8" t="s">
        <v>12</v>
      </c>
      <c r="J133" s="8" t="str" cm="1">
        <f t="array" ref="J133">_xlfn.IFS(Table3[[#This Row],[Age (Years)]] &lt; 40, "Young", Table3[[#This Row],[Age (Years)]] &gt;= 40, "Middle", Table3[[#This Row],[Age (Years)]] &gt; 60, "Senior")</f>
        <v>Middle</v>
      </c>
      <c r="K133" s="8" t="str" cm="1">
        <f t="array" ref="K133">_xlfn.IFS(Table3[[#This Row],[Drug_Cost_GBP]] &gt; 1200, "High Cost", Table3[[#This Row],[Drug_Cost_GBP]] &lt; 1200, "Normal")</f>
        <v>High Cost</v>
      </c>
      <c r="L133" s="8" t="str" cm="1">
        <f t="array" ref="L133">IFERROR(_xlfn.IFS(Table3[[#This Row],[Age (Years)]]  &gt; 75, "YES", Table3[[#This Row],[Age (Years)]] &lt; 75, "NO"), "UNKNOWN")</f>
        <v>NO</v>
      </c>
      <c r="M133" s="8" t="str">
        <f>IF(Table3[[#This Row],[Drug_Cost_GBP]] &gt; Analysis_Sheet!$B$21, "Above Average", "Within Average")</f>
        <v>Above Average</v>
      </c>
      <c r="N133" s="39" t="str">
        <f t="shared" si="2"/>
        <v>October 2024</v>
      </c>
    </row>
    <row r="134" spans="1:14" x14ac:dyDescent="0.3">
      <c r="A134" s="5" t="s">
        <v>693</v>
      </c>
      <c r="B134" s="18">
        <v>62</v>
      </c>
      <c r="C134" s="6" t="s">
        <v>900</v>
      </c>
      <c r="D134" s="6" t="s">
        <v>900</v>
      </c>
      <c r="E134" s="6" t="s">
        <v>57</v>
      </c>
      <c r="F134" s="7" t="s">
        <v>900</v>
      </c>
      <c r="G134" s="6">
        <v>12</v>
      </c>
      <c r="H134" s="14">
        <v>1002.0675517241378</v>
      </c>
      <c r="I134" s="8" t="s">
        <v>21</v>
      </c>
      <c r="J134" s="4" t="str" cm="1">
        <f t="array" ref="J134">_xlfn.IFS(Table3[[#This Row],[Age (Years)]] &lt; 40, "Young", Table3[[#This Row],[Age (Years)]] &gt;= 40, "Middle", Table3[[#This Row],[Age (Years)]] &gt; 60, "Senior")</f>
        <v>Middle</v>
      </c>
      <c r="K134" s="4" t="str" cm="1">
        <f t="array" ref="K134">_xlfn.IFS(Table3[[#This Row],[Drug_Cost_GBP]] &gt; 1200, "High Cost", Table3[[#This Row],[Drug_Cost_GBP]] &lt; 1200, "Normal")</f>
        <v>Normal</v>
      </c>
      <c r="L134" s="4" t="str" cm="1">
        <f t="array" ref="L134">IFERROR(_xlfn.IFS(Table3[[#This Row],[Age (Years)]]  &gt; 75, "YES", Table3[[#This Row],[Age (Years)]] &lt; 75, "NO"), "UNKNOWN")</f>
        <v>NO</v>
      </c>
      <c r="M134" s="4" t="str">
        <f>IF(Table3[[#This Row],[Drug_Cost_GBP]] &gt; Analysis_Sheet!$B$21, "Above Average", "Within Average")</f>
        <v>Within Average</v>
      </c>
      <c r="N134" s="39" t="str">
        <f t="shared" si="2"/>
        <v>Unknown</v>
      </c>
    </row>
    <row r="135" spans="1:14" x14ac:dyDescent="0.3">
      <c r="A135" s="1" t="s">
        <v>226</v>
      </c>
      <c r="B135" s="17">
        <v>61</v>
      </c>
      <c r="C135" s="2" t="s">
        <v>38</v>
      </c>
      <c r="D135" s="2" t="s">
        <v>25</v>
      </c>
      <c r="E135" s="2" t="s">
        <v>11</v>
      </c>
      <c r="F135" s="3">
        <v>45455</v>
      </c>
      <c r="G135" s="2">
        <v>5</v>
      </c>
      <c r="H135" s="13">
        <v>1002.0675517241378</v>
      </c>
      <c r="I135" s="4" t="s">
        <v>16</v>
      </c>
      <c r="J135" s="8" t="str" cm="1">
        <f t="array" ref="J135">_xlfn.IFS(Table3[[#This Row],[Age (Years)]] &lt; 40, "Young", Table3[[#This Row],[Age (Years)]] &gt;= 40, "Middle", Table3[[#This Row],[Age (Years)]] &gt; 60, "Senior")</f>
        <v>Middle</v>
      </c>
      <c r="K135" s="8" t="str" cm="1">
        <f t="array" ref="K135">_xlfn.IFS(Table3[[#This Row],[Drug_Cost_GBP]] &gt; 1200, "High Cost", Table3[[#This Row],[Drug_Cost_GBP]] &lt; 1200, "Normal")</f>
        <v>Normal</v>
      </c>
      <c r="L135" s="8" t="str" cm="1">
        <f t="array" ref="L135">IFERROR(_xlfn.IFS(Table3[[#This Row],[Age (Years)]]  &gt; 75, "YES", Table3[[#This Row],[Age (Years)]] &lt; 75, "NO"), "UNKNOWN")</f>
        <v>NO</v>
      </c>
      <c r="M135" s="8" t="str">
        <f>IF(Table3[[#This Row],[Drug_Cost_GBP]] &gt; Analysis_Sheet!$B$21, "Above Average", "Within Average")</f>
        <v>Within Average</v>
      </c>
      <c r="N135" s="39" t="str">
        <f t="shared" si="2"/>
        <v>June 2024</v>
      </c>
    </row>
    <row r="136" spans="1:14" x14ac:dyDescent="0.3">
      <c r="A136" s="5" t="s">
        <v>807</v>
      </c>
      <c r="B136" s="18">
        <v>61</v>
      </c>
      <c r="C136" s="6" t="s">
        <v>900</v>
      </c>
      <c r="D136" s="6" t="s">
        <v>25</v>
      </c>
      <c r="E136" s="6" t="s">
        <v>23</v>
      </c>
      <c r="F136" s="7" t="s">
        <v>900</v>
      </c>
      <c r="G136" s="6">
        <v>12</v>
      </c>
      <c r="H136" s="14">
        <v>383.36</v>
      </c>
      <c r="I136" s="8" t="s">
        <v>12</v>
      </c>
      <c r="J136" s="4" t="str" cm="1">
        <f t="array" ref="J136">_xlfn.IFS(Table3[[#This Row],[Age (Years)]] &lt; 40, "Young", Table3[[#This Row],[Age (Years)]] &gt;= 40, "Middle", Table3[[#This Row],[Age (Years)]] &gt; 60, "Senior")</f>
        <v>Middle</v>
      </c>
      <c r="K136" s="4" t="str" cm="1">
        <f t="array" ref="K136">_xlfn.IFS(Table3[[#This Row],[Drug_Cost_GBP]] &gt; 1200, "High Cost", Table3[[#This Row],[Drug_Cost_GBP]] &lt; 1200, "Normal")</f>
        <v>Normal</v>
      </c>
      <c r="L136" s="4" t="str" cm="1">
        <f t="array" ref="L136">IFERROR(_xlfn.IFS(Table3[[#This Row],[Age (Years)]]  &gt; 75, "YES", Table3[[#This Row],[Age (Years)]] &lt; 75, "NO"), "UNKNOWN")</f>
        <v>NO</v>
      </c>
      <c r="M136" s="4" t="str">
        <f>IF(Table3[[#This Row],[Drug_Cost_GBP]] &gt; Analysis_Sheet!$B$21, "Above Average", "Within Average")</f>
        <v>Within Average</v>
      </c>
      <c r="N136" s="39" t="str">
        <f t="shared" si="2"/>
        <v>Unknown</v>
      </c>
    </row>
    <row r="137" spans="1:14" x14ac:dyDescent="0.3">
      <c r="A137" s="5" t="s">
        <v>161</v>
      </c>
      <c r="B137" s="18">
        <v>60</v>
      </c>
      <c r="C137" s="6" t="s">
        <v>900</v>
      </c>
      <c r="D137" s="6" t="s">
        <v>19</v>
      </c>
      <c r="E137" s="6" t="s">
        <v>11</v>
      </c>
      <c r="F137" s="7" t="s">
        <v>900</v>
      </c>
      <c r="G137" s="6">
        <v>19</v>
      </c>
      <c r="H137" s="14">
        <v>1002.0675517241378</v>
      </c>
      <c r="I137" s="8" t="s">
        <v>26</v>
      </c>
      <c r="J137" s="8" t="str" cm="1">
        <f t="array" ref="J137">_xlfn.IFS(Table3[[#This Row],[Age (Years)]] &lt; 40, "Young", Table3[[#This Row],[Age (Years)]] &gt;= 40, "Middle", Table3[[#This Row],[Age (Years)]] &gt; 60, "Senior")</f>
        <v>Middle</v>
      </c>
      <c r="K137" s="8" t="str" cm="1">
        <f t="array" ref="K137">_xlfn.IFS(Table3[[#This Row],[Drug_Cost_GBP]] &gt; 1200, "High Cost", Table3[[#This Row],[Drug_Cost_GBP]] &lt; 1200, "Normal")</f>
        <v>Normal</v>
      </c>
      <c r="L137" s="8" t="str" cm="1">
        <f t="array" ref="L137">IFERROR(_xlfn.IFS(Table3[[#This Row],[Age (Years)]]  &gt; 75, "YES", Table3[[#This Row],[Age (Years)]] &lt; 75, "NO"), "UNKNOWN")</f>
        <v>NO</v>
      </c>
      <c r="M137" s="8" t="str">
        <f>IF(Table3[[#This Row],[Drug_Cost_GBP]] &gt; Analysis_Sheet!$B$21, "Above Average", "Within Average")</f>
        <v>Within Average</v>
      </c>
      <c r="N137" s="39" t="str">
        <f t="shared" si="2"/>
        <v>Unknown</v>
      </c>
    </row>
    <row r="138" spans="1:14" x14ac:dyDescent="0.3">
      <c r="A138" s="5" t="s">
        <v>221</v>
      </c>
      <c r="B138" s="18">
        <v>60</v>
      </c>
      <c r="C138" s="6" t="s">
        <v>900</v>
      </c>
      <c r="D138" s="6" t="s">
        <v>19</v>
      </c>
      <c r="E138" s="6" t="s">
        <v>23</v>
      </c>
      <c r="F138" s="7" t="s">
        <v>900</v>
      </c>
      <c r="G138" s="6">
        <v>12</v>
      </c>
      <c r="H138" s="14">
        <v>1002.0675517241378</v>
      </c>
      <c r="I138" s="8" t="s">
        <v>16</v>
      </c>
      <c r="J138" s="8" t="str" cm="1">
        <f t="array" ref="J138">_xlfn.IFS(Table3[[#This Row],[Age (Years)]] &lt; 40, "Young", Table3[[#This Row],[Age (Years)]] &gt;= 40, "Middle", Table3[[#This Row],[Age (Years)]] &gt; 60, "Senior")</f>
        <v>Middle</v>
      </c>
      <c r="K138" s="8" t="str" cm="1">
        <f t="array" ref="K138">_xlfn.IFS(Table3[[#This Row],[Drug_Cost_GBP]] &gt; 1200, "High Cost", Table3[[#This Row],[Drug_Cost_GBP]] &lt; 1200, "Normal")</f>
        <v>Normal</v>
      </c>
      <c r="L138" s="8" t="str" cm="1">
        <f t="array" ref="L138">IFERROR(_xlfn.IFS(Table3[[#This Row],[Age (Years)]]  &gt; 75, "YES", Table3[[#This Row],[Age (Years)]] &lt; 75, "NO"), "UNKNOWN")</f>
        <v>NO</v>
      </c>
      <c r="M138" s="8" t="str">
        <f>IF(Table3[[#This Row],[Drug_Cost_GBP]] &gt; Analysis_Sheet!$B$21, "Above Average", "Within Average")</f>
        <v>Within Average</v>
      </c>
      <c r="N138" s="39" t="str">
        <f t="shared" si="2"/>
        <v>Unknown</v>
      </c>
    </row>
    <row r="139" spans="1:14" x14ac:dyDescent="0.3">
      <c r="A139" s="5" t="s">
        <v>307</v>
      </c>
      <c r="B139" s="18">
        <v>60</v>
      </c>
      <c r="C139" s="6" t="s">
        <v>900</v>
      </c>
      <c r="D139" s="6" t="s">
        <v>898</v>
      </c>
      <c r="E139" s="6" t="s">
        <v>57</v>
      </c>
      <c r="F139" s="7" t="s">
        <v>900</v>
      </c>
      <c r="G139" s="6">
        <v>8</v>
      </c>
      <c r="H139" s="14">
        <v>1002.0675517241378</v>
      </c>
      <c r="I139" s="8" t="s">
        <v>26</v>
      </c>
      <c r="J139" s="8" t="str" cm="1">
        <f t="array" ref="J139">_xlfn.IFS(Table3[[#This Row],[Age (Years)]] &lt; 40, "Young", Table3[[#This Row],[Age (Years)]] &gt;= 40, "Middle", Table3[[#This Row],[Age (Years)]] &gt; 60, "Senior")</f>
        <v>Middle</v>
      </c>
      <c r="K139" s="8" t="str" cm="1">
        <f t="array" ref="K139">_xlfn.IFS(Table3[[#This Row],[Drug_Cost_GBP]] &gt; 1200, "High Cost", Table3[[#This Row],[Drug_Cost_GBP]] &lt; 1200, "Normal")</f>
        <v>Normal</v>
      </c>
      <c r="L139" s="8" t="str" cm="1">
        <f t="array" ref="L139">IFERROR(_xlfn.IFS(Table3[[#This Row],[Age (Years)]]  &gt; 75, "YES", Table3[[#This Row],[Age (Years)]] &lt; 75, "NO"), "UNKNOWN")</f>
        <v>NO</v>
      </c>
      <c r="M139" s="8" t="str">
        <f>IF(Table3[[#This Row],[Drug_Cost_GBP]] &gt; Analysis_Sheet!$B$21, "Above Average", "Within Average")</f>
        <v>Within Average</v>
      </c>
      <c r="N139" s="39" t="str">
        <f t="shared" si="2"/>
        <v>Unknown</v>
      </c>
    </row>
    <row r="140" spans="1:14" x14ac:dyDescent="0.3">
      <c r="A140" s="5" t="s">
        <v>659</v>
      </c>
      <c r="B140" s="18">
        <v>60</v>
      </c>
      <c r="C140" s="6" t="s">
        <v>38</v>
      </c>
      <c r="D140" s="6" t="s">
        <v>898</v>
      </c>
      <c r="E140" s="6" t="s">
        <v>43</v>
      </c>
      <c r="F140" s="7">
        <v>45483</v>
      </c>
      <c r="G140" s="6">
        <v>12</v>
      </c>
      <c r="H140" s="14">
        <v>1002.0675517241378</v>
      </c>
      <c r="I140" s="8" t="s">
        <v>26</v>
      </c>
      <c r="J140" s="8" t="str" cm="1">
        <f t="array" ref="J140">_xlfn.IFS(Table3[[#This Row],[Age (Years)]] &lt; 40, "Young", Table3[[#This Row],[Age (Years)]] &gt;= 40, "Middle", Table3[[#This Row],[Age (Years)]] &gt; 60, "Senior")</f>
        <v>Middle</v>
      </c>
      <c r="K140" s="8" t="str" cm="1">
        <f t="array" ref="K140">_xlfn.IFS(Table3[[#This Row],[Drug_Cost_GBP]] &gt; 1200, "High Cost", Table3[[#This Row],[Drug_Cost_GBP]] &lt; 1200, "Normal")</f>
        <v>Normal</v>
      </c>
      <c r="L140" s="8" t="str" cm="1">
        <f t="array" ref="L140">IFERROR(_xlfn.IFS(Table3[[#This Row],[Age (Years)]]  &gt; 75, "YES", Table3[[#This Row],[Age (Years)]] &lt; 75, "NO"), "UNKNOWN")</f>
        <v>NO</v>
      </c>
      <c r="M140" s="8" t="str">
        <f>IF(Table3[[#This Row],[Drug_Cost_GBP]] &gt; Analysis_Sheet!$B$21, "Above Average", "Within Average")</f>
        <v>Within Average</v>
      </c>
      <c r="N140" s="39" t="str">
        <f t="shared" si="2"/>
        <v>July 2024</v>
      </c>
    </row>
    <row r="141" spans="1:14" x14ac:dyDescent="0.3">
      <c r="A141" s="5" t="s">
        <v>847</v>
      </c>
      <c r="B141" s="18">
        <v>60</v>
      </c>
      <c r="C141" s="6" t="s">
        <v>899</v>
      </c>
      <c r="D141" s="6" t="s">
        <v>51</v>
      </c>
      <c r="E141" s="6" t="s">
        <v>23</v>
      </c>
      <c r="F141" s="7">
        <v>45388</v>
      </c>
      <c r="G141" s="6">
        <v>12</v>
      </c>
      <c r="H141" s="14">
        <v>1002.0675517241378</v>
      </c>
      <c r="I141" s="8" t="s">
        <v>16</v>
      </c>
      <c r="J141" s="8" t="str" cm="1">
        <f t="array" ref="J141">_xlfn.IFS(Table3[[#This Row],[Age (Years)]] &lt; 40, "Young", Table3[[#This Row],[Age (Years)]] &gt;= 40, "Middle", Table3[[#This Row],[Age (Years)]] &gt; 60, "Senior")</f>
        <v>Middle</v>
      </c>
      <c r="K141" s="8" t="str" cm="1">
        <f t="array" ref="K141">_xlfn.IFS(Table3[[#This Row],[Drug_Cost_GBP]] &gt; 1200, "High Cost", Table3[[#This Row],[Drug_Cost_GBP]] &lt; 1200, "Normal")</f>
        <v>Normal</v>
      </c>
      <c r="L141" s="8" t="str" cm="1">
        <f t="array" ref="L141">IFERROR(_xlfn.IFS(Table3[[#This Row],[Age (Years)]]  &gt; 75, "YES", Table3[[#This Row],[Age (Years)]] &lt; 75, "NO"), "UNKNOWN")</f>
        <v>NO</v>
      </c>
      <c r="M141" s="8" t="str">
        <f>IF(Table3[[#This Row],[Drug_Cost_GBP]] &gt; Analysis_Sheet!$B$21, "Above Average", "Within Average")</f>
        <v>Within Average</v>
      </c>
      <c r="N141" s="39" t="str">
        <f t="shared" si="2"/>
        <v>April 2024</v>
      </c>
    </row>
    <row r="142" spans="1:14" x14ac:dyDescent="0.3">
      <c r="A142" s="5" t="s">
        <v>891</v>
      </c>
      <c r="B142" s="18">
        <v>60</v>
      </c>
      <c r="C142" s="6" t="s">
        <v>899</v>
      </c>
      <c r="D142" s="6" t="s">
        <v>51</v>
      </c>
      <c r="E142" s="6" t="s">
        <v>34</v>
      </c>
      <c r="F142" s="7">
        <v>45342</v>
      </c>
      <c r="G142" s="6">
        <v>12</v>
      </c>
      <c r="H142" s="14">
        <v>958.84</v>
      </c>
      <c r="I142" s="8" t="s">
        <v>16</v>
      </c>
      <c r="J142" s="4" t="str" cm="1">
        <f t="array" ref="J142">_xlfn.IFS(Table3[[#This Row],[Age (Years)]] &lt; 40, "Young", Table3[[#This Row],[Age (Years)]] &gt;= 40, "Middle", Table3[[#This Row],[Age (Years)]] &gt; 60, "Senior")</f>
        <v>Middle</v>
      </c>
      <c r="K142" s="4" t="str" cm="1">
        <f t="array" ref="K142">_xlfn.IFS(Table3[[#This Row],[Drug_Cost_GBP]] &gt; 1200, "High Cost", Table3[[#This Row],[Drug_Cost_GBP]] &lt; 1200, "Normal")</f>
        <v>Normal</v>
      </c>
      <c r="L142" s="4" t="str" cm="1">
        <f t="array" ref="L142">IFERROR(_xlfn.IFS(Table3[[#This Row],[Age (Years)]]  &gt; 75, "YES", Table3[[#This Row],[Age (Years)]] &lt; 75, "NO"), "UNKNOWN")</f>
        <v>NO</v>
      </c>
      <c r="M142" s="4" t="str">
        <f>IF(Table3[[#This Row],[Drug_Cost_GBP]] &gt; Analysis_Sheet!$B$21, "Above Average", "Within Average")</f>
        <v>Within Average</v>
      </c>
      <c r="N142" s="39" t="str">
        <f t="shared" si="2"/>
        <v>February 2024</v>
      </c>
    </row>
    <row r="143" spans="1:14" x14ac:dyDescent="0.3">
      <c r="A143" s="1" t="s">
        <v>228</v>
      </c>
      <c r="B143" s="17">
        <v>59</v>
      </c>
      <c r="C143" s="2" t="s">
        <v>900</v>
      </c>
      <c r="D143" s="2" t="s">
        <v>10</v>
      </c>
      <c r="E143" s="2" t="s">
        <v>34</v>
      </c>
      <c r="F143" s="3">
        <v>45449</v>
      </c>
      <c r="G143" s="2">
        <v>19</v>
      </c>
      <c r="H143" s="13">
        <v>1002.0675517241378</v>
      </c>
      <c r="I143" s="4" t="s">
        <v>21</v>
      </c>
      <c r="J143" s="4" t="str" cm="1">
        <f t="array" ref="J143">_xlfn.IFS(Table3[[#This Row],[Age (Years)]] &lt; 40, "Young", Table3[[#This Row],[Age (Years)]] &gt;= 40, "Middle", Table3[[#This Row],[Age (Years)]] &gt; 60, "Senior")</f>
        <v>Middle</v>
      </c>
      <c r="K143" s="4" t="str" cm="1">
        <f t="array" ref="K143">_xlfn.IFS(Table3[[#This Row],[Drug_Cost_GBP]] &gt; 1200, "High Cost", Table3[[#This Row],[Drug_Cost_GBP]] &lt; 1200, "Normal")</f>
        <v>Normal</v>
      </c>
      <c r="L143" s="4" t="str" cm="1">
        <f t="array" ref="L143">IFERROR(_xlfn.IFS(Table3[[#This Row],[Age (Years)]]  &gt; 75, "YES", Table3[[#This Row],[Age (Years)]] &lt; 75, "NO"), "UNKNOWN")</f>
        <v>NO</v>
      </c>
      <c r="M143" s="4" t="str">
        <f>IF(Table3[[#This Row],[Drug_Cost_GBP]] &gt; Analysis_Sheet!$B$21, "Above Average", "Within Average")</f>
        <v>Within Average</v>
      </c>
      <c r="N143" s="39" t="str">
        <f t="shared" si="2"/>
        <v>June 2024</v>
      </c>
    </row>
    <row r="144" spans="1:14" x14ac:dyDescent="0.3">
      <c r="A144" s="1" t="s">
        <v>264</v>
      </c>
      <c r="B144" s="17">
        <v>59</v>
      </c>
      <c r="C144" s="2" t="s">
        <v>38</v>
      </c>
      <c r="D144" s="2" t="s">
        <v>898</v>
      </c>
      <c r="E144" s="2" t="s">
        <v>23</v>
      </c>
      <c r="F144" s="3">
        <v>45648</v>
      </c>
      <c r="G144" s="2">
        <v>12</v>
      </c>
      <c r="H144" s="13">
        <v>473.25</v>
      </c>
      <c r="I144" s="4" t="s">
        <v>12</v>
      </c>
      <c r="J144" s="8" t="str" cm="1">
        <f t="array" ref="J144">_xlfn.IFS(Table3[[#This Row],[Age (Years)]] &lt; 40, "Young", Table3[[#This Row],[Age (Years)]] &gt;= 40, "Middle", Table3[[#This Row],[Age (Years)]] &gt; 60, "Senior")</f>
        <v>Middle</v>
      </c>
      <c r="K144" s="8" t="str" cm="1">
        <f t="array" ref="K144">_xlfn.IFS(Table3[[#This Row],[Drug_Cost_GBP]] &gt; 1200, "High Cost", Table3[[#This Row],[Drug_Cost_GBP]] &lt; 1200, "Normal")</f>
        <v>Normal</v>
      </c>
      <c r="L144" s="8" t="str" cm="1">
        <f t="array" ref="L144">IFERROR(_xlfn.IFS(Table3[[#This Row],[Age (Years)]]  &gt; 75, "YES", Table3[[#This Row],[Age (Years)]] &lt; 75, "NO"), "UNKNOWN")</f>
        <v>NO</v>
      </c>
      <c r="M144" s="8" t="str">
        <f>IF(Table3[[#This Row],[Drug_Cost_GBP]] &gt; Analysis_Sheet!$B$21, "Above Average", "Within Average")</f>
        <v>Within Average</v>
      </c>
      <c r="N144" s="39" t="str">
        <f t="shared" si="2"/>
        <v>December 2024</v>
      </c>
    </row>
    <row r="145" spans="1:14" x14ac:dyDescent="0.3">
      <c r="A145" s="5" t="s">
        <v>351</v>
      </c>
      <c r="B145" s="18">
        <v>59</v>
      </c>
      <c r="C145" s="6" t="s">
        <v>900</v>
      </c>
      <c r="D145" s="6" t="s">
        <v>14</v>
      </c>
      <c r="E145" s="6" t="s">
        <v>57</v>
      </c>
      <c r="F145" s="7">
        <v>45509</v>
      </c>
      <c r="G145" s="6">
        <v>12</v>
      </c>
      <c r="H145" s="14">
        <v>1002.0675517241378</v>
      </c>
      <c r="I145" s="8" t="s">
        <v>12</v>
      </c>
      <c r="J145" s="4" t="str" cm="1">
        <f t="array" ref="J145">_xlfn.IFS(Table3[[#This Row],[Age (Years)]] &lt; 40, "Young", Table3[[#This Row],[Age (Years)]] &gt;= 40, "Middle", Table3[[#This Row],[Age (Years)]] &gt; 60, "Senior")</f>
        <v>Middle</v>
      </c>
      <c r="K145" s="4" t="str" cm="1">
        <f t="array" ref="K145">_xlfn.IFS(Table3[[#This Row],[Drug_Cost_GBP]] &gt; 1200, "High Cost", Table3[[#This Row],[Drug_Cost_GBP]] &lt; 1200, "Normal")</f>
        <v>Normal</v>
      </c>
      <c r="L145" s="4" t="str" cm="1">
        <f t="array" ref="L145">IFERROR(_xlfn.IFS(Table3[[#This Row],[Age (Years)]]  &gt; 75, "YES", Table3[[#This Row],[Age (Years)]] &lt; 75, "NO"), "UNKNOWN")</f>
        <v>NO</v>
      </c>
      <c r="M145" s="4" t="str">
        <f>IF(Table3[[#This Row],[Drug_Cost_GBP]] &gt; Analysis_Sheet!$B$21, "Above Average", "Within Average")</f>
        <v>Within Average</v>
      </c>
      <c r="N145" s="39" t="str">
        <f t="shared" si="2"/>
        <v>August 2024</v>
      </c>
    </row>
    <row r="146" spans="1:14" x14ac:dyDescent="0.3">
      <c r="A146" s="1" t="s">
        <v>516</v>
      </c>
      <c r="B146" s="17">
        <v>59</v>
      </c>
      <c r="C146" s="2" t="s">
        <v>900</v>
      </c>
      <c r="D146" s="2" t="s">
        <v>51</v>
      </c>
      <c r="E146" s="2" t="s">
        <v>29</v>
      </c>
      <c r="F146" s="3">
        <v>45358</v>
      </c>
      <c r="G146" s="2">
        <v>1</v>
      </c>
      <c r="H146" s="13">
        <v>1002.0675517241378</v>
      </c>
      <c r="I146" s="4" t="s">
        <v>900</v>
      </c>
      <c r="J146" s="4" t="str" cm="1">
        <f t="array" ref="J146">_xlfn.IFS(Table3[[#This Row],[Age (Years)]] &lt; 40, "Young", Table3[[#This Row],[Age (Years)]] &gt;= 40, "Middle", Table3[[#This Row],[Age (Years)]] &gt; 60, "Senior")</f>
        <v>Middle</v>
      </c>
      <c r="K146" s="4" t="str" cm="1">
        <f t="array" ref="K146">_xlfn.IFS(Table3[[#This Row],[Drug_Cost_GBP]] &gt; 1200, "High Cost", Table3[[#This Row],[Drug_Cost_GBP]] &lt; 1200, "Normal")</f>
        <v>Normal</v>
      </c>
      <c r="L146" s="4" t="str" cm="1">
        <f t="array" ref="L146">IFERROR(_xlfn.IFS(Table3[[#This Row],[Age (Years)]]  &gt; 75, "YES", Table3[[#This Row],[Age (Years)]] &lt; 75, "NO"), "UNKNOWN")</f>
        <v>NO</v>
      </c>
      <c r="M146" s="4" t="str">
        <f>IF(Table3[[#This Row],[Drug_Cost_GBP]] &gt; Analysis_Sheet!$B$21, "Above Average", "Within Average")</f>
        <v>Within Average</v>
      </c>
      <c r="N146" s="39" t="str">
        <f t="shared" si="2"/>
        <v>March 2024</v>
      </c>
    </row>
    <row r="147" spans="1:14" x14ac:dyDescent="0.3">
      <c r="A147" s="1" t="s">
        <v>706</v>
      </c>
      <c r="B147" s="17">
        <v>59</v>
      </c>
      <c r="C147" s="2" t="s">
        <v>899</v>
      </c>
      <c r="D147" s="2" t="s">
        <v>14</v>
      </c>
      <c r="E147" s="2" t="s">
        <v>29</v>
      </c>
      <c r="F147" s="3" t="s">
        <v>900</v>
      </c>
      <c r="G147" s="2">
        <v>12</v>
      </c>
      <c r="H147" s="13">
        <v>851.73</v>
      </c>
      <c r="I147" s="4" t="s">
        <v>21</v>
      </c>
      <c r="J147" s="8" t="str" cm="1">
        <f t="array" ref="J147">_xlfn.IFS(Table3[[#This Row],[Age (Years)]] &lt; 40, "Young", Table3[[#This Row],[Age (Years)]] &gt;= 40, "Middle", Table3[[#This Row],[Age (Years)]] &gt; 60, "Senior")</f>
        <v>Middle</v>
      </c>
      <c r="K147" s="8" t="str" cm="1">
        <f t="array" ref="K147">_xlfn.IFS(Table3[[#This Row],[Drug_Cost_GBP]] &gt; 1200, "High Cost", Table3[[#This Row],[Drug_Cost_GBP]] &lt; 1200, "Normal")</f>
        <v>Normal</v>
      </c>
      <c r="L147" s="8" t="str" cm="1">
        <f t="array" ref="L147">IFERROR(_xlfn.IFS(Table3[[#This Row],[Age (Years)]]  &gt; 75, "YES", Table3[[#This Row],[Age (Years)]] &lt; 75, "NO"), "UNKNOWN")</f>
        <v>NO</v>
      </c>
      <c r="M147" s="8" t="str">
        <f>IF(Table3[[#This Row],[Drug_Cost_GBP]] &gt; Analysis_Sheet!$B$21, "Above Average", "Within Average")</f>
        <v>Within Average</v>
      </c>
      <c r="N147" s="39" t="str">
        <f t="shared" si="2"/>
        <v>Unknown</v>
      </c>
    </row>
    <row r="148" spans="1:14" x14ac:dyDescent="0.3">
      <c r="A148" s="5" t="s">
        <v>801</v>
      </c>
      <c r="B148" s="18">
        <v>59</v>
      </c>
      <c r="C148" s="6" t="s">
        <v>899</v>
      </c>
      <c r="D148" s="6" t="s">
        <v>14</v>
      </c>
      <c r="E148" s="6" t="s">
        <v>57</v>
      </c>
      <c r="F148" s="7" t="s">
        <v>900</v>
      </c>
      <c r="G148" s="6">
        <v>12</v>
      </c>
      <c r="H148" s="14">
        <v>1002.0675517241378</v>
      </c>
      <c r="I148" s="8" t="s">
        <v>16</v>
      </c>
      <c r="J148" s="8" t="str" cm="1">
        <f t="array" ref="J148">_xlfn.IFS(Table3[[#This Row],[Age (Years)]] &lt; 40, "Young", Table3[[#This Row],[Age (Years)]] &gt;= 40, "Middle", Table3[[#This Row],[Age (Years)]] &gt; 60, "Senior")</f>
        <v>Middle</v>
      </c>
      <c r="K148" s="8" t="str" cm="1">
        <f t="array" ref="K148">_xlfn.IFS(Table3[[#This Row],[Drug_Cost_GBP]] &gt; 1200, "High Cost", Table3[[#This Row],[Drug_Cost_GBP]] &lt; 1200, "Normal")</f>
        <v>Normal</v>
      </c>
      <c r="L148" s="8" t="str" cm="1">
        <f t="array" ref="L148">IFERROR(_xlfn.IFS(Table3[[#This Row],[Age (Years)]]  &gt; 75, "YES", Table3[[#This Row],[Age (Years)]] &lt; 75, "NO"), "UNKNOWN")</f>
        <v>NO</v>
      </c>
      <c r="M148" s="8" t="str">
        <f>IF(Table3[[#This Row],[Drug_Cost_GBP]] &gt; Analysis_Sheet!$B$21, "Above Average", "Within Average")</f>
        <v>Within Average</v>
      </c>
      <c r="N148" s="39" t="str">
        <f t="shared" si="2"/>
        <v>Unknown</v>
      </c>
    </row>
    <row r="149" spans="1:14" x14ac:dyDescent="0.3">
      <c r="A149" s="1" t="s">
        <v>200</v>
      </c>
      <c r="B149" s="17">
        <v>58</v>
      </c>
      <c r="C149" s="2" t="s">
        <v>899</v>
      </c>
      <c r="D149" s="2" t="s">
        <v>25</v>
      </c>
      <c r="E149" s="2" t="s">
        <v>34</v>
      </c>
      <c r="F149" s="3">
        <v>45320</v>
      </c>
      <c r="G149" s="2">
        <v>16</v>
      </c>
      <c r="H149" s="13">
        <v>1002.0675517241378</v>
      </c>
      <c r="I149" s="4" t="s">
        <v>26</v>
      </c>
      <c r="J149" s="4" t="str" cm="1">
        <f t="array" ref="J149">_xlfn.IFS(Table3[[#This Row],[Age (Years)]] &lt; 40, "Young", Table3[[#This Row],[Age (Years)]] &gt;= 40, "Middle", Table3[[#This Row],[Age (Years)]] &gt; 60, "Senior")</f>
        <v>Middle</v>
      </c>
      <c r="K149" s="4" t="str" cm="1">
        <f t="array" ref="K149">_xlfn.IFS(Table3[[#This Row],[Drug_Cost_GBP]] &gt; 1200, "High Cost", Table3[[#This Row],[Drug_Cost_GBP]] &lt; 1200, "Normal")</f>
        <v>Normal</v>
      </c>
      <c r="L149" s="4" t="str" cm="1">
        <f t="array" ref="L149">IFERROR(_xlfn.IFS(Table3[[#This Row],[Age (Years)]]  &gt; 75, "YES", Table3[[#This Row],[Age (Years)]] &lt; 75, "NO"), "UNKNOWN")</f>
        <v>NO</v>
      </c>
      <c r="M149" s="4" t="str">
        <f>IF(Table3[[#This Row],[Drug_Cost_GBP]] &gt; Analysis_Sheet!$B$21, "Above Average", "Within Average")</f>
        <v>Within Average</v>
      </c>
      <c r="N149" s="39" t="str">
        <f t="shared" si="2"/>
        <v>January 2024</v>
      </c>
    </row>
    <row r="150" spans="1:14" x14ac:dyDescent="0.3">
      <c r="A150" s="1" t="s">
        <v>416</v>
      </c>
      <c r="B150" s="17">
        <v>58</v>
      </c>
      <c r="C150" s="2" t="s">
        <v>38</v>
      </c>
      <c r="D150" s="2" t="s">
        <v>898</v>
      </c>
      <c r="E150" s="2" t="s">
        <v>57</v>
      </c>
      <c r="F150" s="3">
        <v>45502</v>
      </c>
      <c r="G150" s="2">
        <v>12</v>
      </c>
      <c r="H150" s="13">
        <v>1702.58</v>
      </c>
      <c r="I150" s="4" t="s">
        <v>21</v>
      </c>
      <c r="J150" s="4" t="str" cm="1">
        <f t="array" ref="J150">_xlfn.IFS(Table3[[#This Row],[Age (Years)]] &lt; 40, "Young", Table3[[#This Row],[Age (Years)]] &gt;= 40, "Middle", Table3[[#This Row],[Age (Years)]] &gt; 60, "Senior")</f>
        <v>Middle</v>
      </c>
      <c r="K150" s="4" t="str" cm="1">
        <f t="array" ref="K150">_xlfn.IFS(Table3[[#This Row],[Drug_Cost_GBP]] &gt; 1200, "High Cost", Table3[[#This Row],[Drug_Cost_GBP]] &lt; 1200, "Normal")</f>
        <v>High Cost</v>
      </c>
      <c r="L150" s="4" t="str" cm="1">
        <f t="array" ref="L150">IFERROR(_xlfn.IFS(Table3[[#This Row],[Age (Years)]]  &gt; 75, "YES", Table3[[#This Row],[Age (Years)]] &lt; 75, "NO"), "UNKNOWN")</f>
        <v>NO</v>
      </c>
      <c r="M150" s="4" t="str">
        <f>IF(Table3[[#This Row],[Drug_Cost_GBP]] &gt; Analysis_Sheet!$B$21, "Above Average", "Within Average")</f>
        <v>Above Average</v>
      </c>
      <c r="N150" s="39" t="str">
        <f t="shared" si="2"/>
        <v>July 2024</v>
      </c>
    </row>
    <row r="151" spans="1:14" x14ac:dyDescent="0.3">
      <c r="A151" s="1" t="s">
        <v>686</v>
      </c>
      <c r="B151" s="17">
        <v>58</v>
      </c>
      <c r="C151" s="2" t="s">
        <v>38</v>
      </c>
      <c r="D151" s="2" t="s">
        <v>48</v>
      </c>
      <c r="E151" s="2" t="s">
        <v>34</v>
      </c>
      <c r="F151" s="3">
        <v>45337</v>
      </c>
      <c r="G151" s="2">
        <v>10</v>
      </c>
      <c r="H151" s="13">
        <v>605.35</v>
      </c>
      <c r="I151" s="4" t="s">
        <v>16</v>
      </c>
      <c r="J151" s="8" t="str" cm="1">
        <f t="array" ref="J151">_xlfn.IFS(Table3[[#This Row],[Age (Years)]] &lt; 40, "Young", Table3[[#This Row],[Age (Years)]] &gt;= 40, "Middle", Table3[[#This Row],[Age (Years)]] &gt; 60, "Senior")</f>
        <v>Middle</v>
      </c>
      <c r="K151" s="8" t="str" cm="1">
        <f t="array" ref="K151">_xlfn.IFS(Table3[[#This Row],[Drug_Cost_GBP]] &gt; 1200, "High Cost", Table3[[#This Row],[Drug_Cost_GBP]] &lt; 1200, "Normal")</f>
        <v>Normal</v>
      </c>
      <c r="L151" s="8" t="str" cm="1">
        <f t="array" ref="L151">IFERROR(_xlfn.IFS(Table3[[#This Row],[Age (Years)]]  &gt; 75, "YES", Table3[[#This Row],[Age (Years)]] &lt; 75, "NO"), "UNKNOWN")</f>
        <v>NO</v>
      </c>
      <c r="M151" s="8" t="str">
        <f>IF(Table3[[#This Row],[Drug_Cost_GBP]] &gt; Analysis_Sheet!$B$21, "Above Average", "Within Average")</f>
        <v>Within Average</v>
      </c>
      <c r="N151" s="39" t="str">
        <f t="shared" si="2"/>
        <v>February 2024</v>
      </c>
    </row>
    <row r="152" spans="1:14" x14ac:dyDescent="0.3">
      <c r="A152" s="5" t="s">
        <v>783</v>
      </c>
      <c r="B152" s="18">
        <v>58</v>
      </c>
      <c r="C152" s="6" t="s">
        <v>38</v>
      </c>
      <c r="D152" s="6" t="s">
        <v>14</v>
      </c>
      <c r="E152" s="6" t="s">
        <v>23</v>
      </c>
      <c r="F152" s="7">
        <v>45567</v>
      </c>
      <c r="G152" s="6">
        <v>12</v>
      </c>
      <c r="H152" s="14">
        <v>1002.0675517241378</v>
      </c>
      <c r="I152" s="8" t="s">
        <v>16</v>
      </c>
      <c r="J152" s="4" t="str" cm="1">
        <f t="array" ref="J152">_xlfn.IFS(Table3[[#This Row],[Age (Years)]] &lt; 40, "Young", Table3[[#This Row],[Age (Years)]] &gt;= 40, "Middle", Table3[[#This Row],[Age (Years)]] &gt; 60, "Senior")</f>
        <v>Middle</v>
      </c>
      <c r="K152" s="4" t="str" cm="1">
        <f t="array" ref="K152">_xlfn.IFS(Table3[[#This Row],[Drug_Cost_GBP]] &gt; 1200, "High Cost", Table3[[#This Row],[Drug_Cost_GBP]] &lt; 1200, "Normal")</f>
        <v>Normal</v>
      </c>
      <c r="L152" s="4" t="str" cm="1">
        <f t="array" ref="L152">IFERROR(_xlfn.IFS(Table3[[#This Row],[Age (Years)]]  &gt; 75, "YES", Table3[[#This Row],[Age (Years)]] &lt; 75, "NO"), "UNKNOWN")</f>
        <v>NO</v>
      </c>
      <c r="M152" s="4" t="str">
        <f>IF(Table3[[#This Row],[Drug_Cost_GBP]] &gt; Analysis_Sheet!$B$21, "Above Average", "Within Average")</f>
        <v>Within Average</v>
      </c>
      <c r="N152" s="39" t="str">
        <f t="shared" si="2"/>
        <v>October 2024</v>
      </c>
    </row>
    <row r="153" spans="1:14" x14ac:dyDescent="0.3">
      <c r="A153" s="22" t="s">
        <v>9</v>
      </c>
      <c r="B153" s="24">
        <v>57</v>
      </c>
      <c r="C153" s="26" t="s">
        <v>900</v>
      </c>
      <c r="D153" s="26" t="s">
        <v>10</v>
      </c>
      <c r="E153" s="26" t="s">
        <v>11</v>
      </c>
      <c r="F153" s="28" t="s">
        <v>900</v>
      </c>
      <c r="G153" s="26">
        <v>12</v>
      </c>
      <c r="H153" s="30">
        <v>1715.89</v>
      </c>
      <c r="I153" s="32" t="s">
        <v>12</v>
      </c>
      <c r="J153" s="4" t="str" cm="1">
        <f t="array" ref="J153">_xlfn.IFS(Table3[[#This Row],[Age (Years)]] &lt; 40, "Young", Table3[[#This Row],[Age (Years)]] &gt;= 40, "Middle", Table3[[#This Row],[Age (Years)]] &gt; 60, "Senior")</f>
        <v>Middle</v>
      </c>
      <c r="K153" s="4" t="str" cm="1">
        <f t="array" ref="K153">_xlfn.IFS(Table3[[#This Row],[Drug_Cost_GBP]] &gt; 1200, "High Cost", Table3[[#This Row],[Drug_Cost_GBP]] &lt; 1200, "Normal")</f>
        <v>High Cost</v>
      </c>
      <c r="L153" s="4" t="str" cm="1">
        <f t="array" ref="L153">IFERROR(_xlfn.IFS(Table3[[#This Row],[Age (Years)]]  &gt; 75, "YES", Table3[[#This Row],[Age (Years)]] &lt; 75, "NO"), "UNKNOWN")</f>
        <v>NO</v>
      </c>
      <c r="M153" s="4" t="str">
        <f>IF(Table3[[#This Row],[Drug_Cost_GBP]] &gt; Analysis_Sheet!$B$21, "Above Average", "Within Average")</f>
        <v>Above Average</v>
      </c>
      <c r="N153" s="39" t="str">
        <f t="shared" si="2"/>
        <v>Unknown</v>
      </c>
    </row>
    <row r="154" spans="1:14" x14ac:dyDescent="0.3">
      <c r="A154" s="1" t="s">
        <v>13</v>
      </c>
      <c r="B154" s="17">
        <v>57</v>
      </c>
      <c r="C154" s="2" t="s">
        <v>900</v>
      </c>
      <c r="D154" s="2" t="s">
        <v>14</v>
      </c>
      <c r="E154" s="2" t="s">
        <v>23</v>
      </c>
      <c r="F154" s="3" t="s">
        <v>900</v>
      </c>
      <c r="G154" s="2">
        <v>12</v>
      </c>
      <c r="H154" s="13">
        <v>1002.0675517241378</v>
      </c>
      <c r="I154" s="4" t="s">
        <v>16</v>
      </c>
      <c r="J154" s="4" t="str" cm="1">
        <f t="array" ref="J154">_xlfn.IFS(Table3[[#This Row],[Age (Years)]] &lt; 40, "Young", Table3[[#This Row],[Age (Years)]] &gt;= 40, "Middle", Table3[[#This Row],[Age (Years)]] &gt; 60, "Senior")</f>
        <v>Middle</v>
      </c>
      <c r="K154" s="4" t="str" cm="1">
        <f t="array" ref="K154">_xlfn.IFS(Table3[[#This Row],[Drug_Cost_GBP]] &gt; 1200, "High Cost", Table3[[#This Row],[Drug_Cost_GBP]] &lt; 1200, "Normal")</f>
        <v>Normal</v>
      </c>
      <c r="L154" s="4" t="str" cm="1">
        <f t="array" ref="L154">IFERROR(_xlfn.IFS(Table3[[#This Row],[Age (Years)]]  &gt; 75, "YES", Table3[[#This Row],[Age (Years)]] &lt; 75, "NO"), "UNKNOWN")</f>
        <v>NO</v>
      </c>
      <c r="M154" s="4" t="str">
        <f>IF(Table3[[#This Row],[Drug_Cost_GBP]] &gt; Analysis_Sheet!$B$21, "Above Average", "Within Average")</f>
        <v>Within Average</v>
      </c>
      <c r="N154" s="39" t="str">
        <f t="shared" si="2"/>
        <v>Unknown</v>
      </c>
    </row>
    <row r="155" spans="1:14" x14ac:dyDescent="0.3">
      <c r="A155" s="1" t="s">
        <v>22</v>
      </c>
      <c r="B155" s="17">
        <v>57</v>
      </c>
      <c r="C155" s="2" t="s">
        <v>900</v>
      </c>
      <c r="D155" s="2" t="s">
        <v>19</v>
      </c>
      <c r="E155" s="2" t="s">
        <v>23</v>
      </c>
      <c r="F155" s="3" t="s">
        <v>900</v>
      </c>
      <c r="G155" s="2">
        <v>18</v>
      </c>
      <c r="H155" s="13">
        <v>1002.0675517241378</v>
      </c>
      <c r="I155" s="4" t="s">
        <v>21</v>
      </c>
      <c r="J155" s="8" t="str" cm="1">
        <f t="array" ref="J155">_xlfn.IFS(Table3[[#This Row],[Age (Years)]] &lt; 40, "Young", Table3[[#This Row],[Age (Years)]] &gt;= 40, "Middle", Table3[[#This Row],[Age (Years)]] &gt; 60, "Senior")</f>
        <v>Middle</v>
      </c>
      <c r="K155" s="8" t="str" cm="1">
        <f t="array" ref="K155">_xlfn.IFS(Table3[[#This Row],[Drug_Cost_GBP]] &gt; 1200, "High Cost", Table3[[#This Row],[Drug_Cost_GBP]] &lt; 1200, "Normal")</f>
        <v>Normal</v>
      </c>
      <c r="L155" s="8" t="str" cm="1">
        <f t="array" ref="L155">IFERROR(_xlfn.IFS(Table3[[#This Row],[Age (Years)]]  &gt; 75, "YES", Table3[[#This Row],[Age (Years)]] &lt; 75, "NO"), "UNKNOWN")</f>
        <v>NO</v>
      </c>
      <c r="M155" s="8" t="str">
        <f>IF(Table3[[#This Row],[Drug_Cost_GBP]] &gt; Analysis_Sheet!$B$21, "Above Average", "Within Average")</f>
        <v>Within Average</v>
      </c>
      <c r="N155" s="39" t="str">
        <f t="shared" si="2"/>
        <v>Unknown</v>
      </c>
    </row>
    <row r="156" spans="1:14" x14ac:dyDescent="0.3">
      <c r="A156" s="5" t="s">
        <v>24</v>
      </c>
      <c r="B156" s="18">
        <v>57</v>
      </c>
      <c r="C156" s="6" t="s">
        <v>38</v>
      </c>
      <c r="D156" s="6" t="s">
        <v>25</v>
      </c>
      <c r="E156" s="6" t="s">
        <v>23</v>
      </c>
      <c r="F156" s="7">
        <v>45497</v>
      </c>
      <c r="G156" s="6">
        <v>13</v>
      </c>
      <c r="H156" s="14">
        <v>1002.0675517241378</v>
      </c>
      <c r="I156" s="8" t="s">
        <v>26</v>
      </c>
      <c r="J156" s="4" t="str" cm="1">
        <f t="array" ref="J156">_xlfn.IFS(Table3[[#This Row],[Age (Years)]] &lt; 40, "Young", Table3[[#This Row],[Age (Years)]] &gt;= 40, "Middle", Table3[[#This Row],[Age (Years)]] &gt; 60, "Senior")</f>
        <v>Middle</v>
      </c>
      <c r="K156" s="4" t="str" cm="1">
        <f t="array" ref="K156">_xlfn.IFS(Table3[[#This Row],[Drug_Cost_GBP]] &gt; 1200, "High Cost", Table3[[#This Row],[Drug_Cost_GBP]] &lt; 1200, "Normal")</f>
        <v>Normal</v>
      </c>
      <c r="L156" s="4" t="str" cm="1">
        <f t="array" ref="L156">IFERROR(_xlfn.IFS(Table3[[#This Row],[Age (Years)]]  &gt; 75, "YES", Table3[[#This Row],[Age (Years)]] &lt; 75, "NO"), "UNKNOWN")</f>
        <v>NO</v>
      </c>
      <c r="M156" s="4" t="str">
        <f>IF(Table3[[#This Row],[Drug_Cost_GBP]] &gt; Analysis_Sheet!$B$21, "Above Average", "Within Average")</f>
        <v>Within Average</v>
      </c>
      <c r="N156" s="39" t="str">
        <f t="shared" si="2"/>
        <v>July 2024</v>
      </c>
    </row>
    <row r="157" spans="1:14" x14ac:dyDescent="0.3">
      <c r="A157" s="1" t="s">
        <v>27</v>
      </c>
      <c r="B157" s="17">
        <v>57</v>
      </c>
      <c r="C157" s="2" t="s">
        <v>899</v>
      </c>
      <c r="D157" s="2" t="s">
        <v>14</v>
      </c>
      <c r="E157" s="2" t="s">
        <v>29</v>
      </c>
      <c r="F157" s="3">
        <v>45506</v>
      </c>
      <c r="G157" s="2">
        <v>12</v>
      </c>
      <c r="H157" s="13">
        <v>568.76</v>
      </c>
      <c r="I157" s="4" t="s">
        <v>21</v>
      </c>
      <c r="J157" s="8" t="str" cm="1">
        <f t="array" ref="J157">_xlfn.IFS(Table3[[#This Row],[Age (Years)]] &lt; 40, "Young", Table3[[#This Row],[Age (Years)]] &gt;= 40, "Middle", Table3[[#This Row],[Age (Years)]] &gt; 60, "Senior")</f>
        <v>Middle</v>
      </c>
      <c r="K157" s="8" t="str" cm="1">
        <f t="array" ref="K157">_xlfn.IFS(Table3[[#This Row],[Drug_Cost_GBP]] &gt; 1200, "High Cost", Table3[[#This Row],[Drug_Cost_GBP]] &lt; 1200, "Normal")</f>
        <v>Normal</v>
      </c>
      <c r="L157" s="8" t="str" cm="1">
        <f t="array" ref="L157">IFERROR(_xlfn.IFS(Table3[[#This Row],[Age (Years)]]  &gt; 75, "YES", Table3[[#This Row],[Age (Years)]] &lt; 75, "NO"), "UNKNOWN")</f>
        <v>NO</v>
      </c>
      <c r="M157" s="8" t="str">
        <f>IF(Table3[[#This Row],[Drug_Cost_GBP]] &gt; Analysis_Sheet!$B$21, "Above Average", "Within Average")</f>
        <v>Within Average</v>
      </c>
      <c r="N157" s="39" t="str">
        <f t="shared" si="2"/>
        <v>August 2024</v>
      </c>
    </row>
    <row r="158" spans="1:14" x14ac:dyDescent="0.3">
      <c r="A158" s="5" t="s">
        <v>30</v>
      </c>
      <c r="B158" s="18">
        <v>57</v>
      </c>
      <c r="C158" s="6" t="s">
        <v>900</v>
      </c>
      <c r="D158" s="6" t="s">
        <v>25</v>
      </c>
      <c r="E158" s="6" t="s">
        <v>43</v>
      </c>
      <c r="F158" s="7">
        <v>45360</v>
      </c>
      <c r="G158" s="6">
        <v>4</v>
      </c>
      <c r="H158" s="14">
        <v>1002.0675517241378</v>
      </c>
      <c r="I158" s="8" t="s">
        <v>16</v>
      </c>
      <c r="J158" s="4" t="str" cm="1">
        <f t="array" ref="J158">_xlfn.IFS(Table3[[#This Row],[Age (Years)]] &lt; 40, "Young", Table3[[#This Row],[Age (Years)]] &gt;= 40, "Middle", Table3[[#This Row],[Age (Years)]] &gt; 60, "Senior")</f>
        <v>Middle</v>
      </c>
      <c r="K158" s="4" t="str" cm="1">
        <f t="array" ref="K158">_xlfn.IFS(Table3[[#This Row],[Drug_Cost_GBP]] &gt; 1200, "High Cost", Table3[[#This Row],[Drug_Cost_GBP]] &lt; 1200, "Normal")</f>
        <v>Normal</v>
      </c>
      <c r="L158" s="4" t="str" cm="1">
        <f t="array" ref="L158">IFERROR(_xlfn.IFS(Table3[[#This Row],[Age (Years)]]  &gt; 75, "YES", Table3[[#This Row],[Age (Years)]] &lt; 75, "NO"), "UNKNOWN")</f>
        <v>NO</v>
      </c>
      <c r="M158" s="4" t="str">
        <f>IF(Table3[[#This Row],[Drug_Cost_GBP]] &gt; Analysis_Sheet!$B$21, "Above Average", "Within Average")</f>
        <v>Within Average</v>
      </c>
      <c r="N158" s="39" t="str">
        <f t="shared" si="2"/>
        <v>March 2024</v>
      </c>
    </row>
    <row r="159" spans="1:14" x14ac:dyDescent="0.3">
      <c r="A159" s="1" t="s">
        <v>35</v>
      </c>
      <c r="B159" s="17">
        <v>57</v>
      </c>
      <c r="C159" s="2" t="s">
        <v>38</v>
      </c>
      <c r="D159" s="2" t="s">
        <v>10</v>
      </c>
      <c r="E159" s="2" t="s">
        <v>11</v>
      </c>
      <c r="F159" s="3">
        <v>45338</v>
      </c>
      <c r="G159" s="2">
        <v>8</v>
      </c>
      <c r="H159" s="13">
        <v>1002.0675517241378</v>
      </c>
      <c r="I159" s="4" t="s">
        <v>16</v>
      </c>
      <c r="J159" s="8" t="str" cm="1">
        <f t="array" ref="J159">_xlfn.IFS(Table3[[#This Row],[Age (Years)]] &lt; 40, "Young", Table3[[#This Row],[Age (Years)]] &gt;= 40, "Middle", Table3[[#This Row],[Age (Years)]] &gt; 60, "Senior")</f>
        <v>Middle</v>
      </c>
      <c r="K159" s="8" t="str" cm="1">
        <f t="array" ref="K159">_xlfn.IFS(Table3[[#This Row],[Drug_Cost_GBP]] &gt; 1200, "High Cost", Table3[[#This Row],[Drug_Cost_GBP]] &lt; 1200, "Normal")</f>
        <v>Normal</v>
      </c>
      <c r="L159" s="8" t="str" cm="1">
        <f t="array" ref="L159">IFERROR(_xlfn.IFS(Table3[[#This Row],[Age (Years)]]  &gt; 75, "YES", Table3[[#This Row],[Age (Years)]] &lt; 75, "NO"), "UNKNOWN")</f>
        <v>NO</v>
      </c>
      <c r="M159" s="8" t="str">
        <f>IF(Table3[[#This Row],[Drug_Cost_GBP]] &gt; Analysis_Sheet!$B$21, "Above Average", "Within Average")</f>
        <v>Within Average</v>
      </c>
      <c r="N159" s="39" t="str">
        <f t="shared" si="2"/>
        <v>February 2024</v>
      </c>
    </row>
    <row r="160" spans="1:14" x14ac:dyDescent="0.3">
      <c r="A160" s="5" t="s">
        <v>36</v>
      </c>
      <c r="B160" s="18">
        <v>57</v>
      </c>
      <c r="C160" s="6" t="s">
        <v>900</v>
      </c>
      <c r="D160" s="6" t="s">
        <v>25</v>
      </c>
      <c r="E160" s="6" t="s">
        <v>29</v>
      </c>
      <c r="F160" s="7">
        <v>45613</v>
      </c>
      <c r="G160" s="6">
        <v>12</v>
      </c>
      <c r="H160" s="14">
        <v>529.02</v>
      </c>
      <c r="I160" s="8" t="s">
        <v>900</v>
      </c>
      <c r="J160" s="8" t="str" cm="1">
        <f t="array" ref="J160">_xlfn.IFS(Table3[[#This Row],[Age (Years)]] &lt; 40, "Young", Table3[[#This Row],[Age (Years)]] &gt;= 40, "Middle", Table3[[#This Row],[Age (Years)]] &gt; 60, "Senior")</f>
        <v>Middle</v>
      </c>
      <c r="K160" s="8" t="str" cm="1">
        <f t="array" ref="K160">_xlfn.IFS(Table3[[#This Row],[Drug_Cost_GBP]] &gt; 1200, "High Cost", Table3[[#This Row],[Drug_Cost_GBP]] &lt; 1200, "Normal")</f>
        <v>Normal</v>
      </c>
      <c r="L160" s="8" t="str" cm="1">
        <f t="array" ref="L160">IFERROR(_xlfn.IFS(Table3[[#This Row],[Age (Years)]]  &gt; 75, "YES", Table3[[#This Row],[Age (Years)]] &lt; 75, "NO"), "UNKNOWN")</f>
        <v>NO</v>
      </c>
      <c r="M160" s="8" t="str">
        <f>IF(Table3[[#This Row],[Drug_Cost_GBP]] &gt; Analysis_Sheet!$B$21, "Above Average", "Within Average")</f>
        <v>Within Average</v>
      </c>
      <c r="N160" s="39" t="str">
        <f t="shared" si="2"/>
        <v>November 2024</v>
      </c>
    </row>
    <row r="161" spans="1:14" x14ac:dyDescent="0.3">
      <c r="A161" s="5" t="s">
        <v>39</v>
      </c>
      <c r="B161" s="18">
        <v>57</v>
      </c>
      <c r="C161" s="6" t="s">
        <v>38</v>
      </c>
      <c r="D161" s="6" t="s">
        <v>900</v>
      </c>
      <c r="E161" s="6" t="s">
        <v>23</v>
      </c>
      <c r="F161" s="7">
        <v>45543</v>
      </c>
      <c r="G161" s="6">
        <v>12</v>
      </c>
      <c r="H161" s="14">
        <v>1955.27</v>
      </c>
      <c r="I161" s="8" t="s">
        <v>16</v>
      </c>
      <c r="J161" s="4" t="str" cm="1">
        <f t="array" ref="J161">_xlfn.IFS(Table3[[#This Row],[Age (Years)]] &lt; 40, "Young", Table3[[#This Row],[Age (Years)]] &gt;= 40, "Middle", Table3[[#This Row],[Age (Years)]] &gt; 60, "Senior")</f>
        <v>Middle</v>
      </c>
      <c r="K161" s="4" t="str" cm="1">
        <f t="array" ref="K161">_xlfn.IFS(Table3[[#This Row],[Drug_Cost_GBP]] &gt; 1200, "High Cost", Table3[[#This Row],[Drug_Cost_GBP]] &lt; 1200, "Normal")</f>
        <v>High Cost</v>
      </c>
      <c r="L161" s="4" t="str" cm="1">
        <f t="array" ref="L161">IFERROR(_xlfn.IFS(Table3[[#This Row],[Age (Years)]]  &gt; 75, "YES", Table3[[#This Row],[Age (Years)]] &lt; 75, "NO"), "UNKNOWN")</f>
        <v>NO</v>
      </c>
      <c r="M161" s="4" t="str">
        <f>IF(Table3[[#This Row],[Drug_Cost_GBP]] &gt; Analysis_Sheet!$B$21, "Above Average", "Within Average")</f>
        <v>Above Average</v>
      </c>
      <c r="N161" s="39" t="str">
        <f t="shared" si="2"/>
        <v>September 2024</v>
      </c>
    </row>
    <row r="162" spans="1:14" x14ac:dyDescent="0.3">
      <c r="A162" s="1" t="s">
        <v>40</v>
      </c>
      <c r="B162" s="17">
        <v>57</v>
      </c>
      <c r="C162" s="2" t="s">
        <v>899</v>
      </c>
      <c r="D162" s="2" t="s">
        <v>898</v>
      </c>
      <c r="E162" s="2" t="s">
        <v>11</v>
      </c>
      <c r="F162" s="3" t="s">
        <v>900</v>
      </c>
      <c r="G162" s="2">
        <v>12</v>
      </c>
      <c r="H162" s="13">
        <v>528.16999999999996</v>
      </c>
      <c r="I162" s="4" t="s">
        <v>16</v>
      </c>
      <c r="J162" s="8" t="str" cm="1">
        <f t="array" ref="J162">_xlfn.IFS(Table3[[#This Row],[Age (Years)]] &lt; 40, "Young", Table3[[#This Row],[Age (Years)]] &gt;= 40, "Middle", Table3[[#This Row],[Age (Years)]] &gt; 60, "Senior")</f>
        <v>Middle</v>
      </c>
      <c r="K162" s="8" t="str" cm="1">
        <f t="array" ref="K162">_xlfn.IFS(Table3[[#This Row],[Drug_Cost_GBP]] &gt; 1200, "High Cost", Table3[[#This Row],[Drug_Cost_GBP]] &lt; 1200, "Normal")</f>
        <v>Normal</v>
      </c>
      <c r="L162" s="8" t="str" cm="1">
        <f t="array" ref="L162">IFERROR(_xlfn.IFS(Table3[[#This Row],[Age (Years)]]  &gt; 75, "YES", Table3[[#This Row],[Age (Years)]] &lt; 75, "NO"), "UNKNOWN")</f>
        <v>NO</v>
      </c>
      <c r="M162" s="8" t="str">
        <f>IF(Table3[[#This Row],[Drug_Cost_GBP]] &gt; Analysis_Sheet!$B$21, "Above Average", "Within Average")</f>
        <v>Within Average</v>
      </c>
      <c r="N162" s="39" t="str">
        <f t="shared" si="2"/>
        <v>Unknown</v>
      </c>
    </row>
    <row r="163" spans="1:14" x14ac:dyDescent="0.3">
      <c r="A163" s="5" t="s">
        <v>41</v>
      </c>
      <c r="B163" s="18">
        <v>57</v>
      </c>
      <c r="C163" s="6" t="s">
        <v>899</v>
      </c>
      <c r="D163" s="6" t="s">
        <v>10</v>
      </c>
      <c r="E163" s="6" t="s">
        <v>43</v>
      </c>
      <c r="F163" s="7">
        <v>45522</v>
      </c>
      <c r="G163" s="6">
        <v>12</v>
      </c>
      <c r="H163" s="14">
        <v>1002.0675517241378</v>
      </c>
      <c r="I163" s="8" t="s">
        <v>21</v>
      </c>
      <c r="J163" s="4" t="str" cm="1">
        <f t="array" ref="J163">_xlfn.IFS(Table3[[#This Row],[Age (Years)]] &lt; 40, "Young", Table3[[#This Row],[Age (Years)]] &gt;= 40, "Middle", Table3[[#This Row],[Age (Years)]] &gt; 60, "Senior")</f>
        <v>Middle</v>
      </c>
      <c r="K163" s="4" t="str" cm="1">
        <f t="array" ref="K163">_xlfn.IFS(Table3[[#This Row],[Drug_Cost_GBP]] &gt; 1200, "High Cost", Table3[[#This Row],[Drug_Cost_GBP]] &lt; 1200, "Normal")</f>
        <v>Normal</v>
      </c>
      <c r="L163" s="4" t="str" cm="1">
        <f t="array" ref="L163">IFERROR(_xlfn.IFS(Table3[[#This Row],[Age (Years)]]  &gt; 75, "YES", Table3[[#This Row],[Age (Years)]] &lt; 75, "NO"), "UNKNOWN")</f>
        <v>NO</v>
      </c>
      <c r="M163" s="4" t="str">
        <f>IF(Table3[[#This Row],[Drug_Cost_GBP]] &gt; Analysis_Sheet!$B$21, "Above Average", "Within Average")</f>
        <v>Within Average</v>
      </c>
      <c r="N163" s="39" t="str">
        <f t="shared" si="2"/>
        <v>August 2024</v>
      </c>
    </row>
    <row r="164" spans="1:14" x14ac:dyDescent="0.3">
      <c r="A164" s="1" t="s">
        <v>44</v>
      </c>
      <c r="B164" s="17">
        <v>57</v>
      </c>
      <c r="C164" s="2" t="s">
        <v>38</v>
      </c>
      <c r="D164" s="2" t="s">
        <v>14</v>
      </c>
      <c r="E164" s="2" t="s">
        <v>23</v>
      </c>
      <c r="F164" s="3">
        <v>45302</v>
      </c>
      <c r="G164" s="2">
        <v>12</v>
      </c>
      <c r="H164" s="13">
        <v>1002.0675517241378</v>
      </c>
      <c r="I164" s="4" t="s">
        <v>12</v>
      </c>
      <c r="J164" s="8" t="str" cm="1">
        <f t="array" ref="J164">_xlfn.IFS(Table3[[#This Row],[Age (Years)]] &lt; 40, "Young", Table3[[#This Row],[Age (Years)]] &gt;= 40, "Middle", Table3[[#This Row],[Age (Years)]] &gt; 60, "Senior")</f>
        <v>Middle</v>
      </c>
      <c r="K164" s="8" t="str" cm="1">
        <f t="array" ref="K164">_xlfn.IFS(Table3[[#This Row],[Drug_Cost_GBP]] &gt; 1200, "High Cost", Table3[[#This Row],[Drug_Cost_GBP]] &lt; 1200, "Normal")</f>
        <v>Normal</v>
      </c>
      <c r="L164" s="8" t="str" cm="1">
        <f t="array" ref="L164">IFERROR(_xlfn.IFS(Table3[[#This Row],[Age (Years)]]  &gt; 75, "YES", Table3[[#This Row],[Age (Years)]] &lt; 75, "NO"), "UNKNOWN")</f>
        <v>NO</v>
      </c>
      <c r="M164" s="8" t="str">
        <f>IF(Table3[[#This Row],[Drug_Cost_GBP]] &gt; Analysis_Sheet!$B$21, "Above Average", "Within Average")</f>
        <v>Within Average</v>
      </c>
      <c r="N164" s="39" t="str">
        <f t="shared" si="2"/>
        <v>January 2024</v>
      </c>
    </row>
    <row r="165" spans="1:14" x14ac:dyDescent="0.3">
      <c r="A165" s="5" t="s">
        <v>46</v>
      </c>
      <c r="B165" s="18">
        <v>57</v>
      </c>
      <c r="C165" s="6" t="s">
        <v>899</v>
      </c>
      <c r="D165" s="6" t="s">
        <v>10</v>
      </c>
      <c r="E165" s="6" t="s">
        <v>23</v>
      </c>
      <c r="F165" s="7">
        <v>45314</v>
      </c>
      <c r="G165" s="6">
        <v>12</v>
      </c>
      <c r="H165" s="14">
        <v>1382.89</v>
      </c>
      <c r="I165" s="8" t="s">
        <v>26</v>
      </c>
      <c r="J165" s="8" t="str" cm="1">
        <f t="array" ref="J165">_xlfn.IFS(Table3[[#This Row],[Age (Years)]] &lt; 40, "Young", Table3[[#This Row],[Age (Years)]] &gt;= 40, "Middle", Table3[[#This Row],[Age (Years)]] &gt; 60, "Senior")</f>
        <v>Middle</v>
      </c>
      <c r="K165" s="8" t="str" cm="1">
        <f t="array" ref="K165">_xlfn.IFS(Table3[[#This Row],[Drug_Cost_GBP]] &gt; 1200, "High Cost", Table3[[#This Row],[Drug_Cost_GBP]] &lt; 1200, "Normal")</f>
        <v>High Cost</v>
      </c>
      <c r="L165" s="8" t="str" cm="1">
        <f t="array" ref="L165">IFERROR(_xlfn.IFS(Table3[[#This Row],[Age (Years)]]  &gt; 75, "YES", Table3[[#This Row],[Age (Years)]] &lt; 75, "NO"), "UNKNOWN")</f>
        <v>NO</v>
      </c>
      <c r="M165" s="8" t="str">
        <f>IF(Table3[[#This Row],[Drug_Cost_GBP]] &gt; Analysis_Sheet!$B$21, "Above Average", "Within Average")</f>
        <v>Above Average</v>
      </c>
      <c r="N165" s="39" t="str">
        <f t="shared" si="2"/>
        <v>January 2024</v>
      </c>
    </row>
    <row r="166" spans="1:14" x14ac:dyDescent="0.3">
      <c r="A166" s="5" t="s">
        <v>49</v>
      </c>
      <c r="B166" s="18">
        <v>57</v>
      </c>
      <c r="C166" s="6" t="s">
        <v>899</v>
      </c>
      <c r="D166" s="6" t="s">
        <v>14</v>
      </c>
      <c r="E166" s="6" t="s">
        <v>43</v>
      </c>
      <c r="F166" s="7" t="s">
        <v>900</v>
      </c>
      <c r="G166" s="6">
        <v>18</v>
      </c>
      <c r="H166" s="14">
        <v>1002.0675517241378</v>
      </c>
      <c r="I166" s="8" t="s">
        <v>21</v>
      </c>
      <c r="J166" s="4" t="str" cm="1">
        <f t="array" ref="J166">_xlfn.IFS(Table3[[#This Row],[Age (Years)]] &lt; 40, "Young", Table3[[#This Row],[Age (Years)]] &gt;= 40, "Middle", Table3[[#This Row],[Age (Years)]] &gt; 60, "Senior")</f>
        <v>Middle</v>
      </c>
      <c r="K166" s="4" t="str" cm="1">
        <f t="array" ref="K166">_xlfn.IFS(Table3[[#This Row],[Drug_Cost_GBP]] &gt; 1200, "High Cost", Table3[[#This Row],[Drug_Cost_GBP]] &lt; 1200, "Normal")</f>
        <v>Normal</v>
      </c>
      <c r="L166" s="4" t="str" cm="1">
        <f t="array" ref="L166">IFERROR(_xlfn.IFS(Table3[[#This Row],[Age (Years)]]  &gt; 75, "YES", Table3[[#This Row],[Age (Years)]] &lt; 75, "NO"), "UNKNOWN")</f>
        <v>NO</v>
      </c>
      <c r="M166" s="4" t="str">
        <f>IF(Table3[[#This Row],[Drug_Cost_GBP]] &gt; Analysis_Sheet!$B$21, "Above Average", "Within Average")</f>
        <v>Within Average</v>
      </c>
      <c r="N166" s="39" t="str">
        <f t="shared" si="2"/>
        <v>Unknown</v>
      </c>
    </row>
    <row r="167" spans="1:14" x14ac:dyDescent="0.3">
      <c r="A167" s="1" t="s">
        <v>50</v>
      </c>
      <c r="B167" s="17">
        <v>57</v>
      </c>
      <c r="C167" s="2" t="s">
        <v>900</v>
      </c>
      <c r="D167" s="2" t="s">
        <v>51</v>
      </c>
      <c r="E167" s="2" t="s">
        <v>43</v>
      </c>
      <c r="F167" s="3">
        <v>45546</v>
      </c>
      <c r="G167" s="2">
        <v>12</v>
      </c>
      <c r="H167" s="13">
        <v>1002.0675517241378</v>
      </c>
      <c r="I167" s="4" t="s">
        <v>26</v>
      </c>
      <c r="J167" s="8" t="str" cm="1">
        <f t="array" ref="J167">_xlfn.IFS(Table3[[#This Row],[Age (Years)]] &lt; 40, "Young", Table3[[#This Row],[Age (Years)]] &gt;= 40, "Middle", Table3[[#This Row],[Age (Years)]] &gt; 60, "Senior")</f>
        <v>Middle</v>
      </c>
      <c r="K167" s="8" t="str" cm="1">
        <f t="array" ref="K167">_xlfn.IFS(Table3[[#This Row],[Drug_Cost_GBP]] &gt; 1200, "High Cost", Table3[[#This Row],[Drug_Cost_GBP]] &lt; 1200, "Normal")</f>
        <v>Normal</v>
      </c>
      <c r="L167" s="8" t="str" cm="1">
        <f t="array" ref="L167">IFERROR(_xlfn.IFS(Table3[[#This Row],[Age (Years)]]  &gt; 75, "YES", Table3[[#This Row],[Age (Years)]] &lt; 75, "NO"), "UNKNOWN")</f>
        <v>NO</v>
      </c>
      <c r="M167" s="8" t="str">
        <f>IF(Table3[[#This Row],[Drug_Cost_GBP]] &gt; Analysis_Sheet!$B$21, "Above Average", "Within Average")</f>
        <v>Within Average</v>
      </c>
      <c r="N167" s="39" t="str">
        <f t="shared" si="2"/>
        <v>September 2024</v>
      </c>
    </row>
    <row r="168" spans="1:14" x14ac:dyDescent="0.3">
      <c r="A168" s="5" t="s">
        <v>52</v>
      </c>
      <c r="B168" s="18">
        <v>57</v>
      </c>
      <c r="C168" s="6" t="s">
        <v>38</v>
      </c>
      <c r="D168" s="6" t="s">
        <v>25</v>
      </c>
      <c r="E168" s="6" t="s">
        <v>29</v>
      </c>
      <c r="F168" s="7">
        <v>45547</v>
      </c>
      <c r="G168" s="6">
        <v>12</v>
      </c>
      <c r="H168" s="14">
        <v>1002.0675517241378</v>
      </c>
      <c r="I168" s="8" t="s">
        <v>12</v>
      </c>
      <c r="J168" s="8" t="str" cm="1">
        <f t="array" ref="J168">_xlfn.IFS(Table3[[#This Row],[Age (Years)]] &lt; 40, "Young", Table3[[#This Row],[Age (Years)]] &gt;= 40, "Middle", Table3[[#This Row],[Age (Years)]] &gt; 60, "Senior")</f>
        <v>Middle</v>
      </c>
      <c r="K168" s="8" t="str" cm="1">
        <f t="array" ref="K168">_xlfn.IFS(Table3[[#This Row],[Drug_Cost_GBP]] &gt; 1200, "High Cost", Table3[[#This Row],[Drug_Cost_GBP]] &lt; 1200, "Normal")</f>
        <v>Normal</v>
      </c>
      <c r="L168" s="8" t="str" cm="1">
        <f t="array" ref="L168">IFERROR(_xlfn.IFS(Table3[[#This Row],[Age (Years)]]  &gt; 75, "YES", Table3[[#This Row],[Age (Years)]] &lt; 75, "NO"), "UNKNOWN")</f>
        <v>NO</v>
      </c>
      <c r="M168" s="8" t="str">
        <f>IF(Table3[[#This Row],[Drug_Cost_GBP]] &gt; Analysis_Sheet!$B$21, "Above Average", "Within Average")</f>
        <v>Within Average</v>
      </c>
      <c r="N168" s="39" t="str">
        <f t="shared" si="2"/>
        <v>September 2024</v>
      </c>
    </row>
    <row r="169" spans="1:14" x14ac:dyDescent="0.3">
      <c r="A169" s="5" t="s">
        <v>54</v>
      </c>
      <c r="B169" s="18">
        <v>57</v>
      </c>
      <c r="C169" s="6" t="s">
        <v>899</v>
      </c>
      <c r="D169" s="6" t="s">
        <v>14</v>
      </c>
      <c r="E169" s="6" t="s">
        <v>23</v>
      </c>
      <c r="F169" s="7">
        <v>45401</v>
      </c>
      <c r="G169" s="6">
        <v>12</v>
      </c>
      <c r="H169" s="14">
        <v>1002.0675517241378</v>
      </c>
      <c r="I169" s="8" t="s">
        <v>900</v>
      </c>
      <c r="J169" s="4" t="str" cm="1">
        <f t="array" ref="J169">_xlfn.IFS(Table3[[#This Row],[Age (Years)]] &lt; 40, "Young", Table3[[#This Row],[Age (Years)]] &gt;= 40, "Middle", Table3[[#This Row],[Age (Years)]] &gt; 60, "Senior")</f>
        <v>Middle</v>
      </c>
      <c r="K169" s="4" t="str" cm="1">
        <f t="array" ref="K169">_xlfn.IFS(Table3[[#This Row],[Drug_Cost_GBP]] &gt; 1200, "High Cost", Table3[[#This Row],[Drug_Cost_GBP]] &lt; 1200, "Normal")</f>
        <v>Normal</v>
      </c>
      <c r="L169" s="4" t="str" cm="1">
        <f t="array" ref="L169">IFERROR(_xlfn.IFS(Table3[[#This Row],[Age (Years)]]  &gt; 75, "YES", Table3[[#This Row],[Age (Years)]] &lt; 75, "NO"), "UNKNOWN")</f>
        <v>NO</v>
      </c>
      <c r="M169" s="4" t="str">
        <f>IF(Table3[[#This Row],[Drug_Cost_GBP]] &gt; Analysis_Sheet!$B$21, "Above Average", "Within Average")</f>
        <v>Within Average</v>
      </c>
      <c r="N169" s="39" t="str">
        <f t="shared" si="2"/>
        <v>April 2024</v>
      </c>
    </row>
    <row r="170" spans="1:14" x14ac:dyDescent="0.3">
      <c r="A170" s="1" t="s">
        <v>55</v>
      </c>
      <c r="B170" s="17">
        <v>57</v>
      </c>
      <c r="C170" s="2" t="s">
        <v>38</v>
      </c>
      <c r="D170" s="2" t="s">
        <v>48</v>
      </c>
      <c r="E170" s="2" t="s">
        <v>43</v>
      </c>
      <c r="F170" s="3" t="s">
        <v>900</v>
      </c>
      <c r="G170" s="2">
        <v>12</v>
      </c>
      <c r="H170" s="13">
        <v>1002.0675517241378</v>
      </c>
      <c r="I170" s="4" t="s">
        <v>12</v>
      </c>
      <c r="J170" s="4" t="str" cm="1">
        <f t="array" ref="J170">_xlfn.IFS(Table3[[#This Row],[Age (Years)]] &lt; 40, "Young", Table3[[#This Row],[Age (Years)]] &gt;= 40, "Middle", Table3[[#This Row],[Age (Years)]] &gt; 60, "Senior")</f>
        <v>Middle</v>
      </c>
      <c r="K170" s="4" t="str" cm="1">
        <f t="array" ref="K170">_xlfn.IFS(Table3[[#This Row],[Drug_Cost_GBP]] &gt; 1200, "High Cost", Table3[[#This Row],[Drug_Cost_GBP]] &lt; 1200, "Normal")</f>
        <v>Normal</v>
      </c>
      <c r="L170" s="4" t="str" cm="1">
        <f t="array" ref="L170">IFERROR(_xlfn.IFS(Table3[[#This Row],[Age (Years)]]  &gt; 75, "YES", Table3[[#This Row],[Age (Years)]] &lt; 75, "NO"), "UNKNOWN")</f>
        <v>NO</v>
      </c>
      <c r="M170" s="4" t="str">
        <f>IF(Table3[[#This Row],[Drug_Cost_GBP]] &gt; Analysis_Sheet!$B$21, "Above Average", "Within Average")</f>
        <v>Within Average</v>
      </c>
      <c r="N170" s="39" t="str">
        <f t="shared" si="2"/>
        <v>Unknown</v>
      </c>
    </row>
    <row r="171" spans="1:14" x14ac:dyDescent="0.3">
      <c r="A171" s="1" t="s">
        <v>58</v>
      </c>
      <c r="B171" s="17">
        <v>57</v>
      </c>
      <c r="C171" s="2" t="s">
        <v>899</v>
      </c>
      <c r="D171" s="2" t="s">
        <v>900</v>
      </c>
      <c r="E171" s="2" t="s">
        <v>11</v>
      </c>
      <c r="F171" s="3">
        <v>45383</v>
      </c>
      <c r="G171" s="2">
        <v>12</v>
      </c>
      <c r="H171" s="13">
        <v>110.9</v>
      </c>
      <c r="I171" s="4" t="s">
        <v>16</v>
      </c>
      <c r="J171" s="8" t="str" cm="1">
        <f t="array" ref="J171">_xlfn.IFS(Table3[[#This Row],[Age (Years)]] &lt; 40, "Young", Table3[[#This Row],[Age (Years)]] &gt;= 40, "Middle", Table3[[#This Row],[Age (Years)]] &gt; 60, "Senior")</f>
        <v>Middle</v>
      </c>
      <c r="K171" s="8" t="str" cm="1">
        <f t="array" ref="K171">_xlfn.IFS(Table3[[#This Row],[Drug_Cost_GBP]] &gt; 1200, "High Cost", Table3[[#This Row],[Drug_Cost_GBP]] &lt; 1200, "Normal")</f>
        <v>Normal</v>
      </c>
      <c r="L171" s="8" t="str" cm="1">
        <f t="array" ref="L171">IFERROR(_xlfn.IFS(Table3[[#This Row],[Age (Years)]]  &gt; 75, "YES", Table3[[#This Row],[Age (Years)]] &lt; 75, "NO"), "UNKNOWN")</f>
        <v>NO</v>
      </c>
      <c r="M171" s="8" t="str">
        <f>IF(Table3[[#This Row],[Drug_Cost_GBP]] &gt; Analysis_Sheet!$B$21, "Above Average", "Within Average")</f>
        <v>Within Average</v>
      </c>
      <c r="N171" s="39" t="str">
        <f t="shared" si="2"/>
        <v>April 2024</v>
      </c>
    </row>
    <row r="172" spans="1:14" x14ac:dyDescent="0.3">
      <c r="A172" s="5" t="s">
        <v>59</v>
      </c>
      <c r="B172" s="18">
        <v>57</v>
      </c>
      <c r="C172" s="6" t="s">
        <v>38</v>
      </c>
      <c r="D172" s="6" t="s">
        <v>900</v>
      </c>
      <c r="E172" s="6" t="s">
        <v>43</v>
      </c>
      <c r="F172" s="7">
        <v>45336</v>
      </c>
      <c r="G172" s="6">
        <v>13</v>
      </c>
      <c r="H172" s="14">
        <v>922.99</v>
      </c>
      <c r="I172" s="8" t="s">
        <v>16</v>
      </c>
      <c r="J172" s="8" t="str" cm="1">
        <f t="array" ref="J172">_xlfn.IFS(Table3[[#This Row],[Age (Years)]] &lt; 40, "Young", Table3[[#This Row],[Age (Years)]] &gt;= 40, "Middle", Table3[[#This Row],[Age (Years)]] &gt; 60, "Senior")</f>
        <v>Middle</v>
      </c>
      <c r="K172" s="8" t="str" cm="1">
        <f t="array" ref="K172">_xlfn.IFS(Table3[[#This Row],[Drug_Cost_GBP]] &gt; 1200, "High Cost", Table3[[#This Row],[Drug_Cost_GBP]] &lt; 1200, "Normal")</f>
        <v>Normal</v>
      </c>
      <c r="L172" s="8" t="str" cm="1">
        <f t="array" ref="L172">IFERROR(_xlfn.IFS(Table3[[#This Row],[Age (Years)]]  &gt; 75, "YES", Table3[[#This Row],[Age (Years)]] &lt; 75, "NO"), "UNKNOWN")</f>
        <v>NO</v>
      </c>
      <c r="M172" s="8" t="str">
        <f>IF(Table3[[#This Row],[Drug_Cost_GBP]] &gt; Analysis_Sheet!$B$21, "Above Average", "Within Average")</f>
        <v>Within Average</v>
      </c>
      <c r="N172" s="39" t="str">
        <f t="shared" si="2"/>
        <v>February 2024</v>
      </c>
    </row>
    <row r="173" spans="1:14" x14ac:dyDescent="0.3">
      <c r="A173" s="5" t="s">
        <v>61</v>
      </c>
      <c r="B173" s="18">
        <v>57</v>
      </c>
      <c r="C173" s="6" t="s">
        <v>38</v>
      </c>
      <c r="D173" s="6" t="s">
        <v>14</v>
      </c>
      <c r="E173" s="6" t="s">
        <v>29</v>
      </c>
      <c r="F173" s="7">
        <v>45311</v>
      </c>
      <c r="G173" s="6">
        <v>12</v>
      </c>
      <c r="H173" s="14">
        <v>1002.0675517241378</v>
      </c>
      <c r="I173" s="8" t="s">
        <v>16</v>
      </c>
      <c r="J173" s="4" t="str" cm="1">
        <f t="array" ref="J173">_xlfn.IFS(Table3[[#This Row],[Age (Years)]] &lt; 40, "Young", Table3[[#This Row],[Age (Years)]] &gt;= 40, "Middle", Table3[[#This Row],[Age (Years)]] &gt; 60, "Senior")</f>
        <v>Middle</v>
      </c>
      <c r="K173" s="4" t="str" cm="1">
        <f t="array" ref="K173">_xlfn.IFS(Table3[[#This Row],[Drug_Cost_GBP]] &gt; 1200, "High Cost", Table3[[#This Row],[Drug_Cost_GBP]] &lt; 1200, "Normal")</f>
        <v>Normal</v>
      </c>
      <c r="L173" s="4" t="str" cm="1">
        <f t="array" ref="L173">IFERROR(_xlfn.IFS(Table3[[#This Row],[Age (Years)]]  &gt; 75, "YES", Table3[[#This Row],[Age (Years)]] &lt; 75, "NO"), "UNKNOWN")</f>
        <v>NO</v>
      </c>
      <c r="M173" s="4" t="str">
        <f>IF(Table3[[#This Row],[Drug_Cost_GBP]] &gt; Analysis_Sheet!$B$21, "Above Average", "Within Average")</f>
        <v>Within Average</v>
      </c>
      <c r="N173" s="39" t="str">
        <f t="shared" si="2"/>
        <v>January 2024</v>
      </c>
    </row>
    <row r="174" spans="1:14" x14ac:dyDescent="0.3">
      <c r="A174" s="1" t="s">
        <v>62</v>
      </c>
      <c r="B174" s="17">
        <v>57</v>
      </c>
      <c r="C174" s="2" t="s">
        <v>38</v>
      </c>
      <c r="D174" s="2" t="s">
        <v>10</v>
      </c>
      <c r="E174" s="2" t="s">
        <v>23</v>
      </c>
      <c r="F174" s="3">
        <v>45564</v>
      </c>
      <c r="G174" s="2">
        <v>12</v>
      </c>
      <c r="H174" s="13">
        <v>1002.0675517241378</v>
      </c>
      <c r="I174" s="4" t="s">
        <v>26</v>
      </c>
      <c r="J174" s="8" t="str" cm="1">
        <f t="array" ref="J174">_xlfn.IFS(Table3[[#This Row],[Age (Years)]] &lt; 40, "Young", Table3[[#This Row],[Age (Years)]] &gt;= 40, "Middle", Table3[[#This Row],[Age (Years)]] &gt; 60, "Senior")</f>
        <v>Middle</v>
      </c>
      <c r="K174" s="8" t="str" cm="1">
        <f t="array" ref="K174">_xlfn.IFS(Table3[[#This Row],[Drug_Cost_GBP]] &gt; 1200, "High Cost", Table3[[#This Row],[Drug_Cost_GBP]] &lt; 1200, "Normal")</f>
        <v>Normal</v>
      </c>
      <c r="L174" s="8" t="str" cm="1">
        <f t="array" ref="L174">IFERROR(_xlfn.IFS(Table3[[#This Row],[Age (Years)]]  &gt; 75, "YES", Table3[[#This Row],[Age (Years)]] &lt; 75, "NO"), "UNKNOWN")</f>
        <v>NO</v>
      </c>
      <c r="M174" s="8" t="str">
        <f>IF(Table3[[#This Row],[Drug_Cost_GBP]] &gt; Analysis_Sheet!$B$21, "Above Average", "Within Average")</f>
        <v>Within Average</v>
      </c>
      <c r="N174" s="39" t="str">
        <f t="shared" si="2"/>
        <v>September 2024</v>
      </c>
    </row>
    <row r="175" spans="1:14" x14ac:dyDescent="0.3">
      <c r="A175" s="5" t="s">
        <v>63</v>
      </c>
      <c r="B175" s="18">
        <v>57</v>
      </c>
      <c r="C175" s="6" t="s">
        <v>899</v>
      </c>
      <c r="D175" s="6" t="s">
        <v>19</v>
      </c>
      <c r="E175" s="6" t="s">
        <v>29</v>
      </c>
      <c r="F175" s="7">
        <v>45561</v>
      </c>
      <c r="G175" s="6">
        <v>12</v>
      </c>
      <c r="H175" s="14">
        <v>1002.0675517241378</v>
      </c>
      <c r="I175" s="8" t="s">
        <v>900</v>
      </c>
      <c r="J175" s="8" t="str" cm="1">
        <f t="array" ref="J175">_xlfn.IFS(Table3[[#This Row],[Age (Years)]] &lt; 40, "Young", Table3[[#This Row],[Age (Years)]] &gt;= 40, "Middle", Table3[[#This Row],[Age (Years)]] &gt; 60, "Senior")</f>
        <v>Middle</v>
      </c>
      <c r="K175" s="8" t="str" cm="1">
        <f t="array" ref="K175">_xlfn.IFS(Table3[[#This Row],[Drug_Cost_GBP]] &gt; 1200, "High Cost", Table3[[#This Row],[Drug_Cost_GBP]] &lt; 1200, "Normal")</f>
        <v>Normal</v>
      </c>
      <c r="L175" s="8" t="str" cm="1">
        <f t="array" ref="L175">IFERROR(_xlfn.IFS(Table3[[#This Row],[Age (Years)]]  &gt; 75, "YES", Table3[[#This Row],[Age (Years)]] &lt; 75, "NO"), "UNKNOWN")</f>
        <v>NO</v>
      </c>
      <c r="M175" s="8" t="str">
        <f>IF(Table3[[#This Row],[Drug_Cost_GBP]] &gt; Analysis_Sheet!$B$21, "Above Average", "Within Average")</f>
        <v>Within Average</v>
      </c>
      <c r="N175" s="39" t="str">
        <f t="shared" si="2"/>
        <v>September 2024</v>
      </c>
    </row>
    <row r="176" spans="1:14" x14ac:dyDescent="0.3">
      <c r="A176" s="5" t="s">
        <v>65</v>
      </c>
      <c r="B176" s="18">
        <v>57</v>
      </c>
      <c r="C176" s="6" t="s">
        <v>899</v>
      </c>
      <c r="D176" s="6" t="s">
        <v>10</v>
      </c>
      <c r="E176" s="6" t="s">
        <v>23</v>
      </c>
      <c r="F176" s="7">
        <v>45485</v>
      </c>
      <c r="G176" s="6">
        <v>12</v>
      </c>
      <c r="H176" s="14">
        <v>1002.0675517241378</v>
      </c>
      <c r="I176" s="8" t="s">
        <v>21</v>
      </c>
      <c r="J176" s="4" t="str" cm="1">
        <f t="array" ref="J176">_xlfn.IFS(Table3[[#This Row],[Age (Years)]] &lt; 40, "Young", Table3[[#This Row],[Age (Years)]] &gt;= 40, "Middle", Table3[[#This Row],[Age (Years)]] &gt; 60, "Senior")</f>
        <v>Middle</v>
      </c>
      <c r="K176" s="4" t="str" cm="1">
        <f t="array" ref="K176">_xlfn.IFS(Table3[[#This Row],[Drug_Cost_GBP]] &gt; 1200, "High Cost", Table3[[#This Row],[Drug_Cost_GBP]] &lt; 1200, "Normal")</f>
        <v>Normal</v>
      </c>
      <c r="L176" s="4" t="str" cm="1">
        <f t="array" ref="L176">IFERROR(_xlfn.IFS(Table3[[#This Row],[Age (Years)]]  &gt; 75, "YES", Table3[[#This Row],[Age (Years)]] &lt; 75, "NO"), "UNKNOWN")</f>
        <v>NO</v>
      </c>
      <c r="M176" s="4" t="str">
        <f>IF(Table3[[#This Row],[Drug_Cost_GBP]] &gt; Analysis_Sheet!$B$21, "Above Average", "Within Average")</f>
        <v>Within Average</v>
      </c>
      <c r="N176" s="39" t="str">
        <f t="shared" si="2"/>
        <v>July 2024</v>
      </c>
    </row>
    <row r="177" spans="1:14" x14ac:dyDescent="0.3">
      <c r="A177" s="1" t="s">
        <v>66</v>
      </c>
      <c r="B177" s="17">
        <v>57</v>
      </c>
      <c r="C177" s="2" t="s">
        <v>899</v>
      </c>
      <c r="D177" s="2" t="s">
        <v>48</v>
      </c>
      <c r="E177" s="2" t="s">
        <v>43</v>
      </c>
      <c r="F177" s="3">
        <v>45567</v>
      </c>
      <c r="G177" s="2">
        <v>12</v>
      </c>
      <c r="H177" s="13">
        <v>1002.0675517241378</v>
      </c>
      <c r="I177" s="4" t="s">
        <v>21</v>
      </c>
      <c r="J177" s="8" t="str" cm="1">
        <f t="array" ref="J177">_xlfn.IFS(Table3[[#This Row],[Age (Years)]] &lt; 40, "Young", Table3[[#This Row],[Age (Years)]] &gt;= 40, "Middle", Table3[[#This Row],[Age (Years)]] &gt; 60, "Senior")</f>
        <v>Middle</v>
      </c>
      <c r="K177" s="8" t="str" cm="1">
        <f t="array" ref="K177">_xlfn.IFS(Table3[[#This Row],[Drug_Cost_GBP]] &gt; 1200, "High Cost", Table3[[#This Row],[Drug_Cost_GBP]] &lt; 1200, "Normal")</f>
        <v>Normal</v>
      </c>
      <c r="L177" s="8" t="str" cm="1">
        <f t="array" ref="L177">IFERROR(_xlfn.IFS(Table3[[#This Row],[Age (Years)]]  &gt; 75, "YES", Table3[[#This Row],[Age (Years)]] &lt; 75, "NO"), "UNKNOWN")</f>
        <v>NO</v>
      </c>
      <c r="M177" s="8" t="str">
        <f>IF(Table3[[#This Row],[Drug_Cost_GBP]] &gt; Analysis_Sheet!$B$21, "Above Average", "Within Average")</f>
        <v>Within Average</v>
      </c>
      <c r="N177" s="39" t="str">
        <f t="shared" si="2"/>
        <v>October 2024</v>
      </c>
    </row>
    <row r="178" spans="1:14" x14ac:dyDescent="0.3">
      <c r="A178" s="5" t="s">
        <v>67</v>
      </c>
      <c r="B178" s="18">
        <v>57</v>
      </c>
      <c r="C178" s="6" t="s">
        <v>38</v>
      </c>
      <c r="D178" s="6" t="s">
        <v>51</v>
      </c>
      <c r="E178" s="6" t="s">
        <v>57</v>
      </c>
      <c r="F178" s="7" t="s">
        <v>900</v>
      </c>
      <c r="G178" s="6">
        <v>12</v>
      </c>
      <c r="H178" s="14">
        <v>293.74</v>
      </c>
      <c r="I178" s="8" t="s">
        <v>12</v>
      </c>
      <c r="J178" s="8" t="str" cm="1">
        <f t="array" ref="J178">_xlfn.IFS(Table3[[#This Row],[Age (Years)]] &lt; 40, "Young", Table3[[#This Row],[Age (Years)]] &gt;= 40, "Middle", Table3[[#This Row],[Age (Years)]] &gt; 60, "Senior")</f>
        <v>Middle</v>
      </c>
      <c r="K178" s="8" t="str" cm="1">
        <f t="array" ref="K178">_xlfn.IFS(Table3[[#This Row],[Drug_Cost_GBP]] &gt; 1200, "High Cost", Table3[[#This Row],[Drug_Cost_GBP]] &lt; 1200, "Normal")</f>
        <v>Normal</v>
      </c>
      <c r="L178" s="8" t="str" cm="1">
        <f t="array" ref="L178">IFERROR(_xlfn.IFS(Table3[[#This Row],[Age (Years)]]  &gt; 75, "YES", Table3[[#This Row],[Age (Years)]] &lt; 75, "NO"), "UNKNOWN")</f>
        <v>NO</v>
      </c>
      <c r="M178" s="8" t="str">
        <f>IF(Table3[[#This Row],[Drug_Cost_GBP]] &gt; Analysis_Sheet!$B$21, "Above Average", "Within Average")</f>
        <v>Within Average</v>
      </c>
      <c r="N178" s="39" t="str">
        <f t="shared" si="2"/>
        <v>Unknown</v>
      </c>
    </row>
    <row r="179" spans="1:14" x14ac:dyDescent="0.3">
      <c r="A179" s="5" t="s">
        <v>69</v>
      </c>
      <c r="B179" s="18">
        <v>57</v>
      </c>
      <c r="C179" s="6" t="s">
        <v>900</v>
      </c>
      <c r="D179" s="6" t="s">
        <v>25</v>
      </c>
      <c r="E179" s="6" t="s">
        <v>57</v>
      </c>
      <c r="F179" s="7">
        <v>45515</v>
      </c>
      <c r="G179" s="6">
        <v>12</v>
      </c>
      <c r="H179" s="14">
        <v>1002.0675517241378</v>
      </c>
      <c r="I179" s="8" t="s">
        <v>900</v>
      </c>
      <c r="J179" s="8" t="str" cm="1">
        <f t="array" ref="J179">_xlfn.IFS(Table3[[#This Row],[Age (Years)]] &lt; 40, "Young", Table3[[#This Row],[Age (Years)]] &gt;= 40, "Middle", Table3[[#This Row],[Age (Years)]] &gt; 60, "Senior")</f>
        <v>Middle</v>
      </c>
      <c r="K179" s="8" t="str" cm="1">
        <f t="array" ref="K179">_xlfn.IFS(Table3[[#This Row],[Drug_Cost_GBP]] &gt; 1200, "High Cost", Table3[[#This Row],[Drug_Cost_GBP]] &lt; 1200, "Normal")</f>
        <v>Normal</v>
      </c>
      <c r="L179" s="8" t="str" cm="1">
        <f t="array" ref="L179">IFERROR(_xlfn.IFS(Table3[[#This Row],[Age (Years)]]  &gt; 75, "YES", Table3[[#This Row],[Age (Years)]] &lt; 75, "NO"), "UNKNOWN")</f>
        <v>NO</v>
      </c>
      <c r="M179" s="8" t="str">
        <f>IF(Table3[[#This Row],[Drug_Cost_GBP]] &gt; Analysis_Sheet!$B$21, "Above Average", "Within Average")</f>
        <v>Within Average</v>
      </c>
      <c r="N179" s="39" t="str">
        <f t="shared" si="2"/>
        <v>August 2024</v>
      </c>
    </row>
    <row r="180" spans="1:14" x14ac:dyDescent="0.3">
      <c r="A180" s="5" t="s">
        <v>71</v>
      </c>
      <c r="B180" s="18">
        <v>57</v>
      </c>
      <c r="C180" s="6" t="s">
        <v>38</v>
      </c>
      <c r="D180" s="6" t="s">
        <v>25</v>
      </c>
      <c r="E180" s="6" t="s">
        <v>29</v>
      </c>
      <c r="F180" s="7">
        <v>45359</v>
      </c>
      <c r="G180" s="6">
        <v>13</v>
      </c>
      <c r="H180" s="14">
        <v>1002.0675517241378</v>
      </c>
      <c r="I180" s="8" t="s">
        <v>21</v>
      </c>
      <c r="J180" s="4" t="str" cm="1">
        <f t="array" ref="J180">_xlfn.IFS(Table3[[#This Row],[Age (Years)]] &lt; 40, "Young", Table3[[#This Row],[Age (Years)]] &gt;= 40, "Middle", Table3[[#This Row],[Age (Years)]] &gt; 60, "Senior")</f>
        <v>Middle</v>
      </c>
      <c r="K180" s="4" t="str" cm="1">
        <f t="array" ref="K180">_xlfn.IFS(Table3[[#This Row],[Drug_Cost_GBP]] &gt; 1200, "High Cost", Table3[[#This Row],[Drug_Cost_GBP]] &lt; 1200, "Normal")</f>
        <v>Normal</v>
      </c>
      <c r="L180" s="4" t="str" cm="1">
        <f t="array" ref="L180">IFERROR(_xlfn.IFS(Table3[[#This Row],[Age (Years)]]  &gt; 75, "YES", Table3[[#This Row],[Age (Years)]] &lt; 75, "NO"), "UNKNOWN")</f>
        <v>NO</v>
      </c>
      <c r="M180" s="4" t="str">
        <f>IF(Table3[[#This Row],[Drug_Cost_GBP]] &gt; Analysis_Sheet!$B$21, "Above Average", "Within Average")</f>
        <v>Within Average</v>
      </c>
      <c r="N180" s="39" t="str">
        <f t="shared" si="2"/>
        <v>March 2024</v>
      </c>
    </row>
    <row r="181" spans="1:14" x14ac:dyDescent="0.3">
      <c r="A181" s="1" t="s">
        <v>72</v>
      </c>
      <c r="B181" s="17">
        <v>57</v>
      </c>
      <c r="C181" s="2" t="s">
        <v>900</v>
      </c>
      <c r="D181" s="2" t="s">
        <v>25</v>
      </c>
      <c r="E181" s="2" t="s">
        <v>23</v>
      </c>
      <c r="F181" s="3">
        <v>45341</v>
      </c>
      <c r="G181" s="2">
        <v>12</v>
      </c>
      <c r="H181" s="13">
        <v>1002.0675517241378</v>
      </c>
      <c r="I181" s="4" t="s">
        <v>21</v>
      </c>
      <c r="J181" s="8" t="str" cm="1">
        <f t="array" ref="J181">_xlfn.IFS(Table3[[#This Row],[Age (Years)]] &lt; 40, "Young", Table3[[#This Row],[Age (Years)]] &gt;= 40, "Middle", Table3[[#This Row],[Age (Years)]] &gt; 60, "Senior")</f>
        <v>Middle</v>
      </c>
      <c r="K181" s="8" t="str" cm="1">
        <f t="array" ref="K181">_xlfn.IFS(Table3[[#This Row],[Drug_Cost_GBP]] &gt; 1200, "High Cost", Table3[[#This Row],[Drug_Cost_GBP]] &lt; 1200, "Normal")</f>
        <v>Normal</v>
      </c>
      <c r="L181" s="8" t="str" cm="1">
        <f t="array" ref="L181">IFERROR(_xlfn.IFS(Table3[[#This Row],[Age (Years)]]  &gt; 75, "YES", Table3[[#This Row],[Age (Years)]] &lt; 75, "NO"), "UNKNOWN")</f>
        <v>NO</v>
      </c>
      <c r="M181" s="8" t="str">
        <f>IF(Table3[[#This Row],[Drug_Cost_GBP]] &gt; Analysis_Sheet!$B$21, "Above Average", "Within Average")</f>
        <v>Within Average</v>
      </c>
      <c r="N181" s="39" t="str">
        <f t="shared" si="2"/>
        <v>February 2024</v>
      </c>
    </row>
    <row r="182" spans="1:14" x14ac:dyDescent="0.3">
      <c r="A182" s="5" t="s">
        <v>73</v>
      </c>
      <c r="B182" s="18">
        <v>57</v>
      </c>
      <c r="C182" s="6" t="s">
        <v>899</v>
      </c>
      <c r="D182" s="6" t="s">
        <v>25</v>
      </c>
      <c r="E182" s="6" t="s">
        <v>11</v>
      </c>
      <c r="F182" s="7">
        <v>45311</v>
      </c>
      <c r="G182" s="6">
        <v>12</v>
      </c>
      <c r="H182" s="14">
        <v>983.3</v>
      </c>
      <c r="I182" s="8" t="s">
        <v>12</v>
      </c>
      <c r="J182" s="4" t="str" cm="1">
        <f t="array" ref="J182">_xlfn.IFS(Table3[[#This Row],[Age (Years)]] &lt; 40, "Young", Table3[[#This Row],[Age (Years)]] &gt;= 40, "Middle", Table3[[#This Row],[Age (Years)]] &gt; 60, "Senior")</f>
        <v>Middle</v>
      </c>
      <c r="K182" s="4" t="str" cm="1">
        <f t="array" ref="K182">_xlfn.IFS(Table3[[#This Row],[Drug_Cost_GBP]] &gt; 1200, "High Cost", Table3[[#This Row],[Drug_Cost_GBP]] &lt; 1200, "Normal")</f>
        <v>Normal</v>
      </c>
      <c r="L182" s="4" t="str" cm="1">
        <f t="array" ref="L182">IFERROR(_xlfn.IFS(Table3[[#This Row],[Age (Years)]]  &gt; 75, "YES", Table3[[#This Row],[Age (Years)]] &lt; 75, "NO"), "UNKNOWN")</f>
        <v>NO</v>
      </c>
      <c r="M182" s="4" t="str">
        <f>IF(Table3[[#This Row],[Drug_Cost_GBP]] &gt; Analysis_Sheet!$B$21, "Above Average", "Within Average")</f>
        <v>Within Average</v>
      </c>
      <c r="N182" s="39" t="str">
        <f t="shared" si="2"/>
        <v>January 2024</v>
      </c>
    </row>
    <row r="183" spans="1:14" x14ac:dyDescent="0.3">
      <c r="A183" s="1" t="s">
        <v>74</v>
      </c>
      <c r="B183" s="17">
        <v>57</v>
      </c>
      <c r="C183" s="2" t="s">
        <v>899</v>
      </c>
      <c r="D183" s="2" t="s">
        <v>898</v>
      </c>
      <c r="E183" s="2" t="s">
        <v>29</v>
      </c>
      <c r="F183" s="3">
        <v>45636</v>
      </c>
      <c r="G183" s="2">
        <v>2</v>
      </c>
      <c r="H183" s="13">
        <v>1002.0675517241378</v>
      </c>
      <c r="I183" s="4" t="s">
        <v>900</v>
      </c>
      <c r="J183" s="4" t="str" cm="1">
        <f t="array" ref="J183">_xlfn.IFS(Table3[[#This Row],[Age (Years)]] &lt; 40, "Young", Table3[[#This Row],[Age (Years)]] &gt;= 40, "Middle", Table3[[#This Row],[Age (Years)]] &gt; 60, "Senior")</f>
        <v>Middle</v>
      </c>
      <c r="K183" s="4" t="str" cm="1">
        <f t="array" ref="K183">_xlfn.IFS(Table3[[#This Row],[Drug_Cost_GBP]] &gt; 1200, "High Cost", Table3[[#This Row],[Drug_Cost_GBP]] &lt; 1200, "Normal")</f>
        <v>Normal</v>
      </c>
      <c r="L183" s="4" t="str" cm="1">
        <f t="array" ref="L183">IFERROR(_xlfn.IFS(Table3[[#This Row],[Age (Years)]]  &gt; 75, "YES", Table3[[#This Row],[Age (Years)]] &lt; 75, "NO"), "UNKNOWN")</f>
        <v>NO</v>
      </c>
      <c r="M183" s="4" t="str">
        <f>IF(Table3[[#This Row],[Drug_Cost_GBP]] &gt; Analysis_Sheet!$B$21, "Above Average", "Within Average")</f>
        <v>Within Average</v>
      </c>
      <c r="N183" s="39" t="str">
        <f t="shared" si="2"/>
        <v>December 2024</v>
      </c>
    </row>
    <row r="184" spans="1:14" x14ac:dyDescent="0.3">
      <c r="A184" s="1" t="s">
        <v>76</v>
      </c>
      <c r="B184" s="17">
        <v>57</v>
      </c>
      <c r="C184" s="2" t="s">
        <v>899</v>
      </c>
      <c r="D184" s="2" t="s">
        <v>48</v>
      </c>
      <c r="E184" s="2" t="s">
        <v>57</v>
      </c>
      <c r="F184" s="3">
        <v>45499</v>
      </c>
      <c r="G184" s="2">
        <v>6</v>
      </c>
      <c r="H184" s="13">
        <v>1044.6199999999999</v>
      </c>
      <c r="I184" s="4" t="s">
        <v>12</v>
      </c>
      <c r="J184" s="4" t="str" cm="1">
        <f t="array" ref="J184">_xlfn.IFS(Table3[[#This Row],[Age (Years)]] &lt; 40, "Young", Table3[[#This Row],[Age (Years)]] &gt;= 40, "Middle", Table3[[#This Row],[Age (Years)]] &gt; 60, "Senior")</f>
        <v>Middle</v>
      </c>
      <c r="K184" s="4" t="str" cm="1">
        <f t="array" ref="K184">_xlfn.IFS(Table3[[#This Row],[Drug_Cost_GBP]] &gt; 1200, "High Cost", Table3[[#This Row],[Drug_Cost_GBP]] &lt; 1200, "Normal")</f>
        <v>Normal</v>
      </c>
      <c r="L184" s="4" t="str" cm="1">
        <f t="array" ref="L184">IFERROR(_xlfn.IFS(Table3[[#This Row],[Age (Years)]]  &gt; 75, "YES", Table3[[#This Row],[Age (Years)]] &lt; 75, "NO"), "UNKNOWN")</f>
        <v>NO</v>
      </c>
      <c r="M184" s="4" t="str">
        <f>IF(Table3[[#This Row],[Drug_Cost_GBP]] &gt; Analysis_Sheet!$B$21, "Above Average", "Within Average")</f>
        <v>Above Average</v>
      </c>
      <c r="N184" s="39" t="str">
        <f t="shared" si="2"/>
        <v>July 2024</v>
      </c>
    </row>
    <row r="185" spans="1:14" x14ac:dyDescent="0.3">
      <c r="A185" s="1" t="s">
        <v>78</v>
      </c>
      <c r="B185" s="17">
        <v>57</v>
      </c>
      <c r="C185" s="2" t="s">
        <v>38</v>
      </c>
      <c r="D185" s="2" t="s">
        <v>19</v>
      </c>
      <c r="E185" s="2" t="s">
        <v>34</v>
      </c>
      <c r="F185" s="3">
        <v>45328</v>
      </c>
      <c r="G185" s="2">
        <v>16</v>
      </c>
      <c r="H185" s="13">
        <v>1002.0675517241378</v>
      </c>
      <c r="I185" s="4" t="s">
        <v>26</v>
      </c>
      <c r="J185" s="8" t="str" cm="1">
        <f t="array" ref="J185">_xlfn.IFS(Table3[[#This Row],[Age (Years)]] &lt; 40, "Young", Table3[[#This Row],[Age (Years)]] &gt;= 40, "Middle", Table3[[#This Row],[Age (Years)]] &gt; 60, "Senior")</f>
        <v>Middle</v>
      </c>
      <c r="K185" s="8" t="str" cm="1">
        <f t="array" ref="K185">_xlfn.IFS(Table3[[#This Row],[Drug_Cost_GBP]] &gt; 1200, "High Cost", Table3[[#This Row],[Drug_Cost_GBP]] &lt; 1200, "Normal")</f>
        <v>Normal</v>
      </c>
      <c r="L185" s="8" t="str" cm="1">
        <f t="array" ref="L185">IFERROR(_xlfn.IFS(Table3[[#This Row],[Age (Years)]]  &gt; 75, "YES", Table3[[#This Row],[Age (Years)]] &lt; 75, "NO"), "UNKNOWN")</f>
        <v>NO</v>
      </c>
      <c r="M185" s="8" t="str">
        <f>IF(Table3[[#This Row],[Drug_Cost_GBP]] &gt; Analysis_Sheet!$B$21, "Above Average", "Within Average")</f>
        <v>Within Average</v>
      </c>
      <c r="N185" s="39" t="str">
        <f t="shared" si="2"/>
        <v>February 2024</v>
      </c>
    </row>
    <row r="186" spans="1:14" x14ac:dyDescent="0.3">
      <c r="A186" s="5" t="s">
        <v>79</v>
      </c>
      <c r="B186" s="18">
        <v>57</v>
      </c>
      <c r="C186" s="6" t="s">
        <v>899</v>
      </c>
      <c r="D186" s="6" t="s">
        <v>48</v>
      </c>
      <c r="E186" s="6" t="s">
        <v>23</v>
      </c>
      <c r="F186" s="7" t="s">
        <v>900</v>
      </c>
      <c r="G186" s="6">
        <v>12</v>
      </c>
      <c r="H186" s="14">
        <v>1002.0675517241378</v>
      </c>
      <c r="I186" s="8" t="s">
        <v>21</v>
      </c>
      <c r="J186" s="4" t="str" cm="1">
        <f t="array" ref="J186">_xlfn.IFS(Table3[[#This Row],[Age (Years)]] &lt; 40, "Young", Table3[[#This Row],[Age (Years)]] &gt;= 40, "Middle", Table3[[#This Row],[Age (Years)]] &gt; 60, "Senior")</f>
        <v>Middle</v>
      </c>
      <c r="K186" s="4" t="str" cm="1">
        <f t="array" ref="K186">_xlfn.IFS(Table3[[#This Row],[Drug_Cost_GBP]] &gt; 1200, "High Cost", Table3[[#This Row],[Drug_Cost_GBP]] &lt; 1200, "Normal")</f>
        <v>Normal</v>
      </c>
      <c r="L186" s="4" t="str" cm="1">
        <f t="array" ref="L186">IFERROR(_xlfn.IFS(Table3[[#This Row],[Age (Years)]]  &gt; 75, "YES", Table3[[#This Row],[Age (Years)]] &lt; 75, "NO"), "UNKNOWN")</f>
        <v>NO</v>
      </c>
      <c r="M186" s="4" t="str">
        <f>IF(Table3[[#This Row],[Drug_Cost_GBP]] &gt; Analysis_Sheet!$B$21, "Above Average", "Within Average")</f>
        <v>Within Average</v>
      </c>
      <c r="N186" s="39" t="str">
        <f t="shared" si="2"/>
        <v>Unknown</v>
      </c>
    </row>
    <row r="187" spans="1:14" x14ac:dyDescent="0.3">
      <c r="A187" s="1" t="s">
        <v>80</v>
      </c>
      <c r="B187" s="17">
        <v>57</v>
      </c>
      <c r="C187" s="2" t="s">
        <v>899</v>
      </c>
      <c r="D187" s="2" t="s">
        <v>14</v>
      </c>
      <c r="E187" s="2" t="s">
        <v>34</v>
      </c>
      <c r="F187" s="3">
        <v>45413</v>
      </c>
      <c r="G187" s="2">
        <v>12</v>
      </c>
      <c r="H187" s="13">
        <v>138.9</v>
      </c>
      <c r="I187" s="4" t="s">
        <v>12</v>
      </c>
      <c r="J187" s="8" t="str" cm="1">
        <f t="array" ref="J187">_xlfn.IFS(Table3[[#This Row],[Age (Years)]] &lt; 40, "Young", Table3[[#This Row],[Age (Years)]] &gt;= 40, "Middle", Table3[[#This Row],[Age (Years)]] &gt; 60, "Senior")</f>
        <v>Middle</v>
      </c>
      <c r="K187" s="8" t="str" cm="1">
        <f t="array" ref="K187">_xlfn.IFS(Table3[[#This Row],[Drug_Cost_GBP]] &gt; 1200, "High Cost", Table3[[#This Row],[Drug_Cost_GBP]] &lt; 1200, "Normal")</f>
        <v>Normal</v>
      </c>
      <c r="L187" s="8" t="str" cm="1">
        <f t="array" ref="L187">IFERROR(_xlfn.IFS(Table3[[#This Row],[Age (Years)]]  &gt; 75, "YES", Table3[[#This Row],[Age (Years)]] &lt; 75, "NO"), "UNKNOWN")</f>
        <v>NO</v>
      </c>
      <c r="M187" s="8" t="str">
        <f>IF(Table3[[#This Row],[Drug_Cost_GBP]] &gt; Analysis_Sheet!$B$21, "Above Average", "Within Average")</f>
        <v>Within Average</v>
      </c>
      <c r="N187" s="39" t="str">
        <f t="shared" si="2"/>
        <v>May 2024</v>
      </c>
    </row>
    <row r="188" spans="1:14" x14ac:dyDescent="0.3">
      <c r="A188" s="5" t="s">
        <v>81</v>
      </c>
      <c r="B188" s="18">
        <v>57</v>
      </c>
      <c r="C188" s="6" t="s">
        <v>899</v>
      </c>
      <c r="D188" s="6" t="s">
        <v>900</v>
      </c>
      <c r="E188" s="6" t="s">
        <v>23</v>
      </c>
      <c r="F188" s="7">
        <v>45573</v>
      </c>
      <c r="G188" s="6">
        <v>12</v>
      </c>
      <c r="H188" s="14">
        <v>1153.24</v>
      </c>
      <c r="I188" s="8" t="s">
        <v>16</v>
      </c>
      <c r="J188" s="8" t="str" cm="1">
        <f t="array" ref="J188">_xlfn.IFS(Table3[[#This Row],[Age (Years)]] &lt; 40, "Young", Table3[[#This Row],[Age (Years)]] &gt;= 40, "Middle", Table3[[#This Row],[Age (Years)]] &gt; 60, "Senior")</f>
        <v>Middle</v>
      </c>
      <c r="K188" s="8" t="str" cm="1">
        <f t="array" ref="K188">_xlfn.IFS(Table3[[#This Row],[Drug_Cost_GBP]] &gt; 1200, "High Cost", Table3[[#This Row],[Drug_Cost_GBP]] &lt; 1200, "Normal")</f>
        <v>Normal</v>
      </c>
      <c r="L188" s="8" t="str" cm="1">
        <f t="array" ref="L188">IFERROR(_xlfn.IFS(Table3[[#This Row],[Age (Years)]]  &gt; 75, "YES", Table3[[#This Row],[Age (Years)]] &lt; 75, "NO"), "UNKNOWN")</f>
        <v>NO</v>
      </c>
      <c r="M188" s="8" t="str">
        <f>IF(Table3[[#This Row],[Drug_Cost_GBP]] &gt; Analysis_Sheet!$B$21, "Above Average", "Within Average")</f>
        <v>Above Average</v>
      </c>
      <c r="N188" s="39" t="str">
        <f t="shared" si="2"/>
        <v>October 2024</v>
      </c>
    </row>
    <row r="189" spans="1:14" x14ac:dyDescent="0.3">
      <c r="A189" s="5" t="s">
        <v>83</v>
      </c>
      <c r="B189" s="18">
        <v>57</v>
      </c>
      <c r="C189" s="6" t="s">
        <v>899</v>
      </c>
      <c r="D189" s="6" t="s">
        <v>14</v>
      </c>
      <c r="E189" s="6" t="s">
        <v>23</v>
      </c>
      <c r="F189" s="7">
        <v>45451</v>
      </c>
      <c r="G189" s="6">
        <v>12</v>
      </c>
      <c r="H189" s="14">
        <v>1002.0675517241378</v>
      </c>
      <c r="I189" s="8" t="s">
        <v>900</v>
      </c>
      <c r="J189" s="4" t="str" cm="1">
        <f t="array" ref="J189">_xlfn.IFS(Table3[[#This Row],[Age (Years)]] &lt; 40, "Young", Table3[[#This Row],[Age (Years)]] &gt;= 40, "Middle", Table3[[#This Row],[Age (Years)]] &gt; 60, "Senior")</f>
        <v>Middle</v>
      </c>
      <c r="K189" s="4" t="str" cm="1">
        <f t="array" ref="K189">_xlfn.IFS(Table3[[#This Row],[Drug_Cost_GBP]] &gt; 1200, "High Cost", Table3[[#This Row],[Drug_Cost_GBP]] &lt; 1200, "Normal")</f>
        <v>Normal</v>
      </c>
      <c r="L189" s="4" t="str" cm="1">
        <f t="array" ref="L189">IFERROR(_xlfn.IFS(Table3[[#This Row],[Age (Years)]]  &gt; 75, "YES", Table3[[#This Row],[Age (Years)]] &lt; 75, "NO"), "UNKNOWN")</f>
        <v>NO</v>
      </c>
      <c r="M189" s="4" t="str">
        <f>IF(Table3[[#This Row],[Drug_Cost_GBP]] &gt; Analysis_Sheet!$B$21, "Above Average", "Within Average")</f>
        <v>Within Average</v>
      </c>
      <c r="N189" s="39" t="str">
        <f t="shared" si="2"/>
        <v>June 2024</v>
      </c>
    </row>
    <row r="190" spans="1:14" x14ac:dyDescent="0.3">
      <c r="A190" s="1" t="s">
        <v>84</v>
      </c>
      <c r="B190" s="17">
        <v>57</v>
      </c>
      <c r="C190" s="2" t="s">
        <v>899</v>
      </c>
      <c r="D190" s="2" t="s">
        <v>898</v>
      </c>
      <c r="E190" s="2" t="s">
        <v>23</v>
      </c>
      <c r="F190" s="3">
        <v>45313</v>
      </c>
      <c r="G190" s="2">
        <v>13</v>
      </c>
      <c r="H190" s="13">
        <v>1002.0675517241378</v>
      </c>
      <c r="I190" s="4" t="s">
        <v>16</v>
      </c>
      <c r="J190" s="8" t="str" cm="1">
        <f t="array" ref="J190">_xlfn.IFS(Table3[[#This Row],[Age (Years)]] &lt; 40, "Young", Table3[[#This Row],[Age (Years)]] &gt;= 40, "Middle", Table3[[#This Row],[Age (Years)]] &gt; 60, "Senior")</f>
        <v>Middle</v>
      </c>
      <c r="K190" s="8" t="str" cm="1">
        <f t="array" ref="K190">_xlfn.IFS(Table3[[#This Row],[Drug_Cost_GBP]] &gt; 1200, "High Cost", Table3[[#This Row],[Drug_Cost_GBP]] &lt; 1200, "Normal")</f>
        <v>Normal</v>
      </c>
      <c r="L190" s="8" t="str" cm="1">
        <f t="array" ref="L190">IFERROR(_xlfn.IFS(Table3[[#This Row],[Age (Years)]]  &gt; 75, "YES", Table3[[#This Row],[Age (Years)]] &lt; 75, "NO"), "UNKNOWN")</f>
        <v>NO</v>
      </c>
      <c r="M190" s="8" t="str">
        <f>IF(Table3[[#This Row],[Drug_Cost_GBP]] &gt; Analysis_Sheet!$B$21, "Above Average", "Within Average")</f>
        <v>Within Average</v>
      </c>
      <c r="N190" s="39" t="str">
        <f t="shared" si="2"/>
        <v>January 2024</v>
      </c>
    </row>
    <row r="191" spans="1:14" x14ac:dyDescent="0.3">
      <c r="A191" s="5" t="s">
        <v>85</v>
      </c>
      <c r="B191" s="18">
        <v>57</v>
      </c>
      <c r="C191" s="6" t="s">
        <v>38</v>
      </c>
      <c r="D191" s="6" t="s">
        <v>25</v>
      </c>
      <c r="E191" s="6" t="s">
        <v>23</v>
      </c>
      <c r="F191" s="7" t="s">
        <v>900</v>
      </c>
      <c r="G191" s="6">
        <v>8</v>
      </c>
      <c r="H191" s="14">
        <v>1002.0675517241378</v>
      </c>
      <c r="I191" s="8" t="s">
        <v>26</v>
      </c>
      <c r="J191" s="8" t="str" cm="1">
        <f t="array" ref="J191">_xlfn.IFS(Table3[[#This Row],[Age (Years)]] &lt; 40, "Young", Table3[[#This Row],[Age (Years)]] &gt;= 40, "Middle", Table3[[#This Row],[Age (Years)]] &gt; 60, "Senior")</f>
        <v>Middle</v>
      </c>
      <c r="K191" s="8" t="str" cm="1">
        <f t="array" ref="K191">_xlfn.IFS(Table3[[#This Row],[Drug_Cost_GBP]] &gt; 1200, "High Cost", Table3[[#This Row],[Drug_Cost_GBP]] &lt; 1200, "Normal")</f>
        <v>Normal</v>
      </c>
      <c r="L191" s="8" t="str" cm="1">
        <f t="array" ref="L191">IFERROR(_xlfn.IFS(Table3[[#This Row],[Age (Years)]]  &gt; 75, "YES", Table3[[#This Row],[Age (Years)]] &lt; 75, "NO"), "UNKNOWN")</f>
        <v>NO</v>
      </c>
      <c r="M191" s="8" t="str">
        <f>IF(Table3[[#This Row],[Drug_Cost_GBP]] &gt; Analysis_Sheet!$B$21, "Above Average", "Within Average")</f>
        <v>Within Average</v>
      </c>
      <c r="N191" s="39" t="str">
        <f t="shared" si="2"/>
        <v>Unknown</v>
      </c>
    </row>
    <row r="192" spans="1:14" x14ac:dyDescent="0.3">
      <c r="A192" s="5" t="s">
        <v>87</v>
      </c>
      <c r="B192" s="18">
        <v>57</v>
      </c>
      <c r="C192" s="6" t="s">
        <v>899</v>
      </c>
      <c r="D192" s="6" t="s">
        <v>51</v>
      </c>
      <c r="E192" s="6" t="s">
        <v>57</v>
      </c>
      <c r="F192" s="7">
        <v>45619</v>
      </c>
      <c r="G192" s="6">
        <v>12</v>
      </c>
      <c r="H192" s="14">
        <v>1002.0675517241378</v>
      </c>
      <c r="I192" s="8" t="s">
        <v>900</v>
      </c>
      <c r="J192" s="4" t="str" cm="1">
        <f t="array" ref="J192">_xlfn.IFS(Table3[[#This Row],[Age (Years)]] &lt; 40, "Young", Table3[[#This Row],[Age (Years)]] &gt;= 40, "Middle", Table3[[#This Row],[Age (Years)]] &gt; 60, "Senior")</f>
        <v>Middle</v>
      </c>
      <c r="K192" s="4" t="str" cm="1">
        <f t="array" ref="K192">_xlfn.IFS(Table3[[#This Row],[Drug_Cost_GBP]] &gt; 1200, "High Cost", Table3[[#This Row],[Drug_Cost_GBP]] &lt; 1200, "Normal")</f>
        <v>Normal</v>
      </c>
      <c r="L192" s="4" t="str" cm="1">
        <f t="array" ref="L192">IFERROR(_xlfn.IFS(Table3[[#This Row],[Age (Years)]]  &gt; 75, "YES", Table3[[#This Row],[Age (Years)]] &lt; 75, "NO"), "UNKNOWN")</f>
        <v>NO</v>
      </c>
      <c r="M192" s="4" t="str">
        <f>IF(Table3[[#This Row],[Drug_Cost_GBP]] &gt; Analysis_Sheet!$B$21, "Above Average", "Within Average")</f>
        <v>Within Average</v>
      </c>
      <c r="N192" s="39" t="str">
        <f t="shared" si="2"/>
        <v>November 2024</v>
      </c>
    </row>
    <row r="193" spans="1:14" x14ac:dyDescent="0.3">
      <c r="A193" s="1" t="s">
        <v>88</v>
      </c>
      <c r="B193" s="17">
        <v>57</v>
      </c>
      <c r="C193" s="2" t="s">
        <v>900</v>
      </c>
      <c r="D193" s="2" t="s">
        <v>25</v>
      </c>
      <c r="E193" s="2" t="s">
        <v>34</v>
      </c>
      <c r="F193" s="3">
        <v>45450</v>
      </c>
      <c r="G193" s="2">
        <v>12</v>
      </c>
      <c r="H193" s="13">
        <v>1002.0675517241378</v>
      </c>
      <c r="I193" s="4" t="s">
        <v>16</v>
      </c>
      <c r="J193" s="8" t="str" cm="1">
        <f t="array" ref="J193">_xlfn.IFS(Table3[[#This Row],[Age (Years)]] &lt; 40, "Young", Table3[[#This Row],[Age (Years)]] &gt;= 40, "Middle", Table3[[#This Row],[Age (Years)]] &gt; 60, "Senior")</f>
        <v>Middle</v>
      </c>
      <c r="K193" s="8" t="str" cm="1">
        <f t="array" ref="K193">_xlfn.IFS(Table3[[#This Row],[Drug_Cost_GBP]] &gt; 1200, "High Cost", Table3[[#This Row],[Drug_Cost_GBP]] &lt; 1200, "Normal")</f>
        <v>Normal</v>
      </c>
      <c r="L193" s="8" t="str" cm="1">
        <f t="array" ref="L193">IFERROR(_xlfn.IFS(Table3[[#This Row],[Age (Years)]]  &gt; 75, "YES", Table3[[#This Row],[Age (Years)]] &lt; 75, "NO"), "UNKNOWN")</f>
        <v>NO</v>
      </c>
      <c r="M193" s="8" t="str">
        <f>IF(Table3[[#This Row],[Drug_Cost_GBP]] &gt; Analysis_Sheet!$B$21, "Above Average", "Within Average")</f>
        <v>Within Average</v>
      </c>
      <c r="N193" s="39" t="str">
        <f t="shared" si="2"/>
        <v>June 2024</v>
      </c>
    </row>
    <row r="194" spans="1:14" x14ac:dyDescent="0.3">
      <c r="A194" s="5" t="s">
        <v>89</v>
      </c>
      <c r="B194" s="18">
        <v>57</v>
      </c>
      <c r="C194" s="6" t="s">
        <v>900</v>
      </c>
      <c r="D194" s="6" t="s">
        <v>25</v>
      </c>
      <c r="E194" s="6" t="s">
        <v>43</v>
      </c>
      <c r="F194" s="7">
        <v>45344</v>
      </c>
      <c r="G194" s="6">
        <v>9</v>
      </c>
      <c r="H194" s="14">
        <v>1002.0675517241378</v>
      </c>
      <c r="I194" s="8" t="s">
        <v>12</v>
      </c>
      <c r="J194" s="4" t="str" cm="1">
        <f t="array" ref="J194">_xlfn.IFS(Table3[[#This Row],[Age (Years)]] &lt; 40, "Young", Table3[[#This Row],[Age (Years)]] &gt;= 40, "Middle", Table3[[#This Row],[Age (Years)]] &gt; 60, "Senior")</f>
        <v>Middle</v>
      </c>
      <c r="K194" s="4" t="str" cm="1">
        <f t="array" ref="K194">_xlfn.IFS(Table3[[#This Row],[Drug_Cost_GBP]] &gt; 1200, "High Cost", Table3[[#This Row],[Drug_Cost_GBP]] &lt; 1200, "Normal")</f>
        <v>Normal</v>
      </c>
      <c r="L194" s="4" t="str" cm="1">
        <f t="array" ref="L194">IFERROR(_xlfn.IFS(Table3[[#This Row],[Age (Years)]]  &gt; 75, "YES", Table3[[#This Row],[Age (Years)]] &lt; 75, "NO"), "UNKNOWN")</f>
        <v>NO</v>
      </c>
      <c r="M194" s="4" t="str">
        <f>IF(Table3[[#This Row],[Drug_Cost_GBP]] &gt; Analysis_Sheet!$B$21, "Above Average", "Within Average")</f>
        <v>Within Average</v>
      </c>
      <c r="N194" s="39" t="str">
        <f t="shared" si="2"/>
        <v>February 2024</v>
      </c>
    </row>
    <row r="195" spans="1:14" x14ac:dyDescent="0.3">
      <c r="A195" s="1" t="s">
        <v>90</v>
      </c>
      <c r="B195" s="17">
        <v>57</v>
      </c>
      <c r="C195" s="2" t="s">
        <v>38</v>
      </c>
      <c r="D195" s="2" t="s">
        <v>25</v>
      </c>
      <c r="E195" s="2" t="s">
        <v>43</v>
      </c>
      <c r="F195" s="3">
        <v>45399</v>
      </c>
      <c r="G195" s="2">
        <v>12</v>
      </c>
      <c r="H195" s="13">
        <v>301.39</v>
      </c>
      <c r="I195" s="4" t="s">
        <v>12</v>
      </c>
      <c r="J195" s="8" t="str" cm="1">
        <f t="array" ref="J195">_xlfn.IFS(Table3[[#This Row],[Age (Years)]] &lt; 40, "Young", Table3[[#This Row],[Age (Years)]] &gt;= 40, "Middle", Table3[[#This Row],[Age (Years)]] &gt; 60, "Senior")</f>
        <v>Middle</v>
      </c>
      <c r="K195" s="8" t="str" cm="1">
        <f t="array" ref="K195">_xlfn.IFS(Table3[[#This Row],[Drug_Cost_GBP]] &gt; 1200, "High Cost", Table3[[#This Row],[Drug_Cost_GBP]] &lt; 1200, "Normal")</f>
        <v>Normal</v>
      </c>
      <c r="L195" s="8" t="str" cm="1">
        <f t="array" ref="L195">IFERROR(_xlfn.IFS(Table3[[#This Row],[Age (Years)]]  &gt; 75, "YES", Table3[[#This Row],[Age (Years)]] &lt; 75, "NO"), "UNKNOWN")</f>
        <v>NO</v>
      </c>
      <c r="M195" s="8" t="str">
        <f>IF(Table3[[#This Row],[Drug_Cost_GBP]] &gt; Analysis_Sheet!$B$21, "Above Average", "Within Average")</f>
        <v>Within Average</v>
      </c>
      <c r="N195" s="39" t="str">
        <f t="shared" ref="N195:N258" si="3">IF(ISNUMBER(F195),TEXT(F195,"MMMM YYYY"),"Unknown")</f>
        <v>April 2024</v>
      </c>
    </row>
    <row r="196" spans="1:14" x14ac:dyDescent="0.3">
      <c r="A196" s="5" t="s">
        <v>91</v>
      </c>
      <c r="B196" s="18">
        <v>57</v>
      </c>
      <c r="C196" s="6" t="s">
        <v>899</v>
      </c>
      <c r="D196" s="6" t="s">
        <v>900</v>
      </c>
      <c r="E196" s="6" t="s">
        <v>11</v>
      </c>
      <c r="F196" s="7">
        <v>45491</v>
      </c>
      <c r="G196" s="6">
        <v>12</v>
      </c>
      <c r="H196" s="14">
        <v>1002.0675517241378</v>
      </c>
      <c r="I196" s="8" t="s">
        <v>12</v>
      </c>
      <c r="J196" s="4" t="str" cm="1">
        <f t="array" ref="J196">_xlfn.IFS(Table3[[#This Row],[Age (Years)]] &lt; 40, "Young", Table3[[#This Row],[Age (Years)]] &gt;= 40, "Middle", Table3[[#This Row],[Age (Years)]] &gt; 60, "Senior")</f>
        <v>Middle</v>
      </c>
      <c r="K196" s="4" t="str" cm="1">
        <f t="array" ref="K196">_xlfn.IFS(Table3[[#This Row],[Drug_Cost_GBP]] &gt; 1200, "High Cost", Table3[[#This Row],[Drug_Cost_GBP]] &lt; 1200, "Normal")</f>
        <v>Normal</v>
      </c>
      <c r="L196" s="4" t="str" cm="1">
        <f t="array" ref="L196">IFERROR(_xlfn.IFS(Table3[[#This Row],[Age (Years)]]  &gt; 75, "YES", Table3[[#This Row],[Age (Years)]] &lt; 75, "NO"), "UNKNOWN")</f>
        <v>NO</v>
      </c>
      <c r="M196" s="4" t="str">
        <f>IF(Table3[[#This Row],[Drug_Cost_GBP]] &gt; Analysis_Sheet!$B$21, "Above Average", "Within Average")</f>
        <v>Within Average</v>
      </c>
      <c r="N196" s="39" t="str">
        <f t="shared" si="3"/>
        <v>July 2024</v>
      </c>
    </row>
    <row r="197" spans="1:14" x14ac:dyDescent="0.3">
      <c r="A197" s="1" t="s">
        <v>92</v>
      </c>
      <c r="B197" s="17">
        <v>57</v>
      </c>
      <c r="C197" s="2" t="s">
        <v>900</v>
      </c>
      <c r="D197" s="2" t="s">
        <v>10</v>
      </c>
      <c r="E197" s="2" t="s">
        <v>43</v>
      </c>
      <c r="F197" s="3">
        <v>45589</v>
      </c>
      <c r="G197" s="2">
        <v>11</v>
      </c>
      <c r="H197" s="13">
        <v>1002.0675517241378</v>
      </c>
      <c r="I197" s="4" t="s">
        <v>21</v>
      </c>
      <c r="J197" s="8" t="str" cm="1">
        <f t="array" ref="J197">_xlfn.IFS(Table3[[#This Row],[Age (Years)]] &lt; 40, "Young", Table3[[#This Row],[Age (Years)]] &gt;= 40, "Middle", Table3[[#This Row],[Age (Years)]] &gt; 60, "Senior")</f>
        <v>Middle</v>
      </c>
      <c r="K197" s="8" t="str" cm="1">
        <f t="array" ref="K197">_xlfn.IFS(Table3[[#This Row],[Drug_Cost_GBP]] &gt; 1200, "High Cost", Table3[[#This Row],[Drug_Cost_GBP]] &lt; 1200, "Normal")</f>
        <v>Normal</v>
      </c>
      <c r="L197" s="8" t="str" cm="1">
        <f t="array" ref="L197">IFERROR(_xlfn.IFS(Table3[[#This Row],[Age (Years)]]  &gt; 75, "YES", Table3[[#This Row],[Age (Years)]] &lt; 75, "NO"), "UNKNOWN")</f>
        <v>NO</v>
      </c>
      <c r="M197" s="8" t="str">
        <f>IF(Table3[[#This Row],[Drug_Cost_GBP]] &gt; Analysis_Sheet!$B$21, "Above Average", "Within Average")</f>
        <v>Within Average</v>
      </c>
      <c r="N197" s="39" t="str">
        <f t="shared" si="3"/>
        <v>October 2024</v>
      </c>
    </row>
    <row r="198" spans="1:14" x14ac:dyDescent="0.3">
      <c r="A198" s="5" t="s">
        <v>93</v>
      </c>
      <c r="B198" s="18">
        <v>57</v>
      </c>
      <c r="C198" s="6" t="s">
        <v>899</v>
      </c>
      <c r="D198" s="6" t="s">
        <v>51</v>
      </c>
      <c r="E198" s="6" t="s">
        <v>57</v>
      </c>
      <c r="F198" s="7">
        <v>45330</v>
      </c>
      <c r="G198" s="6">
        <v>20</v>
      </c>
      <c r="H198" s="14">
        <v>1002.0675517241378</v>
      </c>
      <c r="I198" s="8" t="s">
        <v>12</v>
      </c>
      <c r="J198" s="4" t="str" cm="1">
        <f t="array" ref="J198">_xlfn.IFS(Table3[[#This Row],[Age (Years)]] &lt; 40, "Young", Table3[[#This Row],[Age (Years)]] &gt;= 40, "Middle", Table3[[#This Row],[Age (Years)]] &gt; 60, "Senior")</f>
        <v>Middle</v>
      </c>
      <c r="K198" s="4" t="str" cm="1">
        <f t="array" ref="K198">_xlfn.IFS(Table3[[#This Row],[Drug_Cost_GBP]] &gt; 1200, "High Cost", Table3[[#This Row],[Drug_Cost_GBP]] &lt; 1200, "Normal")</f>
        <v>Normal</v>
      </c>
      <c r="L198" s="4" t="str" cm="1">
        <f t="array" ref="L198">IFERROR(_xlfn.IFS(Table3[[#This Row],[Age (Years)]]  &gt; 75, "YES", Table3[[#This Row],[Age (Years)]] &lt; 75, "NO"), "UNKNOWN")</f>
        <v>NO</v>
      </c>
      <c r="M198" s="4" t="str">
        <f>IF(Table3[[#This Row],[Drug_Cost_GBP]] &gt; Analysis_Sheet!$B$21, "Above Average", "Within Average")</f>
        <v>Within Average</v>
      </c>
      <c r="N198" s="39" t="str">
        <f t="shared" si="3"/>
        <v>February 2024</v>
      </c>
    </row>
    <row r="199" spans="1:14" x14ac:dyDescent="0.3">
      <c r="A199" s="1" t="s">
        <v>94</v>
      </c>
      <c r="B199" s="17">
        <v>57</v>
      </c>
      <c r="C199" s="2" t="s">
        <v>38</v>
      </c>
      <c r="D199" s="2" t="s">
        <v>900</v>
      </c>
      <c r="E199" s="2" t="s">
        <v>34</v>
      </c>
      <c r="F199" s="3">
        <v>45479</v>
      </c>
      <c r="G199" s="2">
        <v>12</v>
      </c>
      <c r="H199" s="13">
        <v>1002.0675517241378</v>
      </c>
      <c r="I199" s="4" t="s">
        <v>16</v>
      </c>
      <c r="J199" s="4" t="str" cm="1">
        <f t="array" ref="J199">_xlfn.IFS(Table3[[#This Row],[Age (Years)]] &lt; 40, "Young", Table3[[#This Row],[Age (Years)]] &gt;= 40, "Middle", Table3[[#This Row],[Age (Years)]] &gt; 60, "Senior")</f>
        <v>Middle</v>
      </c>
      <c r="K199" s="4" t="str" cm="1">
        <f t="array" ref="K199">_xlfn.IFS(Table3[[#This Row],[Drug_Cost_GBP]] &gt; 1200, "High Cost", Table3[[#This Row],[Drug_Cost_GBP]] &lt; 1200, "Normal")</f>
        <v>Normal</v>
      </c>
      <c r="L199" s="4" t="str" cm="1">
        <f t="array" ref="L199">IFERROR(_xlfn.IFS(Table3[[#This Row],[Age (Years)]]  &gt; 75, "YES", Table3[[#This Row],[Age (Years)]] &lt; 75, "NO"), "UNKNOWN")</f>
        <v>NO</v>
      </c>
      <c r="M199" s="4" t="str">
        <f>IF(Table3[[#This Row],[Drug_Cost_GBP]] &gt; Analysis_Sheet!$B$21, "Above Average", "Within Average")</f>
        <v>Within Average</v>
      </c>
      <c r="N199" s="39" t="str">
        <f t="shared" si="3"/>
        <v>July 2024</v>
      </c>
    </row>
    <row r="200" spans="1:14" x14ac:dyDescent="0.3">
      <c r="A200" s="1" t="s">
        <v>96</v>
      </c>
      <c r="B200" s="17">
        <v>57</v>
      </c>
      <c r="C200" s="2" t="s">
        <v>899</v>
      </c>
      <c r="D200" s="2" t="s">
        <v>48</v>
      </c>
      <c r="E200" s="2" t="s">
        <v>57</v>
      </c>
      <c r="F200" s="3">
        <v>45463</v>
      </c>
      <c r="G200" s="2">
        <v>12</v>
      </c>
      <c r="H200" s="13">
        <v>1002.0675517241378</v>
      </c>
      <c r="I200" s="4" t="s">
        <v>26</v>
      </c>
      <c r="J200" s="8" t="str" cm="1">
        <f t="array" ref="J200">_xlfn.IFS(Table3[[#This Row],[Age (Years)]] &lt; 40, "Young", Table3[[#This Row],[Age (Years)]] &gt;= 40, "Middle", Table3[[#This Row],[Age (Years)]] &gt; 60, "Senior")</f>
        <v>Middle</v>
      </c>
      <c r="K200" s="8" t="str" cm="1">
        <f t="array" ref="K200">_xlfn.IFS(Table3[[#This Row],[Drug_Cost_GBP]] &gt; 1200, "High Cost", Table3[[#This Row],[Drug_Cost_GBP]] &lt; 1200, "Normal")</f>
        <v>Normal</v>
      </c>
      <c r="L200" s="8" t="str" cm="1">
        <f t="array" ref="L200">IFERROR(_xlfn.IFS(Table3[[#This Row],[Age (Years)]]  &gt; 75, "YES", Table3[[#This Row],[Age (Years)]] &lt; 75, "NO"), "UNKNOWN")</f>
        <v>NO</v>
      </c>
      <c r="M200" s="8" t="str">
        <f>IF(Table3[[#This Row],[Drug_Cost_GBP]] &gt; Analysis_Sheet!$B$21, "Above Average", "Within Average")</f>
        <v>Within Average</v>
      </c>
      <c r="N200" s="39" t="str">
        <f t="shared" si="3"/>
        <v>June 2024</v>
      </c>
    </row>
    <row r="201" spans="1:14" x14ac:dyDescent="0.3">
      <c r="A201" s="5" t="s">
        <v>97</v>
      </c>
      <c r="B201" s="18">
        <v>57</v>
      </c>
      <c r="C201" s="6" t="s">
        <v>38</v>
      </c>
      <c r="D201" s="6" t="s">
        <v>10</v>
      </c>
      <c r="E201" s="6" t="s">
        <v>23</v>
      </c>
      <c r="F201" s="7">
        <v>45559</v>
      </c>
      <c r="G201" s="6">
        <v>12</v>
      </c>
      <c r="H201" s="14">
        <v>1002.0675517241378</v>
      </c>
      <c r="I201" s="8" t="s">
        <v>21</v>
      </c>
      <c r="J201" s="4" t="str" cm="1">
        <f t="array" ref="J201">_xlfn.IFS(Table3[[#This Row],[Age (Years)]] &lt; 40, "Young", Table3[[#This Row],[Age (Years)]] &gt;= 40, "Middle", Table3[[#This Row],[Age (Years)]] &gt; 60, "Senior")</f>
        <v>Middle</v>
      </c>
      <c r="K201" s="4" t="str" cm="1">
        <f t="array" ref="K201">_xlfn.IFS(Table3[[#This Row],[Drug_Cost_GBP]] &gt; 1200, "High Cost", Table3[[#This Row],[Drug_Cost_GBP]] &lt; 1200, "Normal")</f>
        <v>Normal</v>
      </c>
      <c r="L201" s="4" t="str" cm="1">
        <f t="array" ref="L201">IFERROR(_xlfn.IFS(Table3[[#This Row],[Age (Years)]]  &gt; 75, "YES", Table3[[#This Row],[Age (Years)]] &lt; 75, "NO"), "UNKNOWN")</f>
        <v>NO</v>
      </c>
      <c r="M201" s="4" t="str">
        <f>IF(Table3[[#This Row],[Drug_Cost_GBP]] &gt; Analysis_Sheet!$B$21, "Above Average", "Within Average")</f>
        <v>Within Average</v>
      </c>
      <c r="N201" s="39" t="str">
        <f t="shared" si="3"/>
        <v>September 2024</v>
      </c>
    </row>
    <row r="202" spans="1:14" x14ac:dyDescent="0.3">
      <c r="A202" s="1" t="s">
        <v>100</v>
      </c>
      <c r="B202" s="17">
        <v>57</v>
      </c>
      <c r="C202" s="2" t="s">
        <v>38</v>
      </c>
      <c r="D202" s="2" t="s">
        <v>14</v>
      </c>
      <c r="E202" s="2" t="s">
        <v>43</v>
      </c>
      <c r="F202" s="3">
        <v>45322</v>
      </c>
      <c r="G202" s="2">
        <v>12</v>
      </c>
      <c r="H202" s="13">
        <v>1310.04</v>
      </c>
      <c r="I202" s="4" t="s">
        <v>21</v>
      </c>
      <c r="J202" s="4" t="str" cm="1">
        <f t="array" ref="J202">_xlfn.IFS(Table3[[#This Row],[Age (Years)]] &lt; 40, "Young", Table3[[#This Row],[Age (Years)]] &gt;= 40, "Middle", Table3[[#This Row],[Age (Years)]] &gt; 60, "Senior")</f>
        <v>Middle</v>
      </c>
      <c r="K202" s="4" t="str" cm="1">
        <f t="array" ref="K202">_xlfn.IFS(Table3[[#This Row],[Drug_Cost_GBP]] &gt; 1200, "High Cost", Table3[[#This Row],[Drug_Cost_GBP]] &lt; 1200, "Normal")</f>
        <v>High Cost</v>
      </c>
      <c r="L202" s="4" t="str" cm="1">
        <f t="array" ref="L202">IFERROR(_xlfn.IFS(Table3[[#This Row],[Age (Years)]]  &gt; 75, "YES", Table3[[#This Row],[Age (Years)]] &lt; 75, "NO"), "UNKNOWN")</f>
        <v>NO</v>
      </c>
      <c r="M202" s="4" t="str">
        <f>IF(Table3[[#This Row],[Drug_Cost_GBP]] &gt; Analysis_Sheet!$B$21, "Above Average", "Within Average")</f>
        <v>Above Average</v>
      </c>
      <c r="N202" s="39" t="str">
        <f t="shared" si="3"/>
        <v>January 2024</v>
      </c>
    </row>
    <row r="203" spans="1:14" x14ac:dyDescent="0.3">
      <c r="A203" s="1" t="s">
        <v>102</v>
      </c>
      <c r="B203" s="17">
        <v>57</v>
      </c>
      <c r="C203" s="2" t="s">
        <v>38</v>
      </c>
      <c r="D203" s="2" t="s">
        <v>898</v>
      </c>
      <c r="E203" s="2" t="s">
        <v>23</v>
      </c>
      <c r="F203" s="3">
        <v>45498</v>
      </c>
      <c r="G203" s="2">
        <v>12</v>
      </c>
      <c r="H203" s="13">
        <v>1002.0675517241378</v>
      </c>
      <c r="I203" s="4" t="s">
        <v>16</v>
      </c>
      <c r="J203" s="4" t="str" cm="1">
        <f t="array" ref="J203">_xlfn.IFS(Table3[[#This Row],[Age (Years)]] &lt; 40, "Young", Table3[[#This Row],[Age (Years)]] &gt;= 40, "Middle", Table3[[#This Row],[Age (Years)]] &gt; 60, "Senior")</f>
        <v>Middle</v>
      </c>
      <c r="K203" s="4" t="str" cm="1">
        <f t="array" ref="K203">_xlfn.IFS(Table3[[#This Row],[Drug_Cost_GBP]] &gt; 1200, "High Cost", Table3[[#This Row],[Drug_Cost_GBP]] &lt; 1200, "Normal")</f>
        <v>Normal</v>
      </c>
      <c r="L203" s="4" t="str" cm="1">
        <f t="array" ref="L203">IFERROR(_xlfn.IFS(Table3[[#This Row],[Age (Years)]]  &gt; 75, "YES", Table3[[#This Row],[Age (Years)]] &lt; 75, "NO"), "UNKNOWN")</f>
        <v>NO</v>
      </c>
      <c r="M203" s="4" t="str">
        <f>IF(Table3[[#This Row],[Drug_Cost_GBP]] &gt; Analysis_Sheet!$B$21, "Above Average", "Within Average")</f>
        <v>Within Average</v>
      </c>
      <c r="N203" s="39" t="str">
        <f t="shared" si="3"/>
        <v>July 2024</v>
      </c>
    </row>
    <row r="204" spans="1:14" x14ac:dyDescent="0.3">
      <c r="A204" s="1" t="s">
        <v>104</v>
      </c>
      <c r="B204" s="17">
        <v>57</v>
      </c>
      <c r="C204" s="2" t="s">
        <v>899</v>
      </c>
      <c r="D204" s="2" t="s">
        <v>51</v>
      </c>
      <c r="E204" s="2" t="s">
        <v>34</v>
      </c>
      <c r="F204" s="3">
        <v>45522</v>
      </c>
      <c r="G204" s="2">
        <v>12</v>
      </c>
      <c r="H204" s="13">
        <v>1002.0675517241378</v>
      </c>
      <c r="I204" s="4" t="s">
        <v>900</v>
      </c>
      <c r="J204" s="8" t="str" cm="1">
        <f t="array" ref="J204">_xlfn.IFS(Table3[[#This Row],[Age (Years)]] &lt; 40, "Young", Table3[[#This Row],[Age (Years)]] &gt;= 40, "Middle", Table3[[#This Row],[Age (Years)]] &gt; 60, "Senior")</f>
        <v>Middle</v>
      </c>
      <c r="K204" s="8" t="str" cm="1">
        <f t="array" ref="K204">_xlfn.IFS(Table3[[#This Row],[Drug_Cost_GBP]] &gt; 1200, "High Cost", Table3[[#This Row],[Drug_Cost_GBP]] &lt; 1200, "Normal")</f>
        <v>Normal</v>
      </c>
      <c r="L204" s="8" t="str" cm="1">
        <f t="array" ref="L204">IFERROR(_xlfn.IFS(Table3[[#This Row],[Age (Years)]]  &gt; 75, "YES", Table3[[#This Row],[Age (Years)]] &lt; 75, "NO"), "UNKNOWN")</f>
        <v>NO</v>
      </c>
      <c r="M204" s="8" t="str">
        <f>IF(Table3[[#This Row],[Drug_Cost_GBP]] &gt; Analysis_Sheet!$B$21, "Above Average", "Within Average")</f>
        <v>Within Average</v>
      </c>
      <c r="N204" s="39" t="str">
        <f t="shared" si="3"/>
        <v>August 2024</v>
      </c>
    </row>
    <row r="205" spans="1:14" x14ac:dyDescent="0.3">
      <c r="A205" s="5" t="s">
        <v>105</v>
      </c>
      <c r="B205" s="18">
        <v>57</v>
      </c>
      <c r="C205" s="6" t="s">
        <v>38</v>
      </c>
      <c r="D205" s="6" t="s">
        <v>51</v>
      </c>
      <c r="E205" s="6" t="s">
        <v>11</v>
      </c>
      <c r="F205" s="7" t="s">
        <v>900</v>
      </c>
      <c r="G205" s="6">
        <v>18</v>
      </c>
      <c r="H205" s="14">
        <v>335.28</v>
      </c>
      <c r="I205" s="8" t="s">
        <v>12</v>
      </c>
      <c r="J205" s="4" t="str" cm="1">
        <f t="array" ref="J205">_xlfn.IFS(Table3[[#This Row],[Age (Years)]] &lt; 40, "Young", Table3[[#This Row],[Age (Years)]] &gt;= 40, "Middle", Table3[[#This Row],[Age (Years)]] &gt; 60, "Senior")</f>
        <v>Middle</v>
      </c>
      <c r="K205" s="4" t="str" cm="1">
        <f t="array" ref="K205">_xlfn.IFS(Table3[[#This Row],[Drug_Cost_GBP]] &gt; 1200, "High Cost", Table3[[#This Row],[Drug_Cost_GBP]] &lt; 1200, "Normal")</f>
        <v>Normal</v>
      </c>
      <c r="L205" s="4" t="str" cm="1">
        <f t="array" ref="L205">IFERROR(_xlfn.IFS(Table3[[#This Row],[Age (Years)]]  &gt; 75, "YES", Table3[[#This Row],[Age (Years)]] &lt; 75, "NO"), "UNKNOWN")</f>
        <v>NO</v>
      </c>
      <c r="M205" s="4" t="str">
        <f>IF(Table3[[#This Row],[Drug_Cost_GBP]] &gt; Analysis_Sheet!$B$21, "Above Average", "Within Average")</f>
        <v>Within Average</v>
      </c>
      <c r="N205" s="39" t="str">
        <f t="shared" si="3"/>
        <v>Unknown</v>
      </c>
    </row>
    <row r="206" spans="1:14" x14ac:dyDescent="0.3">
      <c r="A206" s="1" t="s">
        <v>106</v>
      </c>
      <c r="B206" s="17">
        <v>57</v>
      </c>
      <c r="C206" s="2" t="s">
        <v>38</v>
      </c>
      <c r="D206" s="2" t="s">
        <v>19</v>
      </c>
      <c r="E206" s="2" t="s">
        <v>43</v>
      </c>
      <c r="F206" s="3">
        <v>45390</v>
      </c>
      <c r="G206" s="2">
        <v>7</v>
      </c>
      <c r="H206" s="13">
        <v>1002.0675517241378</v>
      </c>
      <c r="I206" s="4" t="s">
        <v>21</v>
      </c>
      <c r="J206" s="8" t="str" cm="1">
        <f t="array" ref="J206">_xlfn.IFS(Table3[[#This Row],[Age (Years)]] &lt; 40, "Young", Table3[[#This Row],[Age (Years)]] &gt;= 40, "Middle", Table3[[#This Row],[Age (Years)]] &gt; 60, "Senior")</f>
        <v>Middle</v>
      </c>
      <c r="K206" s="8" t="str" cm="1">
        <f t="array" ref="K206">_xlfn.IFS(Table3[[#This Row],[Drug_Cost_GBP]] &gt; 1200, "High Cost", Table3[[#This Row],[Drug_Cost_GBP]] &lt; 1200, "Normal")</f>
        <v>Normal</v>
      </c>
      <c r="L206" s="8" t="str" cm="1">
        <f t="array" ref="L206">IFERROR(_xlfn.IFS(Table3[[#This Row],[Age (Years)]]  &gt; 75, "YES", Table3[[#This Row],[Age (Years)]] &lt; 75, "NO"), "UNKNOWN")</f>
        <v>NO</v>
      </c>
      <c r="M206" s="8" t="str">
        <f>IF(Table3[[#This Row],[Drug_Cost_GBP]] &gt; Analysis_Sheet!$B$21, "Above Average", "Within Average")</f>
        <v>Within Average</v>
      </c>
      <c r="N206" s="39" t="str">
        <f t="shared" si="3"/>
        <v>April 2024</v>
      </c>
    </row>
    <row r="207" spans="1:14" x14ac:dyDescent="0.3">
      <c r="A207" s="5" t="s">
        <v>107</v>
      </c>
      <c r="B207" s="18">
        <v>57</v>
      </c>
      <c r="C207" s="6" t="s">
        <v>38</v>
      </c>
      <c r="D207" s="6" t="s">
        <v>10</v>
      </c>
      <c r="E207" s="6" t="s">
        <v>23</v>
      </c>
      <c r="F207" s="7">
        <v>45576</v>
      </c>
      <c r="G207" s="6">
        <v>12</v>
      </c>
      <c r="H207" s="14">
        <v>185.72</v>
      </c>
      <c r="I207" s="8" t="s">
        <v>21</v>
      </c>
      <c r="J207" s="8" t="str" cm="1">
        <f t="array" ref="J207">_xlfn.IFS(Table3[[#This Row],[Age (Years)]] &lt; 40, "Young", Table3[[#This Row],[Age (Years)]] &gt;= 40, "Middle", Table3[[#This Row],[Age (Years)]] &gt; 60, "Senior")</f>
        <v>Middle</v>
      </c>
      <c r="K207" s="8" t="str" cm="1">
        <f t="array" ref="K207">_xlfn.IFS(Table3[[#This Row],[Drug_Cost_GBP]] &gt; 1200, "High Cost", Table3[[#This Row],[Drug_Cost_GBP]] &lt; 1200, "Normal")</f>
        <v>Normal</v>
      </c>
      <c r="L207" s="8" t="str" cm="1">
        <f t="array" ref="L207">IFERROR(_xlfn.IFS(Table3[[#This Row],[Age (Years)]]  &gt; 75, "YES", Table3[[#This Row],[Age (Years)]] &lt; 75, "NO"), "UNKNOWN")</f>
        <v>NO</v>
      </c>
      <c r="M207" s="8" t="str">
        <f>IF(Table3[[#This Row],[Drug_Cost_GBP]] &gt; Analysis_Sheet!$B$21, "Above Average", "Within Average")</f>
        <v>Within Average</v>
      </c>
      <c r="N207" s="39" t="str">
        <f t="shared" si="3"/>
        <v>October 2024</v>
      </c>
    </row>
    <row r="208" spans="1:14" x14ac:dyDescent="0.3">
      <c r="A208" s="5" t="s">
        <v>109</v>
      </c>
      <c r="B208" s="18">
        <v>57</v>
      </c>
      <c r="C208" s="6" t="s">
        <v>38</v>
      </c>
      <c r="D208" s="6" t="s">
        <v>14</v>
      </c>
      <c r="E208" s="6" t="s">
        <v>43</v>
      </c>
      <c r="F208" s="7">
        <v>45444</v>
      </c>
      <c r="G208" s="6">
        <v>12</v>
      </c>
      <c r="H208" s="14">
        <v>210.37</v>
      </c>
      <c r="I208" s="8" t="s">
        <v>12</v>
      </c>
      <c r="J208" s="4" t="str" cm="1">
        <f t="array" ref="J208">_xlfn.IFS(Table3[[#This Row],[Age (Years)]] &lt; 40, "Young", Table3[[#This Row],[Age (Years)]] &gt;= 40, "Middle", Table3[[#This Row],[Age (Years)]] &gt; 60, "Senior")</f>
        <v>Middle</v>
      </c>
      <c r="K208" s="4" t="str" cm="1">
        <f t="array" ref="K208">_xlfn.IFS(Table3[[#This Row],[Drug_Cost_GBP]] &gt; 1200, "High Cost", Table3[[#This Row],[Drug_Cost_GBP]] &lt; 1200, "Normal")</f>
        <v>Normal</v>
      </c>
      <c r="L208" s="4" t="str" cm="1">
        <f t="array" ref="L208">IFERROR(_xlfn.IFS(Table3[[#This Row],[Age (Years)]]  &gt; 75, "YES", Table3[[#This Row],[Age (Years)]] &lt; 75, "NO"), "UNKNOWN")</f>
        <v>NO</v>
      </c>
      <c r="M208" s="4" t="str">
        <f>IF(Table3[[#This Row],[Drug_Cost_GBP]] &gt; Analysis_Sheet!$B$21, "Above Average", "Within Average")</f>
        <v>Within Average</v>
      </c>
      <c r="N208" s="39" t="str">
        <f t="shared" si="3"/>
        <v>June 2024</v>
      </c>
    </row>
    <row r="209" spans="1:14" x14ac:dyDescent="0.3">
      <c r="A209" s="1" t="s">
        <v>110</v>
      </c>
      <c r="B209" s="17">
        <v>57</v>
      </c>
      <c r="C209" s="2" t="s">
        <v>38</v>
      </c>
      <c r="D209" s="2" t="s">
        <v>14</v>
      </c>
      <c r="E209" s="2" t="s">
        <v>11</v>
      </c>
      <c r="F209" s="3">
        <v>45580</v>
      </c>
      <c r="G209" s="2">
        <v>12</v>
      </c>
      <c r="H209" s="13">
        <v>1660.69</v>
      </c>
      <c r="I209" s="4" t="s">
        <v>16</v>
      </c>
      <c r="J209" s="8" t="str" cm="1">
        <f t="array" ref="J209">_xlfn.IFS(Table3[[#This Row],[Age (Years)]] &lt; 40, "Young", Table3[[#This Row],[Age (Years)]] &gt;= 40, "Middle", Table3[[#This Row],[Age (Years)]] &gt; 60, "Senior")</f>
        <v>Middle</v>
      </c>
      <c r="K209" s="8" t="str" cm="1">
        <f t="array" ref="K209">_xlfn.IFS(Table3[[#This Row],[Drug_Cost_GBP]] &gt; 1200, "High Cost", Table3[[#This Row],[Drug_Cost_GBP]] &lt; 1200, "Normal")</f>
        <v>High Cost</v>
      </c>
      <c r="L209" s="8" t="str" cm="1">
        <f t="array" ref="L209">IFERROR(_xlfn.IFS(Table3[[#This Row],[Age (Years)]]  &gt; 75, "YES", Table3[[#This Row],[Age (Years)]] &lt; 75, "NO"), "UNKNOWN")</f>
        <v>NO</v>
      </c>
      <c r="M209" s="8" t="str">
        <f>IF(Table3[[#This Row],[Drug_Cost_GBP]] &gt; Analysis_Sheet!$B$21, "Above Average", "Within Average")</f>
        <v>Above Average</v>
      </c>
      <c r="N209" s="39" t="str">
        <f t="shared" si="3"/>
        <v>October 2024</v>
      </c>
    </row>
    <row r="210" spans="1:14" x14ac:dyDescent="0.3">
      <c r="A210" s="5" t="s">
        <v>111</v>
      </c>
      <c r="B210" s="18">
        <v>57</v>
      </c>
      <c r="C210" s="6" t="s">
        <v>38</v>
      </c>
      <c r="D210" s="6" t="s">
        <v>14</v>
      </c>
      <c r="E210" s="6" t="s">
        <v>11</v>
      </c>
      <c r="F210" s="7">
        <v>45384</v>
      </c>
      <c r="G210" s="6">
        <v>12</v>
      </c>
      <c r="H210" s="14">
        <v>1201.77</v>
      </c>
      <c r="I210" s="8" t="s">
        <v>26</v>
      </c>
      <c r="J210" s="4" t="str" cm="1">
        <f t="array" ref="J210">_xlfn.IFS(Table3[[#This Row],[Age (Years)]] &lt; 40, "Young", Table3[[#This Row],[Age (Years)]] &gt;= 40, "Middle", Table3[[#This Row],[Age (Years)]] &gt; 60, "Senior")</f>
        <v>Middle</v>
      </c>
      <c r="K210" s="4" t="str" cm="1">
        <f t="array" ref="K210">_xlfn.IFS(Table3[[#This Row],[Drug_Cost_GBP]] &gt; 1200, "High Cost", Table3[[#This Row],[Drug_Cost_GBP]] &lt; 1200, "Normal")</f>
        <v>High Cost</v>
      </c>
      <c r="L210" s="4" t="str" cm="1">
        <f t="array" ref="L210">IFERROR(_xlfn.IFS(Table3[[#This Row],[Age (Years)]]  &gt; 75, "YES", Table3[[#This Row],[Age (Years)]] &lt; 75, "NO"), "UNKNOWN")</f>
        <v>NO</v>
      </c>
      <c r="M210" s="4" t="str">
        <f>IF(Table3[[#This Row],[Drug_Cost_GBP]] &gt; Analysis_Sheet!$B$21, "Above Average", "Within Average")</f>
        <v>Above Average</v>
      </c>
      <c r="N210" s="39" t="str">
        <f t="shared" si="3"/>
        <v>April 2024</v>
      </c>
    </row>
    <row r="211" spans="1:14" x14ac:dyDescent="0.3">
      <c r="A211" s="1" t="s">
        <v>112</v>
      </c>
      <c r="B211" s="17">
        <v>57</v>
      </c>
      <c r="C211" s="2" t="s">
        <v>38</v>
      </c>
      <c r="D211" s="2" t="s">
        <v>10</v>
      </c>
      <c r="E211" s="2" t="s">
        <v>43</v>
      </c>
      <c r="F211" s="3">
        <v>45500</v>
      </c>
      <c r="G211" s="2">
        <v>12</v>
      </c>
      <c r="H211" s="13">
        <v>312.55</v>
      </c>
      <c r="I211" s="4" t="s">
        <v>900</v>
      </c>
      <c r="J211" s="8" t="str" cm="1">
        <f t="array" ref="J211">_xlfn.IFS(Table3[[#This Row],[Age (Years)]] &lt; 40, "Young", Table3[[#This Row],[Age (Years)]] &gt;= 40, "Middle", Table3[[#This Row],[Age (Years)]] &gt; 60, "Senior")</f>
        <v>Middle</v>
      </c>
      <c r="K211" s="8" t="str" cm="1">
        <f t="array" ref="K211">_xlfn.IFS(Table3[[#This Row],[Drug_Cost_GBP]] &gt; 1200, "High Cost", Table3[[#This Row],[Drug_Cost_GBP]] &lt; 1200, "Normal")</f>
        <v>Normal</v>
      </c>
      <c r="L211" s="8" t="str" cm="1">
        <f t="array" ref="L211">IFERROR(_xlfn.IFS(Table3[[#This Row],[Age (Years)]]  &gt; 75, "YES", Table3[[#This Row],[Age (Years)]] &lt; 75, "NO"), "UNKNOWN")</f>
        <v>NO</v>
      </c>
      <c r="M211" s="8" t="str">
        <f>IF(Table3[[#This Row],[Drug_Cost_GBP]] &gt; Analysis_Sheet!$B$21, "Above Average", "Within Average")</f>
        <v>Within Average</v>
      </c>
      <c r="N211" s="39" t="str">
        <f t="shared" si="3"/>
        <v>July 2024</v>
      </c>
    </row>
    <row r="212" spans="1:14" x14ac:dyDescent="0.3">
      <c r="A212" s="5" t="s">
        <v>113</v>
      </c>
      <c r="B212" s="18">
        <v>57</v>
      </c>
      <c r="C212" s="6" t="s">
        <v>899</v>
      </c>
      <c r="D212" s="6" t="s">
        <v>19</v>
      </c>
      <c r="E212" s="6" t="s">
        <v>43</v>
      </c>
      <c r="F212" s="7" t="s">
        <v>900</v>
      </c>
      <c r="G212" s="6">
        <v>11</v>
      </c>
      <c r="H212" s="14">
        <v>1002.0675517241378</v>
      </c>
      <c r="I212" s="8" t="s">
        <v>12</v>
      </c>
      <c r="J212" s="8" t="str" cm="1">
        <f t="array" ref="J212">_xlfn.IFS(Table3[[#This Row],[Age (Years)]] &lt; 40, "Young", Table3[[#This Row],[Age (Years)]] &gt;= 40, "Middle", Table3[[#This Row],[Age (Years)]] &gt; 60, "Senior")</f>
        <v>Middle</v>
      </c>
      <c r="K212" s="8" t="str" cm="1">
        <f t="array" ref="K212">_xlfn.IFS(Table3[[#This Row],[Drug_Cost_GBP]] &gt; 1200, "High Cost", Table3[[#This Row],[Drug_Cost_GBP]] &lt; 1200, "Normal")</f>
        <v>Normal</v>
      </c>
      <c r="L212" s="8" t="str" cm="1">
        <f t="array" ref="L212">IFERROR(_xlfn.IFS(Table3[[#This Row],[Age (Years)]]  &gt; 75, "YES", Table3[[#This Row],[Age (Years)]] &lt; 75, "NO"), "UNKNOWN")</f>
        <v>NO</v>
      </c>
      <c r="M212" s="8" t="str">
        <f>IF(Table3[[#This Row],[Drug_Cost_GBP]] &gt; Analysis_Sheet!$B$21, "Above Average", "Within Average")</f>
        <v>Within Average</v>
      </c>
      <c r="N212" s="39" t="str">
        <f t="shared" si="3"/>
        <v>Unknown</v>
      </c>
    </row>
    <row r="213" spans="1:14" x14ac:dyDescent="0.3">
      <c r="A213" s="5" t="s">
        <v>115</v>
      </c>
      <c r="B213" s="18">
        <v>57</v>
      </c>
      <c r="C213" s="6" t="s">
        <v>900</v>
      </c>
      <c r="D213" s="6" t="s">
        <v>25</v>
      </c>
      <c r="E213" s="6" t="s">
        <v>23</v>
      </c>
      <c r="F213" s="7">
        <v>45572</v>
      </c>
      <c r="G213" s="6">
        <v>12</v>
      </c>
      <c r="H213" s="14">
        <v>1002.0675517241378</v>
      </c>
      <c r="I213" s="8" t="s">
        <v>16</v>
      </c>
      <c r="J213" s="4" t="str" cm="1">
        <f t="array" ref="J213">_xlfn.IFS(Table3[[#This Row],[Age (Years)]] &lt; 40, "Young", Table3[[#This Row],[Age (Years)]] &gt;= 40, "Middle", Table3[[#This Row],[Age (Years)]] &gt; 60, "Senior")</f>
        <v>Middle</v>
      </c>
      <c r="K213" s="4" t="str" cm="1">
        <f t="array" ref="K213">_xlfn.IFS(Table3[[#This Row],[Drug_Cost_GBP]] &gt; 1200, "High Cost", Table3[[#This Row],[Drug_Cost_GBP]] &lt; 1200, "Normal")</f>
        <v>Normal</v>
      </c>
      <c r="L213" s="4" t="str" cm="1">
        <f t="array" ref="L213">IFERROR(_xlfn.IFS(Table3[[#This Row],[Age (Years)]]  &gt; 75, "YES", Table3[[#This Row],[Age (Years)]] &lt; 75, "NO"), "UNKNOWN")</f>
        <v>NO</v>
      </c>
      <c r="M213" s="4" t="str">
        <f>IF(Table3[[#This Row],[Drug_Cost_GBP]] &gt; Analysis_Sheet!$B$21, "Above Average", "Within Average")</f>
        <v>Within Average</v>
      </c>
      <c r="N213" s="39" t="str">
        <f t="shared" si="3"/>
        <v>October 2024</v>
      </c>
    </row>
    <row r="214" spans="1:14" x14ac:dyDescent="0.3">
      <c r="A214" s="1" t="s">
        <v>118</v>
      </c>
      <c r="B214" s="17">
        <v>57</v>
      </c>
      <c r="C214" s="2" t="s">
        <v>38</v>
      </c>
      <c r="D214" s="2" t="s">
        <v>900</v>
      </c>
      <c r="E214" s="2" t="s">
        <v>23</v>
      </c>
      <c r="F214" s="3">
        <v>45293</v>
      </c>
      <c r="G214" s="2">
        <v>12</v>
      </c>
      <c r="H214" s="13">
        <v>1002.0675517241378</v>
      </c>
      <c r="I214" s="4" t="s">
        <v>26</v>
      </c>
      <c r="J214" s="8" t="str" cm="1">
        <f t="array" ref="J214">_xlfn.IFS(Table3[[#This Row],[Age (Years)]] &lt; 40, "Young", Table3[[#This Row],[Age (Years)]] &gt;= 40, "Middle", Table3[[#This Row],[Age (Years)]] &gt; 60, "Senior")</f>
        <v>Middle</v>
      </c>
      <c r="K214" s="8" t="str" cm="1">
        <f t="array" ref="K214">_xlfn.IFS(Table3[[#This Row],[Drug_Cost_GBP]] &gt; 1200, "High Cost", Table3[[#This Row],[Drug_Cost_GBP]] &lt; 1200, "Normal")</f>
        <v>Normal</v>
      </c>
      <c r="L214" s="8" t="str" cm="1">
        <f t="array" ref="L214">IFERROR(_xlfn.IFS(Table3[[#This Row],[Age (Years)]]  &gt; 75, "YES", Table3[[#This Row],[Age (Years)]] &lt; 75, "NO"), "UNKNOWN")</f>
        <v>NO</v>
      </c>
      <c r="M214" s="8" t="str">
        <f>IF(Table3[[#This Row],[Drug_Cost_GBP]] &gt; Analysis_Sheet!$B$21, "Above Average", "Within Average")</f>
        <v>Within Average</v>
      </c>
      <c r="N214" s="39" t="str">
        <f t="shared" si="3"/>
        <v>January 2024</v>
      </c>
    </row>
    <row r="215" spans="1:14" x14ac:dyDescent="0.3">
      <c r="A215" s="5" t="s">
        <v>119</v>
      </c>
      <c r="B215" s="18">
        <v>57</v>
      </c>
      <c r="C215" s="6" t="s">
        <v>38</v>
      </c>
      <c r="D215" s="6" t="s">
        <v>898</v>
      </c>
      <c r="E215" s="6" t="s">
        <v>23</v>
      </c>
      <c r="F215" s="7">
        <v>45489</v>
      </c>
      <c r="G215" s="6">
        <v>13</v>
      </c>
      <c r="H215" s="14">
        <v>699.03</v>
      </c>
      <c r="I215" s="8" t="s">
        <v>21</v>
      </c>
      <c r="J215" s="4" t="str" cm="1">
        <f t="array" ref="J215">_xlfn.IFS(Table3[[#This Row],[Age (Years)]] &lt; 40, "Young", Table3[[#This Row],[Age (Years)]] &gt;= 40, "Middle", Table3[[#This Row],[Age (Years)]] &gt; 60, "Senior")</f>
        <v>Middle</v>
      </c>
      <c r="K215" s="4" t="str" cm="1">
        <f t="array" ref="K215">_xlfn.IFS(Table3[[#This Row],[Drug_Cost_GBP]] &gt; 1200, "High Cost", Table3[[#This Row],[Drug_Cost_GBP]] &lt; 1200, "Normal")</f>
        <v>Normal</v>
      </c>
      <c r="L215" s="4" t="str" cm="1">
        <f t="array" ref="L215">IFERROR(_xlfn.IFS(Table3[[#This Row],[Age (Years)]]  &gt; 75, "YES", Table3[[#This Row],[Age (Years)]] &lt; 75, "NO"), "UNKNOWN")</f>
        <v>NO</v>
      </c>
      <c r="M215" s="4" t="str">
        <f>IF(Table3[[#This Row],[Drug_Cost_GBP]] &gt; Analysis_Sheet!$B$21, "Above Average", "Within Average")</f>
        <v>Within Average</v>
      </c>
      <c r="N215" s="39" t="str">
        <f t="shared" si="3"/>
        <v>July 2024</v>
      </c>
    </row>
    <row r="216" spans="1:14" x14ac:dyDescent="0.3">
      <c r="A216" s="1" t="s">
        <v>120</v>
      </c>
      <c r="B216" s="17">
        <v>57</v>
      </c>
      <c r="C216" s="2" t="s">
        <v>900</v>
      </c>
      <c r="D216" s="2" t="s">
        <v>48</v>
      </c>
      <c r="E216" s="2" t="s">
        <v>34</v>
      </c>
      <c r="F216" s="3">
        <v>45635</v>
      </c>
      <c r="G216" s="2">
        <v>12</v>
      </c>
      <c r="H216" s="13">
        <v>1002.0675517241378</v>
      </c>
      <c r="I216" s="4" t="s">
        <v>26</v>
      </c>
      <c r="J216" s="8" t="str" cm="1">
        <f t="array" ref="J216">_xlfn.IFS(Table3[[#This Row],[Age (Years)]] &lt; 40, "Young", Table3[[#This Row],[Age (Years)]] &gt;= 40, "Middle", Table3[[#This Row],[Age (Years)]] &gt; 60, "Senior")</f>
        <v>Middle</v>
      </c>
      <c r="K216" s="8" t="str" cm="1">
        <f t="array" ref="K216">_xlfn.IFS(Table3[[#This Row],[Drug_Cost_GBP]] &gt; 1200, "High Cost", Table3[[#This Row],[Drug_Cost_GBP]] &lt; 1200, "Normal")</f>
        <v>Normal</v>
      </c>
      <c r="L216" s="8" t="str" cm="1">
        <f t="array" ref="L216">IFERROR(_xlfn.IFS(Table3[[#This Row],[Age (Years)]]  &gt; 75, "YES", Table3[[#This Row],[Age (Years)]] &lt; 75, "NO"), "UNKNOWN")</f>
        <v>NO</v>
      </c>
      <c r="M216" s="8" t="str">
        <f>IF(Table3[[#This Row],[Drug_Cost_GBP]] &gt; Analysis_Sheet!$B$21, "Above Average", "Within Average")</f>
        <v>Within Average</v>
      </c>
      <c r="N216" s="39" t="str">
        <f t="shared" si="3"/>
        <v>December 2024</v>
      </c>
    </row>
    <row r="217" spans="1:14" x14ac:dyDescent="0.3">
      <c r="A217" s="5" t="s">
        <v>121</v>
      </c>
      <c r="B217" s="18">
        <v>57</v>
      </c>
      <c r="C217" s="6" t="s">
        <v>900</v>
      </c>
      <c r="D217" s="6" t="s">
        <v>900</v>
      </c>
      <c r="E217" s="6" t="s">
        <v>29</v>
      </c>
      <c r="F217" s="7">
        <v>45645</v>
      </c>
      <c r="G217" s="6">
        <v>12</v>
      </c>
      <c r="H217" s="14">
        <v>1002.0675517241378</v>
      </c>
      <c r="I217" s="8" t="s">
        <v>21</v>
      </c>
      <c r="J217" s="4" t="str" cm="1">
        <f t="array" ref="J217">_xlfn.IFS(Table3[[#This Row],[Age (Years)]] &lt; 40, "Young", Table3[[#This Row],[Age (Years)]] &gt;= 40, "Middle", Table3[[#This Row],[Age (Years)]] &gt; 60, "Senior")</f>
        <v>Middle</v>
      </c>
      <c r="K217" s="4" t="str" cm="1">
        <f t="array" ref="K217">_xlfn.IFS(Table3[[#This Row],[Drug_Cost_GBP]] &gt; 1200, "High Cost", Table3[[#This Row],[Drug_Cost_GBP]] &lt; 1200, "Normal")</f>
        <v>Normal</v>
      </c>
      <c r="L217" s="4" t="str" cm="1">
        <f t="array" ref="L217">IFERROR(_xlfn.IFS(Table3[[#This Row],[Age (Years)]]  &gt; 75, "YES", Table3[[#This Row],[Age (Years)]] &lt; 75, "NO"), "UNKNOWN")</f>
        <v>NO</v>
      </c>
      <c r="M217" s="4" t="str">
        <f>IF(Table3[[#This Row],[Drug_Cost_GBP]] &gt; Analysis_Sheet!$B$21, "Above Average", "Within Average")</f>
        <v>Within Average</v>
      </c>
      <c r="N217" s="39" t="str">
        <f t="shared" si="3"/>
        <v>December 2024</v>
      </c>
    </row>
    <row r="218" spans="1:14" x14ac:dyDescent="0.3">
      <c r="A218" s="1" t="s">
        <v>122</v>
      </c>
      <c r="B218" s="17">
        <v>57</v>
      </c>
      <c r="C218" s="2" t="s">
        <v>899</v>
      </c>
      <c r="D218" s="2" t="s">
        <v>14</v>
      </c>
      <c r="E218" s="2" t="s">
        <v>57</v>
      </c>
      <c r="F218" s="3" t="s">
        <v>900</v>
      </c>
      <c r="G218" s="2">
        <v>12</v>
      </c>
      <c r="H218" s="13">
        <v>1002.0675517241378</v>
      </c>
      <c r="I218" s="4" t="s">
        <v>26</v>
      </c>
      <c r="J218" s="8" t="str" cm="1">
        <f t="array" ref="J218">_xlfn.IFS(Table3[[#This Row],[Age (Years)]] &lt; 40, "Young", Table3[[#This Row],[Age (Years)]] &gt;= 40, "Middle", Table3[[#This Row],[Age (Years)]] &gt; 60, "Senior")</f>
        <v>Middle</v>
      </c>
      <c r="K218" s="8" t="str" cm="1">
        <f t="array" ref="K218">_xlfn.IFS(Table3[[#This Row],[Drug_Cost_GBP]] &gt; 1200, "High Cost", Table3[[#This Row],[Drug_Cost_GBP]] &lt; 1200, "Normal")</f>
        <v>Normal</v>
      </c>
      <c r="L218" s="8" t="str" cm="1">
        <f t="array" ref="L218">IFERROR(_xlfn.IFS(Table3[[#This Row],[Age (Years)]]  &gt; 75, "YES", Table3[[#This Row],[Age (Years)]] &lt; 75, "NO"), "UNKNOWN")</f>
        <v>NO</v>
      </c>
      <c r="M218" s="8" t="str">
        <f>IF(Table3[[#This Row],[Drug_Cost_GBP]] &gt; Analysis_Sheet!$B$21, "Above Average", "Within Average")</f>
        <v>Within Average</v>
      </c>
      <c r="N218" s="39" t="str">
        <f t="shared" si="3"/>
        <v>Unknown</v>
      </c>
    </row>
    <row r="219" spans="1:14" x14ac:dyDescent="0.3">
      <c r="A219" s="5" t="s">
        <v>123</v>
      </c>
      <c r="B219" s="18">
        <v>57</v>
      </c>
      <c r="C219" s="6" t="s">
        <v>900</v>
      </c>
      <c r="D219" s="6" t="s">
        <v>19</v>
      </c>
      <c r="E219" s="6" t="s">
        <v>29</v>
      </c>
      <c r="F219" s="7">
        <v>45416</v>
      </c>
      <c r="G219" s="6">
        <v>12</v>
      </c>
      <c r="H219" s="14">
        <v>1002.0675517241378</v>
      </c>
      <c r="I219" s="8" t="s">
        <v>21</v>
      </c>
      <c r="J219" s="4" t="str" cm="1">
        <f t="array" ref="J219">_xlfn.IFS(Table3[[#This Row],[Age (Years)]] &lt; 40, "Young", Table3[[#This Row],[Age (Years)]] &gt;= 40, "Middle", Table3[[#This Row],[Age (Years)]] &gt; 60, "Senior")</f>
        <v>Middle</v>
      </c>
      <c r="K219" s="4" t="str" cm="1">
        <f t="array" ref="K219">_xlfn.IFS(Table3[[#This Row],[Drug_Cost_GBP]] &gt; 1200, "High Cost", Table3[[#This Row],[Drug_Cost_GBP]] &lt; 1200, "Normal")</f>
        <v>Normal</v>
      </c>
      <c r="L219" s="4" t="str" cm="1">
        <f t="array" ref="L219">IFERROR(_xlfn.IFS(Table3[[#This Row],[Age (Years)]]  &gt; 75, "YES", Table3[[#This Row],[Age (Years)]] &lt; 75, "NO"), "UNKNOWN")</f>
        <v>NO</v>
      </c>
      <c r="M219" s="4" t="str">
        <f>IF(Table3[[#This Row],[Drug_Cost_GBP]] &gt; Analysis_Sheet!$B$21, "Above Average", "Within Average")</f>
        <v>Within Average</v>
      </c>
      <c r="N219" s="39" t="str">
        <f t="shared" si="3"/>
        <v>May 2024</v>
      </c>
    </row>
    <row r="220" spans="1:14" x14ac:dyDescent="0.3">
      <c r="A220" s="1" t="s">
        <v>124</v>
      </c>
      <c r="B220" s="17">
        <v>57</v>
      </c>
      <c r="C220" s="2" t="s">
        <v>900</v>
      </c>
      <c r="D220" s="2" t="s">
        <v>14</v>
      </c>
      <c r="E220" s="2" t="s">
        <v>23</v>
      </c>
      <c r="F220" s="3" t="s">
        <v>900</v>
      </c>
      <c r="G220" s="2">
        <v>12</v>
      </c>
      <c r="H220" s="13">
        <v>1618.3</v>
      </c>
      <c r="I220" s="4" t="s">
        <v>16</v>
      </c>
      <c r="J220" s="8" t="str" cm="1">
        <f t="array" ref="J220">_xlfn.IFS(Table3[[#This Row],[Age (Years)]] &lt; 40, "Young", Table3[[#This Row],[Age (Years)]] &gt;= 40, "Middle", Table3[[#This Row],[Age (Years)]] &gt; 60, "Senior")</f>
        <v>Middle</v>
      </c>
      <c r="K220" s="8" t="str" cm="1">
        <f t="array" ref="K220">_xlfn.IFS(Table3[[#This Row],[Drug_Cost_GBP]] &gt; 1200, "High Cost", Table3[[#This Row],[Drug_Cost_GBP]] &lt; 1200, "Normal")</f>
        <v>High Cost</v>
      </c>
      <c r="L220" s="8" t="str" cm="1">
        <f t="array" ref="L220">IFERROR(_xlfn.IFS(Table3[[#This Row],[Age (Years)]]  &gt; 75, "YES", Table3[[#This Row],[Age (Years)]] &lt; 75, "NO"), "UNKNOWN")</f>
        <v>NO</v>
      </c>
      <c r="M220" s="8" t="str">
        <f>IF(Table3[[#This Row],[Drug_Cost_GBP]] &gt; Analysis_Sheet!$B$21, "Above Average", "Within Average")</f>
        <v>Above Average</v>
      </c>
      <c r="N220" s="39" t="str">
        <f t="shared" si="3"/>
        <v>Unknown</v>
      </c>
    </row>
    <row r="221" spans="1:14" x14ac:dyDescent="0.3">
      <c r="A221" s="5" t="s">
        <v>125</v>
      </c>
      <c r="B221" s="18">
        <v>57</v>
      </c>
      <c r="C221" s="6" t="s">
        <v>899</v>
      </c>
      <c r="D221" s="6" t="s">
        <v>898</v>
      </c>
      <c r="E221" s="6" t="s">
        <v>11</v>
      </c>
      <c r="F221" s="7" t="s">
        <v>900</v>
      </c>
      <c r="G221" s="6">
        <v>15</v>
      </c>
      <c r="H221" s="14">
        <v>1002.0675517241378</v>
      </c>
      <c r="I221" s="8" t="s">
        <v>26</v>
      </c>
      <c r="J221" s="8" t="str" cm="1">
        <f t="array" ref="J221">_xlfn.IFS(Table3[[#This Row],[Age (Years)]] &lt; 40, "Young", Table3[[#This Row],[Age (Years)]] &gt;= 40, "Middle", Table3[[#This Row],[Age (Years)]] &gt; 60, "Senior")</f>
        <v>Middle</v>
      </c>
      <c r="K221" s="8" t="str" cm="1">
        <f t="array" ref="K221">_xlfn.IFS(Table3[[#This Row],[Drug_Cost_GBP]] &gt; 1200, "High Cost", Table3[[#This Row],[Drug_Cost_GBP]] &lt; 1200, "Normal")</f>
        <v>Normal</v>
      </c>
      <c r="L221" s="8" t="str" cm="1">
        <f t="array" ref="L221">IFERROR(_xlfn.IFS(Table3[[#This Row],[Age (Years)]]  &gt; 75, "YES", Table3[[#This Row],[Age (Years)]] &lt; 75, "NO"), "UNKNOWN")</f>
        <v>NO</v>
      </c>
      <c r="M221" s="8" t="str">
        <f>IF(Table3[[#This Row],[Drug_Cost_GBP]] &gt; Analysis_Sheet!$B$21, "Above Average", "Within Average")</f>
        <v>Within Average</v>
      </c>
      <c r="N221" s="39" t="str">
        <f t="shared" si="3"/>
        <v>Unknown</v>
      </c>
    </row>
    <row r="222" spans="1:14" x14ac:dyDescent="0.3">
      <c r="A222" s="5" t="s">
        <v>129</v>
      </c>
      <c r="B222" s="18">
        <v>57</v>
      </c>
      <c r="C222" s="6" t="s">
        <v>38</v>
      </c>
      <c r="D222" s="6" t="s">
        <v>19</v>
      </c>
      <c r="E222" s="6" t="s">
        <v>11</v>
      </c>
      <c r="F222" s="7">
        <v>45463</v>
      </c>
      <c r="G222" s="6">
        <v>3</v>
      </c>
      <c r="H222" s="14">
        <v>1002.0675517241378</v>
      </c>
      <c r="I222" s="8" t="s">
        <v>900</v>
      </c>
      <c r="J222" s="4" t="str" cm="1">
        <f t="array" ref="J222">_xlfn.IFS(Table3[[#This Row],[Age (Years)]] &lt; 40, "Young", Table3[[#This Row],[Age (Years)]] &gt;= 40, "Middle", Table3[[#This Row],[Age (Years)]] &gt; 60, "Senior")</f>
        <v>Middle</v>
      </c>
      <c r="K222" s="4" t="str" cm="1">
        <f t="array" ref="K222">_xlfn.IFS(Table3[[#This Row],[Drug_Cost_GBP]] &gt; 1200, "High Cost", Table3[[#This Row],[Drug_Cost_GBP]] &lt; 1200, "Normal")</f>
        <v>Normal</v>
      </c>
      <c r="L222" s="4" t="str" cm="1">
        <f t="array" ref="L222">IFERROR(_xlfn.IFS(Table3[[#This Row],[Age (Years)]]  &gt; 75, "YES", Table3[[#This Row],[Age (Years)]] &lt; 75, "NO"), "UNKNOWN")</f>
        <v>NO</v>
      </c>
      <c r="M222" s="4" t="str">
        <f>IF(Table3[[#This Row],[Drug_Cost_GBP]] &gt; Analysis_Sheet!$B$21, "Above Average", "Within Average")</f>
        <v>Within Average</v>
      </c>
      <c r="N222" s="39" t="str">
        <f t="shared" si="3"/>
        <v>June 2024</v>
      </c>
    </row>
    <row r="223" spans="1:14" x14ac:dyDescent="0.3">
      <c r="A223" s="1" t="s">
        <v>130</v>
      </c>
      <c r="B223" s="17">
        <v>57</v>
      </c>
      <c r="C223" s="2" t="s">
        <v>38</v>
      </c>
      <c r="D223" s="2" t="s">
        <v>19</v>
      </c>
      <c r="E223" s="2" t="s">
        <v>11</v>
      </c>
      <c r="F223" s="3">
        <v>45632</v>
      </c>
      <c r="G223" s="2">
        <v>12</v>
      </c>
      <c r="H223" s="13">
        <v>1067.8399999999999</v>
      </c>
      <c r="I223" s="4" t="s">
        <v>12</v>
      </c>
      <c r="J223" s="8" t="str" cm="1">
        <f t="array" ref="J223">_xlfn.IFS(Table3[[#This Row],[Age (Years)]] &lt; 40, "Young", Table3[[#This Row],[Age (Years)]] &gt;= 40, "Middle", Table3[[#This Row],[Age (Years)]] &gt; 60, "Senior")</f>
        <v>Middle</v>
      </c>
      <c r="K223" s="8" t="str" cm="1">
        <f t="array" ref="K223">_xlfn.IFS(Table3[[#This Row],[Drug_Cost_GBP]] &gt; 1200, "High Cost", Table3[[#This Row],[Drug_Cost_GBP]] &lt; 1200, "Normal")</f>
        <v>Normal</v>
      </c>
      <c r="L223" s="8" t="str" cm="1">
        <f t="array" ref="L223">IFERROR(_xlfn.IFS(Table3[[#This Row],[Age (Years)]]  &gt; 75, "YES", Table3[[#This Row],[Age (Years)]] &lt; 75, "NO"), "UNKNOWN")</f>
        <v>NO</v>
      </c>
      <c r="M223" s="8" t="str">
        <f>IF(Table3[[#This Row],[Drug_Cost_GBP]] &gt; Analysis_Sheet!$B$21, "Above Average", "Within Average")</f>
        <v>Above Average</v>
      </c>
      <c r="N223" s="39" t="str">
        <f t="shared" si="3"/>
        <v>December 2024</v>
      </c>
    </row>
    <row r="224" spans="1:14" x14ac:dyDescent="0.3">
      <c r="A224" s="5" t="s">
        <v>131</v>
      </c>
      <c r="B224" s="18">
        <v>57</v>
      </c>
      <c r="C224" s="6" t="s">
        <v>899</v>
      </c>
      <c r="D224" s="6" t="s">
        <v>14</v>
      </c>
      <c r="E224" s="6" t="s">
        <v>34</v>
      </c>
      <c r="F224" s="7">
        <v>45359</v>
      </c>
      <c r="G224" s="6">
        <v>12</v>
      </c>
      <c r="H224" s="14">
        <v>1837.64</v>
      </c>
      <c r="I224" s="8" t="s">
        <v>26</v>
      </c>
      <c r="J224" s="8" t="str" cm="1">
        <f t="array" ref="J224">_xlfn.IFS(Table3[[#This Row],[Age (Years)]] &lt; 40, "Young", Table3[[#This Row],[Age (Years)]] &gt;= 40, "Middle", Table3[[#This Row],[Age (Years)]] &gt; 60, "Senior")</f>
        <v>Middle</v>
      </c>
      <c r="K224" s="8" t="str" cm="1">
        <f t="array" ref="K224">_xlfn.IFS(Table3[[#This Row],[Drug_Cost_GBP]] &gt; 1200, "High Cost", Table3[[#This Row],[Drug_Cost_GBP]] &lt; 1200, "Normal")</f>
        <v>High Cost</v>
      </c>
      <c r="L224" s="8" t="str" cm="1">
        <f t="array" ref="L224">IFERROR(_xlfn.IFS(Table3[[#This Row],[Age (Years)]]  &gt; 75, "YES", Table3[[#This Row],[Age (Years)]] &lt; 75, "NO"), "UNKNOWN")</f>
        <v>NO</v>
      </c>
      <c r="M224" s="8" t="str">
        <f>IF(Table3[[#This Row],[Drug_Cost_GBP]] &gt; Analysis_Sheet!$B$21, "Above Average", "Within Average")</f>
        <v>Above Average</v>
      </c>
      <c r="N224" s="39" t="str">
        <f t="shared" si="3"/>
        <v>March 2024</v>
      </c>
    </row>
    <row r="225" spans="1:14" x14ac:dyDescent="0.3">
      <c r="A225" s="5" t="s">
        <v>133</v>
      </c>
      <c r="B225" s="18">
        <v>57</v>
      </c>
      <c r="C225" s="6" t="s">
        <v>38</v>
      </c>
      <c r="D225" s="6" t="s">
        <v>14</v>
      </c>
      <c r="E225" s="6" t="s">
        <v>43</v>
      </c>
      <c r="F225" s="7">
        <v>45610</v>
      </c>
      <c r="G225" s="6">
        <v>13</v>
      </c>
      <c r="H225" s="14">
        <v>1002.0675517241378</v>
      </c>
      <c r="I225" s="8" t="s">
        <v>26</v>
      </c>
      <c r="J225" s="4" t="str" cm="1">
        <f t="array" ref="J225">_xlfn.IFS(Table3[[#This Row],[Age (Years)]] &lt; 40, "Young", Table3[[#This Row],[Age (Years)]] &gt;= 40, "Middle", Table3[[#This Row],[Age (Years)]] &gt; 60, "Senior")</f>
        <v>Middle</v>
      </c>
      <c r="K225" s="4" t="str" cm="1">
        <f t="array" ref="K225">_xlfn.IFS(Table3[[#This Row],[Drug_Cost_GBP]] &gt; 1200, "High Cost", Table3[[#This Row],[Drug_Cost_GBP]] &lt; 1200, "Normal")</f>
        <v>Normal</v>
      </c>
      <c r="L225" s="4" t="str" cm="1">
        <f t="array" ref="L225">IFERROR(_xlfn.IFS(Table3[[#This Row],[Age (Years)]]  &gt; 75, "YES", Table3[[#This Row],[Age (Years)]] &lt; 75, "NO"), "UNKNOWN")</f>
        <v>NO</v>
      </c>
      <c r="M225" s="4" t="str">
        <f>IF(Table3[[#This Row],[Drug_Cost_GBP]] &gt; Analysis_Sheet!$B$21, "Above Average", "Within Average")</f>
        <v>Within Average</v>
      </c>
      <c r="N225" s="39" t="str">
        <f t="shared" si="3"/>
        <v>November 2024</v>
      </c>
    </row>
    <row r="226" spans="1:14" x14ac:dyDescent="0.3">
      <c r="A226" s="1" t="s">
        <v>134</v>
      </c>
      <c r="B226" s="17">
        <v>57</v>
      </c>
      <c r="C226" s="2" t="s">
        <v>38</v>
      </c>
      <c r="D226" s="2" t="s">
        <v>51</v>
      </c>
      <c r="E226" s="2" t="s">
        <v>23</v>
      </c>
      <c r="F226" s="3">
        <v>45308</v>
      </c>
      <c r="G226" s="2">
        <v>12</v>
      </c>
      <c r="H226" s="13">
        <v>1002.0675517241378</v>
      </c>
      <c r="I226" s="4" t="s">
        <v>16</v>
      </c>
      <c r="J226" s="8" t="str" cm="1">
        <f t="array" ref="J226">_xlfn.IFS(Table3[[#This Row],[Age (Years)]] &lt; 40, "Young", Table3[[#This Row],[Age (Years)]] &gt;= 40, "Middle", Table3[[#This Row],[Age (Years)]] &gt; 60, "Senior")</f>
        <v>Middle</v>
      </c>
      <c r="K226" s="8" t="str" cm="1">
        <f t="array" ref="K226">_xlfn.IFS(Table3[[#This Row],[Drug_Cost_GBP]] &gt; 1200, "High Cost", Table3[[#This Row],[Drug_Cost_GBP]] &lt; 1200, "Normal")</f>
        <v>Normal</v>
      </c>
      <c r="L226" s="8" t="str" cm="1">
        <f t="array" ref="L226">IFERROR(_xlfn.IFS(Table3[[#This Row],[Age (Years)]]  &gt; 75, "YES", Table3[[#This Row],[Age (Years)]] &lt; 75, "NO"), "UNKNOWN")</f>
        <v>NO</v>
      </c>
      <c r="M226" s="8" t="str">
        <f>IF(Table3[[#This Row],[Drug_Cost_GBP]] &gt; Analysis_Sheet!$B$21, "Above Average", "Within Average")</f>
        <v>Within Average</v>
      </c>
      <c r="N226" s="39" t="str">
        <f t="shared" si="3"/>
        <v>January 2024</v>
      </c>
    </row>
    <row r="227" spans="1:14" x14ac:dyDescent="0.3">
      <c r="A227" s="5" t="s">
        <v>135</v>
      </c>
      <c r="B227" s="18">
        <v>57</v>
      </c>
      <c r="C227" s="6" t="s">
        <v>38</v>
      </c>
      <c r="D227" s="6" t="s">
        <v>900</v>
      </c>
      <c r="E227" s="6" t="s">
        <v>57</v>
      </c>
      <c r="F227" s="7">
        <v>45634</v>
      </c>
      <c r="G227" s="6">
        <v>12</v>
      </c>
      <c r="H227" s="14">
        <v>1590.62</v>
      </c>
      <c r="I227" s="8" t="s">
        <v>900</v>
      </c>
      <c r="J227" s="8" t="str" cm="1">
        <f t="array" ref="J227">_xlfn.IFS(Table3[[#This Row],[Age (Years)]] &lt; 40, "Young", Table3[[#This Row],[Age (Years)]] &gt;= 40, "Middle", Table3[[#This Row],[Age (Years)]] &gt; 60, "Senior")</f>
        <v>Middle</v>
      </c>
      <c r="K227" s="8" t="str" cm="1">
        <f t="array" ref="K227">_xlfn.IFS(Table3[[#This Row],[Drug_Cost_GBP]] &gt; 1200, "High Cost", Table3[[#This Row],[Drug_Cost_GBP]] &lt; 1200, "Normal")</f>
        <v>High Cost</v>
      </c>
      <c r="L227" s="8" t="str" cm="1">
        <f t="array" ref="L227">IFERROR(_xlfn.IFS(Table3[[#This Row],[Age (Years)]]  &gt; 75, "YES", Table3[[#This Row],[Age (Years)]] &lt; 75, "NO"), "UNKNOWN")</f>
        <v>NO</v>
      </c>
      <c r="M227" s="8" t="str">
        <f>IF(Table3[[#This Row],[Drug_Cost_GBP]] &gt; Analysis_Sheet!$B$21, "Above Average", "Within Average")</f>
        <v>Above Average</v>
      </c>
      <c r="N227" s="39" t="str">
        <f t="shared" si="3"/>
        <v>December 2024</v>
      </c>
    </row>
    <row r="228" spans="1:14" x14ac:dyDescent="0.3">
      <c r="A228" s="5" t="s">
        <v>137</v>
      </c>
      <c r="B228" s="18">
        <v>57</v>
      </c>
      <c r="C228" s="6" t="s">
        <v>899</v>
      </c>
      <c r="D228" s="6" t="s">
        <v>51</v>
      </c>
      <c r="E228" s="6" t="s">
        <v>57</v>
      </c>
      <c r="F228" s="7">
        <v>45603</v>
      </c>
      <c r="G228" s="6">
        <v>12</v>
      </c>
      <c r="H228" s="14">
        <v>1457.35</v>
      </c>
      <c r="I228" s="8" t="s">
        <v>21</v>
      </c>
      <c r="J228" s="8" t="str" cm="1">
        <f t="array" ref="J228">_xlfn.IFS(Table3[[#This Row],[Age (Years)]] &lt; 40, "Young", Table3[[#This Row],[Age (Years)]] &gt;= 40, "Middle", Table3[[#This Row],[Age (Years)]] &gt; 60, "Senior")</f>
        <v>Middle</v>
      </c>
      <c r="K228" s="8" t="str" cm="1">
        <f t="array" ref="K228">_xlfn.IFS(Table3[[#This Row],[Drug_Cost_GBP]] &gt; 1200, "High Cost", Table3[[#This Row],[Drug_Cost_GBP]] &lt; 1200, "Normal")</f>
        <v>High Cost</v>
      </c>
      <c r="L228" s="8" t="str" cm="1">
        <f t="array" ref="L228">IFERROR(_xlfn.IFS(Table3[[#This Row],[Age (Years)]]  &gt; 75, "YES", Table3[[#This Row],[Age (Years)]] &lt; 75, "NO"), "UNKNOWN")</f>
        <v>NO</v>
      </c>
      <c r="M228" s="8" t="str">
        <f>IF(Table3[[#This Row],[Drug_Cost_GBP]] &gt; Analysis_Sheet!$B$21, "Above Average", "Within Average")</f>
        <v>Above Average</v>
      </c>
      <c r="N228" s="39" t="str">
        <f t="shared" si="3"/>
        <v>November 2024</v>
      </c>
    </row>
    <row r="229" spans="1:14" x14ac:dyDescent="0.3">
      <c r="A229" s="5" t="s">
        <v>139</v>
      </c>
      <c r="B229" s="18">
        <v>57</v>
      </c>
      <c r="C229" s="6" t="s">
        <v>899</v>
      </c>
      <c r="D229" s="6" t="s">
        <v>25</v>
      </c>
      <c r="E229" s="6" t="s">
        <v>23</v>
      </c>
      <c r="F229" s="7" t="s">
        <v>900</v>
      </c>
      <c r="G229" s="6">
        <v>12</v>
      </c>
      <c r="H229" s="14">
        <v>1002.0675517241378</v>
      </c>
      <c r="I229" s="8" t="s">
        <v>900</v>
      </c>
      <c r="J229" s="4" t="str" cm="1">
        <f t="array" ref="J229">_xlfn.IFS(Table3[[#This Row],[Age (Years)]] &lt; 40, "Young", Table3[[#This Row],[Age (Years)]] &gt;= 40, "Middle", Table3[[#This Row],[Age (Years)]] &gt; 60, "Senior")</f>
        <v>Middle</v>
      </c>
      <c r="K229" s="4" t="str" cm="1">
        <f t="array" ref="K229">_xlfn.IFS(Table3[[#This Row],[Drug_Cost_GBP]] &gt; 1200, "High Cost", Table3[[#This Row],[Drug_Cost_GBP]] &lt; 1200, "Normal")</f>
        <v>Normal</v>
      </c>
      <c r="L229" s="4" t="str" cm="1">
        <f t="array" ref="L229">IFERROR(_xlfn.IFS(Table3[[#This Row],[Age (Years)]]  &gt; 75, "YES", Table3[[#This Row],[Age (Years)]] &lt; 75, "NO"), "UNKNOWN")</f>
        <v>NO</v>
      </c>
      <c r="M229" s="4" t="str">
        <f>IF(Table3[[#This Row],[Drug_Cost_GBP]] &gt; Analysis_Sheet!$B$21, "Above Average", "Within Average")</f>
        <v>Within Average</v>
      </c>
      <c r="N229" s="39" t="str">
        <f t="shared" si="3"/>
        <v>Unknown</v>
      </c>
    </row>
    <row r="230" spans="1:14" x14ac:dyDescent="0.3">
      <c r="A230" s="1" t="s">
        <v>140</v>
      </c>
      <c r="B230" s="17">
        <v>57</v>
      </c>
      <c r="C230" s="2" t="s">
        <v>38</v>
      </c>
      <c r="D230" s="2" t="s">
        <v>48</v>
      </c>
      <c r="E230" s="2" t="s">
        <v>11</v>
      </c>
      <c r="F230" s="3" t="s">
        <v>900</v>
      </c>
      <c r="G230" s="2">
        <v>12</v>
      </c>
      <c r="H230" s="13">
        <v>1500.08</v>
      </c>
      <c r="I230" s="4" t="s">
        <v>900</v>
      </c>
      <c r="J230" s="4" t="str" cm="1">
        <f t="array" ref="J230">_xlfn.IFS(Table3[[#This Row],[Age (Years)]] &lt; 40, "Young", Table3[[#This Row],[Age (Years)]] &gt;= 40, "Middle", Table3[[#This Row],[Age (Years)]] &gt; 60, "Senior")</f>
        <v>Middle</v>
      </c>
      <c r="K230" s="4" t="str" cm="1">
        <f t="array" ref="K230">_xlfn.IFS(Table3[[#This Row],[Drug_Cost_GBP]] &gt; 1200, "High Cost", Table3[[#This Row],[Drug_Cost_GBP]] &lt; 1200, "Normal")</f>
        <v>High Cost</v>
      </c>
      <c r="L230" s="4" t="str" cm="1">
        <f t="array" ref="L230">IFERROR(_xlfn.IFS(Table3[[#This Row],[Age (Years)]]  &gt; 75, "YES", Table3[[#This Row],[Age (Years)]] &lt; 75, "NO"), "UNKNOWN")</f>
        <v>NO</v>
      </c>
      <c r="M230" s="4" t="str">
        <f>IF(Table3[[#This Row],[Drug_Cost_GBP]] &gt; Analysis_Sheet!$B$21, "Above Average", "Within Average")</f>
        <v>Above Average</v>
      </c>
      <c r="N230" s="39" t="str">
        <f t="shared" si="3"/>
        <v>Unknown</v>
      </c>
    </row>
    <row r="231" spans="1:14" x14ac:dyDescent="0.3">
      <c r="A231" s="1" t="s">
        <v>142</v>
      </c>
      <c r="B231" s="17">
        <v>57</v>
      </c>
      <c r="C231" s="2" t="s">
        <v>899</v>
      </c>
      <c r="D231" s="2" t="s">
        <v>10</v>
      </c>
      <c r="E231" s="2" t="s">
        <v>43</v>
      </c>
      <c r="F231" s="3">
        <v>45418</v>
      </c>
      <c r="G231" s="2">
        <v>12</v>
      </c>
      <c r="H231" s="13">
        <v>439.14</v>
      </c>
      <c r="I231" s="4" t="s">
        <v>16</v>
      </c>
      <c r="J231" s="8" t="str" cm="1">
        <f t="array" ref="J231">_xlfn.IFS(Table3[[#This Row],[Age (Years)]] &lt; 40, "Young", Table3[[#This Row],[Age (Years)]] &gt;= 40, "Middle", Table3[[#This Row],[Age (Years)]] &gt; 60, "Senior")</f>
        <v>Middle</v>
      </c>
      <c r="K231" s="8" t="str" cm="1">
        <f t="array" ref="K231">_xlfn.IFS(Table3[[#This Row],[Drug_Cost_GBP]] &gt; 1200, "High Cost", Table3[[#This Row],[Drug_Cost_GBP]] &lt; 1200, "Normal")</f>
        <v>Normal</v>
      </c>
      <c r="L231" s="8" t="str" cm="1">
        <f t="array" ref="L231">IFERROR(_xlfn.IFS(Table3[[#This Row],[Age (Years)]]  &gt; 75, "YES", Table3[[#This Row],[Age (Years)]] &lt; 75, "NO"), "UNKNOWN")</f>
        <v>NO</v>
      </c>
      <c r="M231" s="8" t="str">
        <f>IF(Table3[[#This Row],[Drug_Cost_GBP]] &gt; Analysis_Sheet!$B$21, "Above Average", "Within Average")</f>
        <v>Within Average</v>
      </c>
      <c r="N231" s="39" t="str">
        <f t="shared" si="3"/>
        <v>May 2024</v>
      </c>
    </row>
    <row r="232" spans="1:14" x14ac:dyDescent="0.3">
      <c r="A232" s="5" t="s">
        <v>143</v>
      </c>
      <c r="B232" s="18">
        <v>57</v>
      </c>
      <c r="C232" s="6" t="s">
        <v>899</v>
      </c>
      <c r="D232" s="6" t="s">
        <v>19</v>
      </c>
      <c r="E232" s="6" t="s">
        <v>23</v>
      </c>
      <c r="F232" s="7">
        <v>45541</v>
      </c>
      <c r="G232" s="6">
        <v>12</v>
      </c>
      <c r="H232" s="14">
        <v>1002.0675517241378</v>
      </c>
      <c r="I232" s="8" t="s">
        <v>12</v>
      </c>
      <c r="J232" s="4" t="str" cm="1">
        <f t="array" ref="J232">_xlfn.IFS(Table3[[#This Row],[Age (Years)]] &lt; 40, "Young", Table3[[#This Row],[Age (Years)]] &gt;= 40, "Middle", Table3[[#This Row],[Age (Years)]] &gt; 60, "Senior")</f>
        <v>Middle</v>
      </c>
      <c r="K232" s="4" t="str" cm="1">
        <f t="array" ref="K232">_xlfn.IFS(Table3[[#This Row],[Drug_Cost_GBP]] &gt; 1200, "High Cost", Table3[[#This Row],[Drug_Cost_GBP]] &lt; 1200, "Normal")</f>
        <v>Normal</v>
      </c>
      <c r="L232" s="4" t="str" cm="1">
        <f t="array" ref="L232">IFERROR(_xlfn.IFS(Table3[[#This Row],[Age (Years)]]  &gt; 75, "YES", Table3[[#This Row],[Age (Years)]] &lt; 75, "NO"), "UNKNOWN")</f>
        <v>NO</v>
      </c>
      <c r="M232" s="4" t="str">
        <f>IF(Table3[[#This Row],[Drug_Cost_GBP]] &gt; Analysis_Sheet!$B$21, "Above Average", "Within Average")</f>
        <v>Within Average</v>
      </c>
      <c r="N232" s="39" t="str">
        <f t="shared" si="3"/>
        <v>September 2024</v>
      </c>
    </row>
    <row r="233" spans="1:14" x14ac:dyDescent="0.3">
      <c r="A233" s="1" t="s">
        <v>144</v>
      </c>
      <c r="B233" s="17">
        <v>57</v>
      </c>
      <c r="C233" s="2" t="s">
        <v>899</v>
      </c>
      <c r="D233" s="2" t="s">
        <v>51</v>
      </c>
      <c r="E233" s="2" t="s">
        <v>57</v>
      </c>
      <c r="F233" s="3">
        <v>45554</v>
      </c>
      <c r="G233" s="2">
        <v>12</v>
      </c>
      <c r="H233" s="13">
        <v>242.68</v>
      </c>
      <c r="I233" s="4" t="s">
        <v>21</v>
      </c>
      <c r="J233" s="4" t="str" cm="1">
        <f t="array" ref="J233">_xlfn.IFS(Table3[[#This Row],[Age (Years)]] &lt; 40, "Young", Table3[[#This Row],[Age (Years)]] &gt;= 40, "Middle", Table3[[#This Row],[Age (Years)]] &gt; 60, "Senior")</f>
        <v>Middle</v>
      </c>
      <c r="K233" s="4" t="str" cm="1">
        <f t="array" ref="K233">_xlfn.IFS(Table3[[#This Row],[Drug_Cost_GBP]] &gt; 1200, "High Cost", Table3[[#This Row],[Drug_Cost_GBP]] &lt; 1200, "Normal")</f>
        <v>Normal</v>
      </c>
      <c r="L233" s="4" t="str" cm="1">
        <f t="array" ref="L233">IFERROR(_xlfn.IFS(Table3[[#This Row],[Age (Years)]]  &gt; 75, "YES", Table3[[#This Row],[Age (Years)]] &lt; 75, "NO"), "UNKNOWN")</f>
        <v>NO</v>
      </c>
      <c r="M233" s="4" t="str">
        <f>IF(Table3[[#This Row],[Drug_Cost_GBP]] &gt; Analysis_Sheet!$B$21, "Above Average", "Within Average")</f>
        <v>Within Average</v>
      </c>
      <c r="N233" s="39" t="str">
        <f t="shared" si="3"/>
        <v>September 2024</v>
      </c>
    </row>
    <row r="234" spans="1:14" x14ac:dyDescent="0.3">
      <c r="A234" s="1" t="s">
        <v>146</v>
      </c>
      <c r="B234" s="17">
        <v>57</v>
      </c>
      <c r="C234" s="2" t="s">
        <v>38</v>
      </c>
      <c r="D234" s="2" t="s">
        <v>25</v>
      </c>
      <c r="E234" s="2" t="s">
        <v>34</v>
      </c>
      <c r="F234" s="3">
        <v>45647</v>
      </c>
      <c r="G234" s="2">
        <v>12</v>
      </c>
      <c r="H234" s="13">
        <v>1002.0675517241378</v>
      </c>
      <c r="I234" s="4" t="s">
        <v>26</v>
      </c>
      <c r="J234" s="8" t="str" cm="1">
        <f t="array" ref="J234">_xlfn.IFS(Table3[[#This Row],[Age (Years)]] &lt; 40, "Young", Table3[[#This Row],[Age (Years)]] &gt;= 40, "Middle", Table3[[#This Row],[Age (Years)]] &gt; 60, "Senior")</f>
        <v>Middle</v>
      </c>
      <c r="K234" s="8" t="str" cm="1">
        <f t="array" ref="K234">_xlfn.IFS(Table3[[#This Row],[Drug_Cost_GBP]] &gt; 1200, "High Cost", Table3[[#This Row],[Drug_Cost_GBP]] &lt; 1200, "Normal")</f>
        <v>Normal</v>
      </c>
      <c r="L234" s="8" t="str" cm="1">
        <f t="array" ref="L234">IFERROR(_xlfn.IFS(Table3[[#This Row],[Age (Years)]]  &gt; 75, "YES", Table3[[#This Row],[Age (Years)]] &lt; 75, "NO"), "UNKNOWN")</f>
        <v>NO</v>
      </c>
      <c r="M234" s="8" t="str">
        <f>IF(Table3[[#This Row],[Drug_Cost_GBP]] &gt; Analysis_Sheet!$B$21, "Above Average", "Within Average")</f>
        <v>Within Average</v>
      </c>
      <c r="N234" s="39" t="str">
        <f t="shared" si="3"/>
        <v>December 2024</v>
      </c>
    </row>
    <row r="235" spans="1:14" x14ac:dyDescent="0.3">
      <c r="A235" s="5" t="s">
        <v>147</v>
      </c>
      <c r="B235" s="18">
        <v>57</v>
      </c>
      <c r="C235" s="6" t="s">
        <v>899</v>
      </c>
      <c r="D235" s="6" t="s">
        <v>25</v>
      </c>
      <c r="E235" s="6" t="s">
        <v>11</v>
      </c>
      <c r="F235" s="7" t="s">
        <v>900</v>
      </c>
      <c r="G235" s="6">
        <v>12</v>
      </c>
      <c r="H235" s="14">
        <v>1002.0675517241378</v>
      </c>
      <c r="I235" s="8" t="s">
        <v>21</v>
      </c>
      <c r="J235" s="4" t="str" cm="1">
        <f t="array" ref="J235">_xlfn.IFS(Table3[[#This Row],[Age (Years)]] &lt; 40, "Young", Table3[[#This Row],[Age (Years)]] &gt;= 40, "Middle", Table3[[#This Row],[Age (Years)]] &gt; 60, "Senior")</f>
        <v>Middle</v>
      </c>
      <c r="K235" s="4" t="str" cm="1">
        <f t="array" ref="K235">_xlfn.IFS(Table3[[#This Row],[Drug_Cost_GBP]] &gt; 1200, "High Cost", Table3[[#This Row],[Drug_Cost_GBP]] &lt; 1200, "Normal")</f>
        <v>Normal</v>
      </c>
      <c r="L235" s="4" t="str" cm="1">
        <f t="array" ref="L235">IFERROR(_xlfn.IFS(Table3[[#This Row],[Age (Years)]]  &gt; 75, "YES", Table3[[#This Row],[Age (Years)]] &lt; 75, "NO"), "UNKNOWN")</f>
        <v>NO</v>
      </c>
      <c r="M235" s="4" t="str">
        <f>IF(Table3[[#This Row],[Drug_Cost_GBP]] &gt; Analysis_Sheet!$B$21, "Above Average", "Within Average")</f>
        <v>Within Average</v>
      </c>
      <c r="N235" s="39" t="str">
        <f t="shared" si="3"/>
        <v>Unknown</v>
      </c>
    </row>
    <row r="236" spans="1:14" x14ac:dyDescent="0.3">
      <c r="A236" s="1" t="s">
        <v>148</v>
      </c>
      <c r="B236" s="17">
        <v>57</v>
      </c>
      <c r="C236" s="2" t="s">
        <v>38</v>
      </c>
      <c r="D236" s="2" t="s">
        <v>900</v>
      </c>
      <c r="E236" s="2" t="s">
        <v>43</v>
      </c>
      <c r="F236" s="3">
        <v>45614</v>
      </c>
      <c r="G236" s="2">
        <v>12</v>
      </c>
      <c r="H236" s="13">
        <v>1002.0675517241378</v>
      </c>
      <c r="I236" s="4" t="s">
        <v>12</v>
      </c>
      <c r="J236" s="4" t="str" cm="1">
        <f t="array" ref="J236">_xlfn.IFS(Table3[[#This Row],[Age (Years)]] &lt; 40, "Young", Table3[[#This Row],[Age (Years)]] &gt;= 40, "Middle", Table3[[#This Row],[Age (Years)]] &gt; 60, "Senior")</f>
        <v>Middle</v>
      </c>
      <c r="K236" s="4" t="str" cm="1">
        <f t="array" ref="K236">_xlfn.IFS(Table3[[#This Row],[Drug_Cost_GBP]] &gt; 1200, "High Cost", Table3[[#This Row],[Drug_Cost_GBP]] &lt; 1200, "Normal")</f>
        <v>Normal</v>
      </c>
      <c r="L236" s="4" t="str" cm="1">
        <f t="array" ref="L236">IFERROR(_xlfn.IFS(Table3[[#This Row],[Age (Years)]]  &gt; 75, "YES", Table3[[#This Row],[Age (Years)]] &lt; 75, "NO"), "UNKNOWN")</f>
        <v>NO</v>
      </c>
      <c r="M236" s="4" t="str">
        <f>IF(Table3[[#This Row],[Drug_Cost_GBP]] &gt; Analysis_Sheet!$B$21, "Above Average", "Within Average")</f>
        <v>Within Average</v>
      </c>
      <c r="N236" s="39" t="str">
        <f t="shared" si="3"/>
        <v>November 2024</v>
      </c>
    </row>
    <row r="237" spans="1:14" x14ac:dyDescent="0.3">
      <c r="A237" s="1" t="s">
        <v>150</v>
      </c>
      <c r="B237" s="17">
        <v>57</v>
      </c>
      <c r="C237" s="2" t="s">
        <v>900</v>
      </c>
      <c r="D237" s="2" t="s">
        <v>14</v>
      </c>
      <c r="E237" s="2" t="s">
        <v>43</v>
      </c>
      <c r="F237" s="3">
        <v>45405</v>
      </c>
      <c r="G237" s="2">
        <v>12</v>
      </c>
      <c r="H237" s="13">
        <v>1002.0675517241378</v>
      </c>
      <c r="I237" s="4" t="s">
        <v>16</v>
      </c>
      <c r="J237" s="8" t="str" cm="1">
        <f t="array" ref="J237">_xlfn.IFS(Table3[[#This Row],[Age (Years)]] &lt; 40, "Young", Table3[[#This Row],[Age (Years)]] &gt;= 40, "Middle", Table3[[#This Row],[Age (Years)]] &gt; 60, "Senior")</f>
        <v>Middle</v>
      </c>
      <c r="K237" s="8" t="str" cm="1">
        <f t="array" ref="K237">_xlfn.IFS(Table3[[#This Row],[Drug_Cost_GBP]] &gt; 1200, "High Cost", Table3[[#This Row],[Drug_Cost_GBP]] &lt; 1200, "Normal")</f>
        <v>Normal</v>
      </c>
      <c r="L237" s="8" t="str" cm="1">
        <f t="array" ref="L237">IFERROR(_xlfn.IFS(Table3[[#This Row],[Age (Years)]]  &gt; 75, "YES", Table3[[#This Row],[Age (Years)]] &lt; 75, "NO"), "UNKNOWN")</f>
        <v>NO</v>
      </c>
      <c r="M237" s="8" t="str">
        <f>IF(Table3[[#This Row],[Drug_Cost_GBP]] &gt; Analysis_Sheet!$B$21, "Above Average", "Within Average")</f>
        <v>Within Average</v>
      </c>
      <c r="N237" s="39" t="str">
        <f t="shared" si="3"/>
        <v>April 2024</v>
      </c>
    </row>
    <row r="238" spans="1:14" x14ac:dyDescent="0.3">
      <c r="A238" s="5" t="s">
        <v>151</v>
      </c>
      <c r="B238" s="18">
        <v>57</v>
      </c>
      <c r="C238" s="6" t="s">
        <v>899</v>
      </c>
      <c r="D238" s="6" t="s">
        <v>898</v>
      </c>
      <c r="E238" s="6" t="s">
        <v>23</v>
      </c>
      <c r="F238" s="7">
        <v>45536</v>
      </c>
      <c r="G238" s="6">
        <v>12</v>
      </c>
      <c r="H238" s="14">
        <v>1412.36</v>
      </c>
      <c r="I238" s="8" t="s">
        <v>12</v>
      </c>
      <c r="J238" s="4" t="str" cm="1">
        <f t="array" ref="J238">_xlfn.IFS(Table3[[#This Row],[Age (Years)]] &lt; 40, "Young", Table3[[#This Row],[Age (Years)]] &gt;= 40, "Middle", Table3[[#This Row],[Age (Years)]] &gt; 60, "Senior")</f>
        <v>Middle</v>
      </c>
      <c r="K238" s="4" t="str" cm="1">
        <f t="array" ref="K238">_xlfn.IFS(Table3[[#This Row],[Drug_Cost_GBP]] &gt; 1200, "High Cost", Table3[[#This Row],[Drug_Cost_GBP]] &lt; 1200, "Normal")</f>
        <v>High Cost</v>
      </c>
      <c r="L238" s="4" t="str" cm="1">
        <f t="array" ref="L238">IFERROR(_xlfn.IFS(Table3[[#This Row],[Age (Years)]]  &gt; 75, "YES", Table3[[#This Row],[Age (Years)]] &lt; 75, "NO"), "UNKNOWN")</f>
        <v>NO</v>
      </c>
      <c r="M238" s="4" t="str">
        <f>IF(Table3[[#This Row],[Drug_Cost_GBP]] &gt; Analysis_Sheet!$B$21, "Above Average", "Within Average")</f>
        <v>Above Average</v>
      </c>
      <c r="N238" s="39" t="str">
        <f t="shared" si="3"/>
        <v>September 2024</v>
      </c>
    </row>
    <row r="239" spans="1:14" x14ac:dyDescent="0.3">
      <c r="A239" s="1" t="s">
        <v>152</v>
      </c>
      <c r="B239" s="17">
        <v>57</v>
      </c>
      <c r="C239" s="2" t="s">
        <v>899</v>
      </c>
      <c r="D239" s="2" t="s">
        <v>14</v>
      </c>
      <c r="E239" s="2" t="s">
        <v>23</v>
      </c>
      <c r="F239" s="3">
        <v>45319</v>
      </c>
      <c r="G239" s="2">
        <v>12</v>
      </c>
      <c r="H239" s="13">
        <v>1002.0675517241378</v>
      </c>
      <c r="I239" s="4" t="s">
        <v>12</v>
      </c>
      <c r="J239" s="8" t="str" cm="1">
        <f t="array" ref="J239">_xlfn.IFS(Table3[[#This Row],[Age (Years)]] &lt; 40, "Young", Table3[[#This Row],[Age (Years)]] &gt;= 40, "Middle", Table3[[#This Row],[Age (Years)]] &gt; 60, "Senior")</f>
        <v>Middle</v>
      </c>
      <c r="K239" s="8" t="str" cm="1">
        <f t="array" ref="K239">_xlfn.IFS(Table3[[#This Row],[Drug_Cost_GBP]] &gt; 1200, "High Cost", Table3[[#This Row],[Drug_Cost_GBP]] &lt; 1200, "Normal")</f>
        <v>Normal</v>
      </c>
      <c r="L239" s="8" t="str" cm="1">
        <f t="array" ref="L239">IFERROR(_xlfn.IFS(Table3[[#This Row],[Age (Years)]]  &gt; 75, "YES", Table3[[#This Row],[Age (Years)]] &lt; 75, "NO"), "UNKNOWN")</f>
        <v>NO</v>
      </c>
      <c r="M239" s="8" t="str">
        <f>IF(Table3[[#This Row],[Drug_Cost_GBP]] &gt; Analysis_Sheet!$B$21, "Above Average", "Within Average")</f>
        <v>Within Average</v>
      </c>
      <c r="N239" s="39" t="str">
        <f t="shared" si="3"/>
        <v>January 2024</v>
      </c>
    </row>
    <row r="240" spans="1:14" x14ac:dyDescent="0.3">
      <c r="A240" s="5" t="s">
        <v>153</v>
      </c>
      <c r="B240" s="18">
        <v>57</v>
      </c>
      <c r="C240" s="6" t="s">
        <v>899</v>
      </c>
      <c r="D240" s="6" t="s">
        <v>14</v>
      </c>
      <c r="E240" s="6" t="s">
        <v>57</v>
      </c>
      <c r="F240" s="7">
        <v>45581</v>
      </c>
      <c r="G240" s="6">
        <v>12</v>
      </c>
      <c r="H240" s="14">
        <v>1002.0675517241378</v>
      </c>
      <c r="I240" s="8" t="s">
        <v>21</v>
      </c>
      <c r="J240" s="4" t="str" cm="1">
        <f t="array" ref="J240">_xlfn.IFS(Table3[[#This Row],[Age (Years)]] &lt; 40, "Young", Table3[[#This Row],[Age (Years)]] &gt;= 40, "Middle", Table3[[#This Row],[Age (Years)]] &gt; 60, "Senior")</f>
        <v>Middle</v>
      </c>
      <c r="K240" s="4" t="str" cm="1">
        <f t="array" ref="K240">_xlfn.IFS(Table3[[#This Row],[Drug_Cost_GBP]] &gt; 1200, "High Cost", Table3[[#This Row],[Drug_Cost_GBP]] &lt; 1200, "Normal")</f>
        <v>Normal</v>
      </c>
      <c r="L240" s="4" t="str" cm="1">
        <f t="array" ref="L240">IFERROR(_xlfn.IFS(Table3[[#This Row],[Age (Years)]]  &gt; 75, "YES", Table3[[#This Row],[Age (Years)]] &lt; 75, "NO"), "UNKNOWN")</f>
        <v>NO</v>
      </c>
      <c r="M240" s="4" t="str">
        <f>IF(Table3[[#This Row],[Drug_Cost_GBP]] &gt; Analysis_Sheet!$B$21, "Above Average", "Within Average")</f>
        <v>Within Average</v>
      </c>
      <c r="N240" s="39" t="str">
        <f t="shared" si="3"/>
        <v>October 2024</v>
      </c>
    </row>
    <row r="241" spans="1:14" x14ac:dyDescent="0.3">
      <c r="A241" s="1" t="s">
        <v>154</v>
      </c>
      <c r="B241" s="17">
        <v>57</v>
      </c>
      <c r="C241" s="2" t="s">
        <v>38</v>
      </c>
      <c r="D241" s="2" t="s">
        <v>48</v>
      </c>
      <c r="E241" s="2" t="s">
        <v>29</v>
      </c>
      <c r="F241" s="3" t="s">
        <v>900</v>
      </c>
      <c r="G241" s="2">
        <v>12</v>
      </c>
      <c r="H241" s="13">
        <v>164.71</v>
      </c>
      <c r="I241" s="4" t="s">
        <v>16</v>
      </c>
      <c r="J241" s="8" t="str" cm="1">
        <f t="array" ref="J241">_xlfn.IFS(Table3[[#This Row],[Age (Years)]] &lt; 40, "Young", Table3[[#This Row],[Age (Years)]] &gt;= 40, "Middle", Table3[[#This Row],[Age (Years)]] &gt; 60, "Senior")</f>
        <v>Middle</v>
      </c>
      <c r="K241" s="8" t="str" cm="1">
        <f t="array" ref="K241">_xlfn.IFS(Table3[[#This Row],[Drug_Cost_GBP]] &gt; 1200, "High Cost", Table3[[#This Row],[Drug_Cost_GBP]] &lt; 1200, "Normal")</f>
        <v>Normal</v>
      </c>
      <c r="L241" s="8" t="str" cm="1">
        <f t="array" ref="L241">IFERROR(_xlfn.IFS(Table3[[#This Row],[Age (Years)]]  &gt; 75, "YES", Table3[[#This Row],[Age (Years)]] &lt; 75, "NO"), "UNKNOWN")</f>
        <v>NO</v>
      </c>
      <c r="M241" s="8" t="str">
        <f>IF(Table3[[#This Row],[Drug_Cost_GBP]] &gt; Analysis_Sheet!$B$21, "Above Average", "Within Average")</f>
        <v>Within Average</v>
      </c>
      <c r="N241" s="39" t="str">
        <f t="shared" si="3"/>
        <v>Unknown</v>
      </c>
    </row>
    <row r="242" spans="1:14" x14ac:dyDescent="0.3">
      <c r="A242" s="5" t="s">
        <v>155</v>
      </c>
      <c r="B242" s="18">
        <v>57</v>
      </c>
      <c r="C242" s="6" t="s">
        <v>900</v>
      </c>
      <c r="D242" s="6" t="s">
        <v>25</v>
      </c>
      <c r="E242" s="6" t="s">
        <v>34</v>
      </c>
      <c r="F242" s="7">
        <v>45641</v>
      </c>
      <c r="G242" s="6">
        <v>12</v>
      </c>
      <c r="H242" s="14">
        <v>746.38</v>
      </c>
      <c r="I242" s="8" t="s">
        <v>16</v>
      </c>
      <c r="J242" s="8" t="str" cm="1">
        <f t="array" ref="J242">_xlfn.IFS(Table3[[#This Row],[Age (Years)]] &lt; 40, "Young", Table3[[#This Row],[Age (Years)]] &gt;= 40, "Middle", Table3[[#This Row],[Age (Years)]] &gt; 60, "Senior")</f>
        <v>Middle</v>
      </c>
      <c r="K242" s="8" t="str" cm="1">
        <f t="array" ref="K242">_xlfn.IFS(Table3[[#This Row],[Drug_Cost_GBP]] &gt; 1200, "High Cost", Table3[[#This Row],[Drug_Cost_GBP]] &lt; 1200, "Normal")</f>
        <v>Normal</v>
      </c>
      <c r="L242" s="8" t="str" cm="1">
        <f t="array" ref="L242">IFERROR(_xlfn.IFS(Table3[[#This Row],[Age (Years)]]  &gt; 75, "YES", Table3[[#This Row],[Age (Years)]] &lt; 75, "NO"), "UNKNOWN")</f>
        <v>NO</v>
      </c>
      <c r="M242" s="8" t="str">
        <f>IF(Table3[[#This Row],[Drug_Cost_GBP]] &gt; Analysis_Sheet!$B$21, "Above Average", "Within Average")</f>
        <v>Within Average</v>
      </c>
      <c r="N242" s="39" t="str">
        <f t="shared" si="3"/>
        <v>December 2024</v>
      </c>
    </row>
    <row r="243" spans="1:14" x14ac:dyDescent="0.3">
      <c r="A243" s="5" t="s">
        <v>157</v>
      </c>
      <c r="B243" s="18">
        <v>57</v>
      </c>
      <c r="C243" s="6" t="s">
        <v>38</v>
      </c>
      <c r="D243" s="6" t="s">
        <v>51</v>
      </c>
      <c r="E243" s="6" t="s">
        <v>43</v>
      </c>
      <c r="F243" s="7">
        <v>45301</v>
      </c>
      <c r="G243" s="6">
        <v>12</v>
      </c>
      <c r="H243" s="14">
        <v>816.61</v>
      </c>
      <c r="I243" s="8" t="s">
        <v>26</v>
      </c>
      <c r="J243" s="4" t="str" cm="1">
        <f t="array" ref="J243">_xlfn.IFS(Table3[[#This Row],[Age (Years)]] &lt; 40, "Young", Table3[[#This Row],[Age (Years)]] &gt;= 40, "Middle", Table3[[#This Row],[Age (Years)]] &gt; 60, "Senior")</f>
        <v>Middle</v>
      </c>
      <c r="K243" s="4" t="str" cm="1">
        <f t="array" ref="K243">_xlfn.IFS(Table3[[#This Row],[Drug_Cost_GBP]] &gt; 1200, "High Cost", Table3[[#This Row],[Drug_Cost_GBP]] &lt; 1200, "Normal")</f>
        <v>Normal</v>
      </c>
      <c r="L243" s="4" t="str" cm="1">
        <f t="array" ref="L243">IFERROR(_xlfn.IFS(Table3[[#This Row],[Age (Years)]]  &gt; 75, "YES", Table3[[#This Row],[Age (Years)]] &lt; 75, "NO"), "UNKNOWN")</f>
        <v>NO</v>
      </c>
      <c r="M243" s="4" t="str">
        <f>IF(Table3[[#This Row],[Drug_Cost_GBP]] &gt; Analysis_Sheet!$B$21, "Above Average", "Within Average")</f>
        <v>Within Average</v>
      </c>
      <c r="N243" s="39" t="str">
        <f t="shared" si="3"/>
        <v>January 2024</v>
      </c>
    </row>
    <row r="244" spans="1:14" x14ac:dyDescent="0.3">
      <c r="A244" s="1" t="s">
        <v>158</v>
      </c>
      <c r="B244" s="17">
        <v>57</v>
      </c>
      <c r="C244" s="2" t="s">
        <v>38</v>
      </c>
      <c r="D244" s="2" t="s">
        <v>25</v>
      </c>
      <c r="E244" s="2" t="s">
        <v>57</v>
      </c>
      <c r="F244" s="3">
        <v>45580</v>
      </c>
      <c r="G244" s="2">
        <v>12</v>
      </c>
      <c r="H244" s="13">
        <v>1002.0675517241378</v>
      </c>
      <c r="I244" s="4" t="s">
        <v>16</v>
      </c>
      <c r="J244" s="8" t="str" cm="1">
        <f t="array" ref="J244">_xlfn.IFS(Table3[[#This Row],[Age (Years)]] &lt; 40, "Young", Table3[[#This Row],[Age (Years)]] &gt;= 40, "Middle", Table3[[#This Row],[Age (Years)]] &gt; 60, "Senior")</f>
        <v>Middle</v>
      </c>
      <c r="K244" s="8" t="str" cm="1">
        <f t="array" ref="K244">_xlfn.IFS(Table3[[#This Row],[Drug_Cost_GBP]] &gt; 1200, "High Cost", Table3[[#This Row],[Drug_Cost_GBP]] &lt; 1200, "Normal")</f>
        <v>Normal</v>
      </c>
      <c r="L244" s="8" t="str" cm="1">
        <f t="array" ref="L244">IFERROR(_xlfn.IFS(Table3[[#This Row],[Age (Years)]]  &gt; 75, "YES", Table3[[#This Row],[Age (Years)]] &lt; 75, "NO"), "UNKNOWN")</f>
        <v>NO</v>
      </c>
      <c r="M244" s="8" t="str">
        <f>IF(Table3[[#This Row],[Drug_Cost_GBP]] &gt; Analysis_Sheet!$B$21, "Above Average", "Within Average")</f>
        <v>Within Average</v>
      </c>
      <c r="N244" s="39" t="str">
        <f t="shared" si="3"/>
        <v>October 2024</v>
      </c>
    </row>
    <row r="245" spans="1:14" x14ac:dyDescent="0.3">
      <c r="A245" s="5" t="s">
        <v>165</v>
      </c>
      <c r="B245" s="18">
        <v>57</v>
      </c>
      <c r="C245" s="6" t="s">
        <v>899</v>
      </c>
      <c r="D245" s="6" t="s">
        <v>10</v>
      </c>
      <c r="E245" s="6" t="s">
        <v>29</v>
      </c>
      <c r="F245" s="7" t="s">
        <v>900</v>
      </c>
      <c r="G245" s="6">
        <v>10</v>
      </c>
      <c r="H245" s="14">
        <v>906.8</v>
      </c>
      <c r="I245" s="8" t="s">
        <v>12</v>
      </c>
      <c r="J245" s="4" t="str" cm="1">
        <f t="array" ref="J245">_xlfn.IFS(Table3[[#This Row],[Age (Years)]] &lt; 40, "Young", Table3[[#This Row],[Age (Years)]] &gt;= 40, "Middle", Table3[[#This Row],[Age (Years)]] &gt; 60, "Senior")</f>
        <v>Middle</v>
      </c>
      <c r="K245" s="4" t="str" cm="1">
        <f t="array" ref="K245">_xlfn.IFS(Table3[[#This Row],[Drug_Cost_GBP]] &gt; 1200, "High Cost", Table3[[#This Row],[Drug_Cost_GBP]] &lt; 1200, "Normal")</f>
        <v>Normal</v>
      </c>
      <c r="L245" s="4" t="str" cm="1">
        <f t="array" ref="L245">IFERROR(_xlfn.IFS(Table3[[#This Row],[Age (Years)]]  &gt; 75, "YES", Table3[[#This Row],[Age (Years)]] &lt; 75, "NO"), "UNKNOWN")</f>
        <v>NO</v>
      </c>
      <c r="M245" s="4" t="str">
        <f>IF(Table3[[#This Row],[Drug_Cost_GBP]] &gt; Analysis_Sheet!$B$21, "Above Average", "Within Average")</f>
        <v>Within Average</v>
      </c>
      <c r="N245" s="39" t="str">
        <f t="shared" si="3"/>
        <v>Unknown</v>
      </c>
    </row>
    <row r="246" spans="1:14" x14ac:dyDescent="0.3">
      <c r="A246" s="1" t="s">
        <v>166</v>
      </c>
      <c r="B246" s="17">
        <v>57</v>
      </c>
      <c r="C246" s="2" t="s">
        <v>899</v>
      </c>
      <c r="D246" s="2" t="s">
        <v>25</v>
      </c>
      <c r="E246" s="2" t="s">
        <v>23</v>
      </c>
      <c r="F246" s="3">
        <v>45301</v>
      </c>
      <c r="G246" s="2">
        <v>19</v>
      </c>
      <c r="H246" s="13">
        <v>1002.0675517241378</v>
      </c>
      <c r="I246" s="4" t="s">
        <v>12</v>
      </c>
      <c r="J246" s="8" t="str" cm="1">
        <f t="array" ref="J246">_xlfn.IFS(Table3[[#This Row],[Age (Years)]] &lt; 40, "Young", Table3[[#This Row],[Age (Years)]] &gt;= 40, "Middle", Table3[[#This Row],[Age (Years)]] &gt; 60, "Senior")</f>
        <v>Middle</v>
      </c>
      <c r="K246" s="8" t="str" cm="1">
        <f t="array" ref="K246">_xlfn.IFS(Table3[[#This Row],[Drug_Cost_GBP]] &gt; 1200, "High Cost", Table3[[#This Row],[Drug_Cost_GBP]] &lt; 1200, "Normal")</f>
        <v>Normal</v>
      </c>
      <c r="L246" s="8" t="str" cm="1">
        <f t="array" ref="L246">IFERROR(_xlfn.IFS(Table3[[#This Row],[Age (Years)]]  &gt; 75, "YES", Table3[[#This Row],[Age (Years)]] &lt; 75, "NO"), "UNKNOWN")</f>
        <v>NO</v>
      </c>
      <c r="M246" s="8" t="str">
        <f>IF(Table3[[#This Row],[Drug_Cost_GBP]] &gt; Analysis_Sheet!$B$21, "Above Average", "Within Average")</f>
        <v>Within Average</v>
      </c>
      <c r="N246" s="39" t="str">
        <f t="shared" si="3"/>
        <v>January 2024</v>
      </c>
    </row>
    <row r="247" spans="1:14" x14ac:dyDescent="0.3">
      <c r="A247" s="5" t="s">
        <v>167</v>
      </c>
      <c r="B247" s="18">
        <v>57</v>
      </c>
      <c r="C247" s="6" t="s">
        <v>899</v>
      </c>
      <c r="D247" s="6" t="s">
        <v>51</v>
      </c>
      <c r="E247" s="6" t="s">
        <v>43</v>
      </c>
      <c r="F247" s="7">
        <v>45574</v>
      </c>
      <c r="G247" s="6">
        <v>2</v>
      </c>
      <c r="H247" s="14">
        <v>1002.0675517241378</v>
      </c>
      <c r="I247" s="8" t="s">
        <v>16</v>
      </c>
      <c r="J247" s="8" t="str" cm="1">
        <f t="array" ref="J247">_xlfn.IFS(Table3[[#This Row],[Age (Years)]] &lt; 40, "Young", Table3[[#This Row],[Age (Years)]] &gt;= 40, "Middle", Table3[[#This Row],[Age (Years)]] &gt; 60, "Senior")</f>
        <v>Middle</v>
      </c>
      <c r="K247" s="8" t="str" cm="1">
        <f t="array" ref="K247">_xlfn.IFS(Table3[[#This Row],[Drug_Cost_GBP]] &gt; 1200, "High Cost", Table3[[#This Row],[Drug_Cost_GBP]] &lt; 1200, "Normal")</f>
        <v>Normal</v>
      </c>
      <c r="L247" s="8" t="str" cm="1">
        <f t="array" ref="L247">IFERROR(_xlfn.IFS(Table3[[#This Row],[Age (Years)]]  &gt; 75, "YES", Table3[[#This Row],[Age (Years)]] &lt; 75, "NO"), "UNKNOWN")</f>
        <v>NO</v>
      </c>
      <c r="M247" s="8" t="str">
        <f>IF(Table3[[#This Row],[Drug_Cost_GBP]] &gt; Analysis_Sheet!$B$21, "Above Average", "Within Average")</f>
        <v>Within Average</v>
      </c>
      <c r="N247" s="39" t="str">
        <f t="shared" si="3"/>
        <v>October 2024</v>
      </c>
    </row>
    <row r="248" spans="1:14" x14ac:dyDescent="0.3">
      <c r="A248" s="5" t="s">
        <v>169</v>
      </c>
      <c r="B248" s="18">
        <v>57</v>
      </c>
      <c r="C248" s="6" t="s">
        <v>899</v>
      </c>
      <c r="D248" s="6" t="s">
        <v>900</v>
      </c>
      <c r="E248" s="6" t="s">
        <v>34</v>
      </c>
      <c r="F248" s="7">
        <v>45450</v>
      </c>
      <c r="G248" s="6">
        <v>15</v>
      </c>
      <c r="H248" s="14">
        <v>1777.47</v>
      </c>
      <c r="I248" s="8" t="s">
        <v>26</v>
      </c>
      <c r="J248" s="4" t="str" cm="1">
        <f t="array" ref="J248">_xlfn.IFS(Table3[[#This Row],[Age (Years)]] &lt; 40, "Young", Table3[[#This Row],[Age (Years)]] &gt;= 40, "Middle", Table3[[#This Row],[Age (Years)]] &gt; 60, "Senior")</f>
        <v>Middle</v>
      </c>
      <c r="K248" s="4" t="str" cm="1">
        <f t="array" ref="K248">_xlfn.IFS(Table3[[#This Row],[Drug_Cost_GBP]] &gt; 1200, "High Cost", Table3[[#This Row],[Drug_Cost_GBP]] &lt; 1200, "Normal")</f>
        <v>High Cost</v>
      </c>
      <c r="L248" s="4" t="str" cm="1">
        <f t="array" ref="L248">IFERROR(_xlfn.IFS(Table3[[#This Row],[Age (Years)]]  &gt; 75, "YES", Table3[[#This Row],[Age (Years)]] &lt; 75, "NO"), "UNKNOWN")</f>
        <v>NO</v>
      </c>
      <c r="M248" s="4" t="str">
        <f>IF(Table3[[#This Row],[Drug_Cost_GBP]] &gt; Analysis_Sheet!$B$21, "Above Average", "Within Average")</f>
        <v>Above Average</v>
      </c>
      <c r="N248" s="39" t="str">
        <f t="shared" si="3"/>
        <v>June 2024</v>
      </c>
    </row>
    <row r="249" spans="1:14" x14ac:dyDescent="0.3">
      <c r="A249" s="1" t="s">
        <v>170</v>
      </c>
      <c r="B249" s="17">
        <v>57</v>
      </c>
      <c r="C249" s="2" t="s">
        <v>899</v>
      </c>
      <c r="D249" s="2" t="s">
        <v>14</v>
      </c>
      <c r="E249" s="2" t="s">
        <v>23</v>
      </c>
      <c r="F249" s="3">
        <v>45496</v>
      </c>
      <c r="G249" s="2">
        <v>12</v>
      </c>
      <c r="H249" s="13">
        <v>1002.0675517241378</v>
      </c>
      <c r="I249" s="4" t="s">
        <v>16</v>
      </c>
      <c r="J249" s="8" t="str" cm="1">
        <f t="array" ref="J249">_xlfn.IFS(Table3[[#This Row],[Age (Years)]] &lt; 40, "Young", Table3[[#This Row],[Age (Years)]] &gt;= 40, "Middle", Table3[[#This Row],[Age (Years)]] &gt; 60, "Senior")</f>
        <v>Middle</v>
      </c>
      <c r="K249" s="8" t="str" cm="1">
        <f t="array" ref="K249">_xlfn.IFS(Table3[[#This Row],[Drug_Cost_GBP]] &gt; 1200, "High Cost", Table3[[#This Row],[Drug_Cost_GBP]] &lt; 1200, "Normal")</f>
        <v>Normal</v>
      </c>
      <c r="L249" s="8" t="str" cm="1">
        <f t="array" ref="L249">IFERROR(_xlfn.IFS(Table3[[#This Row],[Age (Years)]]  &gt; 75, "YES", Table3[[#This Row],[Age (Years)]] &lt; 75, "NO"), "UNKNOWN")</f>
        <v>NO</v>
      </c>
      <c r="M249" s="8" t="str">
        <f>IF(Table3[[#This Row],[Drug_Cost_GBP]] &gt; Analysis_Sheet!$B$21, "Above Average", "Within Average")</f>
        <v>Within Average</v>
      </c>
      <c r="N249" s="39" t="str">
        <f t="shared" si="3"/>
        <v>July 2024</v>
      </c>
    </row>
    <row r="250" spans="1:14" x14ac:dyDescent="0.3">
      <c r="A250" s="5" t="s">
        <v>171</v>
      </c>
      <c r="B250" s="18">
        <v>57</v>
      </c>
      <c r="C250" s="6" t="s">
        <v>899</v>
      </c>
      <c r="D250" s="6" t="s">
        <v>19</v>
      </c>
      <c r="E250" s="6" t="s">
        <v>34</v>
      </c>
      <c r="F250" s="7" t="s">
        <v>900</v>
      </c>
      <c r="G250" s="6">
        <v>12</v>
      </c>
      <c r="H250" s="14">
        <v>1002.0675517241378</v>
      </c>
      <c r="I250" s="8" t="s">
        <v>12</v>
      </c>
      <c r="J250" s="4" t="str" cm="1">
        <f t="array" ref="J250">_xlfn.IFS(Table3[[#This Row],[Age (Years)]] &lt; 40, "Young", Table3[[#This Row],[Age (Years)]] &gt;= 40, "Middle", Table3[[#This Row],[Age (Years)]] &gt; 60, "Senior")</f>
        <v>Middle</v>
      </c>
      <c r="K250" s="4" t="str" cm="1">
        <f t="array" ref="K250">_xlfn.IFS(Table3[[#This Row],[Drug_Cost_GBP]] &gt; 1200, "High Cost", Table3[[#This Row],[Drug_Cost_GBP]] &lt; 1200, "Normal")</f>
        <v>Normal</v>
      </c>
      <c r="L250" s="4" t="str" cm="1">
        <f t="array" ref="L250">IFERROR(_xlfn.IFS(Table3[[#This Row],[Age (Years)]]  &gt; 75, "YES", Table3[[#This Row],[Age (Years)]] &lt; 75, "NO"), "UNKNOWN")</f>
        <v>NO</v>
      </c>
      <c r="M250" s="4" t="str">
        <f>IF(Table3[[#This Row],[Drug_Cost_GBP]] &gt; Analysis_Sheet!$B$21, "Above Average", "Within Average")</f>
        <v>Within Average</v>
      </c>
      <c r="N250" s="39" t="str">
        <f t="shared" si="3"/>
        <v>Unknown</v>
      </c>
    </row>
    <row r="251" spans="1:14" x14ac:dyDescent="0.3">
      <c r="A251" s="1" t="s">
        <v>172</v>
      </c>
      <c r="B251" s="17">
        <v>57</v>
      </c>
      <c r="C251" s="2" t="s">
        <v>38</v>
      </c>
      <c r="D251" s="2" t="s">
        <v>900</v>
      </c>
      <c r="E251" s="2" t="s">
        <v>34</v>
      </c>
      <c r="F251" s="3">
        <v>45596</v>
      </c>
      <c r="G251" s="2">
        <v>11</v>
      </c>
      <c r="H251" s="13">
        <v>1493.6</v>
      </c>
      <c r="I251" s="4" t="s">
        <v>16</v>
      </c>
      <c r="J251" s="4" t="str" cm="1">
        <f t="array" ref="J251">_xlfn.IFS(Table3[[#This Row],[Age (Years)]] &lt; 40, "Young", Table3[[#This Row],[Age (Years)]] &gt;= 40, "Middle", Table3[[#This Row],[Age (Years)]] &gt; 60, "Senior")</f>
        <v>Middle</v>
      </c>
      <c r="K251" s="4" t="str" cm="1">
        <f t="array" ref="K251">_xlfn.IFS(Table3[[#This Row],[Drug_Cost_GBP]] &gt; 1200, "High Cost", Table3[[#This Row],[Drug_Cost_GBP]] &lt; 1200, "Normal")</f>
        <v>High Cost</v>
      </c>
      <c r="L251" s="4" t="str" cm="1">
        <f t="array" ref="L251">IFERROR(_xlfn.IFS(Table3[[#This Row],[Age (Years)]]  &gt; 75, "YES", Table3[[#This Row],[Age (Years)]] &lt; 75, "NO"), "UNKNOWN")</f>
        <v>NO</v>
      </c>
      <c r="M251" s="4" t="str">
        <f>IF(Table3[[#This Row],[Drug_Cost_GBP]] &gt; Analysis_Sheet!$B$21, "Above Average", "Within Average")</f>
        <v>Above Average</v>
      </c>
      <c r="N251" s="39" t="str">
        <f t="shared" si="3"/>
        <v>October 2024</v>
      </c>
    </row>
    <row r="252" spans="1:14" x14ac:dyDescent="0.3">
      <c r="A252" s="1" t="s">
        <v>176</v>
      </c>
      <c r="B252" s="17">
        <v>57</v>
      </c>
      <c r="C252" s="2" t="s">
        <v>900</v>
      </c>
      <c r="D252" s="2" t="s">
        <v>14</v>
      </c>
      <c r="E252" s="2" t="s">
        <v>23</v>
      </c>
      <c r="F252" s="3">
        <v>45515</v>
      </c>
      <c r="G252" s="2">
        <v>12</v>
      </c>
      <c r="H252" s="13">
        <v>1002.0675517241378</v>
      </c>
      <c r="I252" s="4" t="s">
        <v>26</v>
      </c>
      <c r="J252" s="8" t="str" cm="1">
        <f t="array" ref="J252">_xlfn.IFS(Table3[[#This Row],[Age (Years)]] &lt; 40, "Young", Table3[[#This Row],[Age (Years)]] &gt;= 40, "Middle", Table3[[#This Row],[Age (Years)]] &gt; 60, "Senior")</f>
        <v>Middle</v>
      </c>
      <c r="K252" s="8" t="str" cm="1">
        <f t="array" ref="K252">_xlfn.IFS(Table3[[#This Row],[Drug_Cost_GBP]] &gt; 1200, "High Cost", Table3[[#This Row],[Drug_Cost_GBP]] &lt; 1200, "Normal")</f>
        <v>Normal</v>
      </c>
      <c r="L252" s="8" t="str" cm="1">
        <f t="array" ref="L252">IFERROR(_xlfn.IFS(Table3[[#This Row],[Age (Years)]]  &gt; 75, "YES", Table3[[#This Row],[Age (Years)]] &lt; 75, "NO"), "UNKNOWN")</f>
        <v>NO</v>
      </c>
      <c r="M252" s="8" t="str">
        <f>IF(Table3[[#This Row],[Drug_Cost_GBP]] &gt; Analysis_Sheet!$B$21, "Above Average", "Within Average")</f>
        <v>Within Average</v>
      </c>
      <c r="N252" s="39" t="str">
        <f t="shared" si="3"/>
        <v>August 2024</v>
      </c>
    </row>
    <row r="253" spans="1:14" x14ac:dyDescent="0.3">
      <c r="A253" s="5" t="s">
        <v>177</v>
      </c>
      <c r="B253" s="18">
        <v>57</v>
      </c>
      <c r="C253" s="6" t="s">
        <v>900</v>
      </c>
      <c r="D253" s="6" t="s">
        <v>10</v>
      </c>
      <c r="E253" s="6" t="s">
        <v>43</v>
      </c>
      <c r="F253" s="7">
        <v>45520</v>
      </c>
      <c r="G253" s="6">
        <v>12</v>
      </c>
      <c r="H253" s="14">
        <v>1002.0675517241378</v>
      </c>
      <c r="I253" s="8" t="s">
        <v>900</v>
      </c>
      <c r="J253" s="4" t="str" cm="1">
        <f t="array" ref="J253">_xlfn.IFS(Table3[[#This Row],[Age (Years)]] &lt; 40, "Young", Table3[[#This Row],[Age (Years)]] &gt;= 40, "Middle", Table3[[#This Row],[Age (Years)]] &gt; 60, "Senior")</f>
        <v>Middle</v>
      </c>
      <c r="K253" s="4" t="str" cm="1">
        <f t="array" ref="K253">_xlfn.IFS(Table3[[#This Row],[Drug_Cost_GBP]] &gt; 1200, "High Cost", Table3[[#This Row],[Drug_Cost_GBP]] &lt; 1200, "Normal")</f>
        <v>Normal</v>
      </c>
      <c r="L253" s="4" t="str" cm="1">
        <f t="array" ref="L253">IFERROR(_xlfn.IFS(Table3[[#This Row],[Age (Years)]]  &gt; 75, "YES", Table3[[#This Row],[Age (Years)]] &lt; 75, "NO"), "UNKNOWN")</f>
        <v>NO</v>
      </c>
      <c r="M253" s="4" t="str">
        <f>IF(Table3[[#This Row],[Drug_Cost_GBP]] &gt; Analysis_Sheet!$B$21, "Above Average", "Within Average")</f>
        <v>Within Average</v>
      </c>
      <c r="N253" s="39" t="str">
        <f t="shared" si="3"/>
        <v>August 2024</v>
      </c>
    </row>
    <row r="254" spans="1:14" x14ac:dyDescent="0.3">
      <c r="A254" s="1" t="s">
        <v>178</v>
      </c>
      <c r="B254" s="17">
        <v>57</v>
      </c>
      <c r="C254" s="2" t="s">
        <v>899</v>
      </c>
      <c r="D254" s="2" t="s">
        <v>25</v>
      </c>
      <c r="E254" s="2" t="s">
        <v>11</v>
      </c>
      <c r="F254" s="3">
        <v>45452</v>
      </c>
      <c r="G254" s="2">
        <v>12</v>
      </c>
      <c r="H254" s="13">
        <v>828.11</v>
      </c>
      <c r="I254" s="4" t="s">
        <v>16</v>
      </c>
      <c r="J254" s="8" t="str" cm="1">
        <f t="array" ref="J254">_xlfn.IFS(Table3[[#This Row],[Age (Years)]] &lt; 40, "Young", Table3[[#This Row],[Age (Years)]] &gt;= 40, "Middle", Table3[[#This Row],[Age (Years)]] &gt; 60, "Senior")</f>
        <v>Middle</v>
      </c>
      <c r="K254" s="8" t="str" cm="1">
        <f t="array" ref="K254">_xlfn.IFS(Table3[[#This Row],[Drug_Cost_GBP]] &gt; 1200, "High Cost", Table3[[#This Row],[Drug_Cost_GBP]] &lt; 1200, "Normal")</f>
        <v>Normal</v>
      </c>
      <c r="L254" s="8" t="str" cm="1">
        <f t="array" ref="L254">IFERROR(_xlfn.IFS(Table3[[#This Row],[Age (Years)]]  &gt; 75, "YES", Table3[[#This Row],[Age (Years)]] &lt; 75, "NO"), "UNKNOWN")</f>
        <v>NO</v>
      </c>
      <c r="M254" s="8" t="str">
        <f>IF(Table3[[#This Row],[Drug_Cost_GBP]] &gt; Analysis_Sheet!$B$21, "Above Average", "Within Average")</f>
        <v>Within Average</v>
      </c>
      <c r="N254" s="39" t="str">
        <f t="shared" si="3"/>
        <v>June 2024</v>
      </c>
    </row>
    <row r="255" spans="1:14" x14ac:dyDescent="0.3">
      <c r="A255" s="5" t="s">
        <v>179</v>
      </c>
      <c r="B255" s="18">
        <v>57</v>
      </c>
      <c r="C255" s="6" t="s">
        <v>899</v>
      </c>
      <c r="D255" s="6" t="s">
        <v>900</v>
      </c>
      <c r="E255" s="6" t="s">
        <v>43</v>
      </c>
      <c r="F255" s="7">
        <v>45350</v>
      </c>
      <c r="G255" s="6">
        <v>12</v>
      </c>
      <c r="H255" s="14">
        <v>167.05</v>
      </c>
      <c r="I255" s="8" t="s">
        <v>900</v>
      </c>
      <c r="J255" s="8" t="str" cm="1">
        <f t="array" ref="J255">_xlfn.IFS(Table3[[#This Row],[Age (Years)]] &lt; 40, "Young", Table3[[#This Row],[Age (Years)]] &gt;= 40, "Middle", Table3[[#This Row],[Age (Years)]] &gt; 60, "Senior")</f>
        <v>Middle</v>
      </c>
      <c r="K255" s="8" t="str" cm="1">
        <f t="array" ref="K255">_xlfn.IFS(Table3[[#This Row],[Drug_Cost_GBP]] &gt; 1200, "High Cost", Table3[[#This Row],[Drug_Cost_GBP]] &lt; 1200, "Normal")</f>
        <v>Normal</v>
      </c>
      <c r="L255" s="8" t="str" cm="1">
        <f t="array" ref="L255">IFERROR(_xlfn.IFS(Table3[[#This Row],[Age (Years)]]  &gt; 75, "YES", Table3[[#This Row],[Age (Years)]] &lt; 75, "NO"), "UNKNOWN")</f>
        <v>NO</v>
      </c>
      <c r="M255" s="8" t="str">
        <f>IF(Table3[[#This Row],[Drug_Cost_GBP]] &gt; Analysis_Sheet!$B$21, "Above Average", "Within Average")</f>
        <v>Within Average</v>
      </c>
      <c r="N255" s="39" t="str">
        <f t="shared" si="3"/>
        <v>February 2024</v>
      </c>
    </row>
    <row r="256" spans="1:14" x14ac:dyDescent="0.3">
      <c r="A256" s="5" t="s">
        <v>181</v>
      </c>
      <c r="B256" s="18">
        <v>57</v>
      </c>
      <c r="C256" s="6" t="s">
        <v>899</v>
      </c>
      <c r="D256" s="6" t="s">
        <v>51</v>
      </c>
      <c r="E256" s="6" t="s">
        <v>23</v>
      </c>
      <c r="F256" s="7">
        <v>45415</v>
      </c>
      <c r="G256" s="6">
        <v>12</v>
      </c>
      <c r="H256" s="14">
        <v>1946.51</v>
      </c>
      <c r="I256" s="8" t="s">
        <v>12</v>
      </c>
      <c r="J256" s="8" t="str" cm="1">
        <f t="array" ref="J256">_xlfn.IFS(Table3[[#This Row],[Age (Years)]] &lt; 40, "Young", Table3[[#This Row],[Age (Years)]] &gt;= 40, "Middle", Table3[[#This Row],[Age (Years)]] &gt; 60, "Senior")</f>
        <v>Middle</v>
      </c>
      <c r="K256" s="8" t="str" cm="1">
        <f t="array" ref="K256">_xlfn.IFS(Table3[[#This Row],[Drug_Cost_GBP]] &gt; 1200, "High Cost", Table3[[#This Row],[Drug_Cost_GBP]] &lt; 1200, "Normal")</f>
        <v>High Cost</v>
      </c>
      <c r="L256" s="8" t="str" cm="1">
        <f t="array" ref="L256">IFERROR(_xlfn.IFS(Table3[[#This Row],[Age (Years)]]  &gt; 75, "YES", Table3[[#This Row],[Age (Years)]] &lt; 75, "NO"), "UNKNOWN")</f>
        <v>NO</v>
      </c>
      <c r="M256" s="8" t="str">
        <f>IF(Table3[[#This Row],[Drug_Cost_GBP]] &gt; Analysis_Sheet!$B$21, "Above Average", "Within Average")</f>
        <v>Above Average</v>
      </c>
      <c r="N256" s="39" t="str">
        <f t="shared" si="3"/>
        <v>May 2024</v>
      </c>
    </row>
    <row r="257" spans="1:14" x14ac:dyDescent="0.3">
      <c r="A257" s="5" t="s">
        <v>183</v>
      </c>
      <c r="B257" s="18">
        <v>57</v>
      </c>
      <c r="C257" s="6" t="s">
        <v>899</v>
      </c>
      <c r="D257" s="6" t="s">
        <v>898</v>
      </c>
      <c r="E257" s="6" t="s">
        <v>43</v>
      </c>
      <c r="F257" s="7">
        <v>45564</v>
      </c>
      <c r="G257" s="6">
        <v>12</v>
      </c>
      <c r="H257" s="14">
        <v>1002.0675517241378</v>
      </c>
      <c r="I257" s="8" t="s">
        <v>12</v>
      </c>
      <c r="J257" s="8" t="str" cm="1">
        <f t="array" ref="J257">_xlfn.IFS(Table3[[#This Row],[Age (Years)]] &lt; 40, "Young", Table3[[#This Row],[Age (Years)]] &gt;= 40, "Middle", Table3[[#This Row],[Age (Years)]] &gt; 60, "Senior")</f>
        <v>Middle</v>
      </c>
      <c r="K257" s="8" t="str" cm="1">
        <f t="array" ref="K257">_xlfn.IFS(Table3[[#This Row],[Drug_Cost_GBP]] &gt; 1200, "High Cost", Table3[[#This Row],[Drug_Cost_GBP]] &lt; 1200, "Normal")</f>
        <v>Normal</v>
      </c>
      <c r="L257" s="8" t="str" cm="1">
        <f t="array" ref="L257">IFERROR(_xlfn.IFS(Table3[[#This Row],[Age (Years)]]  &gt; 75, "YES", Table3[[#This Row],[Age (Years)]] &lt; 75, "NO"), "UNKNOWN")</f>
        <v>NO</v>
      </c>
      <c r="M257" s="8" t="str">
        <f>IF(Table3[[#This Row],[Drug_Cost_GBP]] &gt; Analysis_Sheet!$B$21, "Above Average", "Within Average")</f>
        <v>Within Average</v>
      </c>
      <c r="N257" s="39" t="str">
        <f t="shared" si="3"/>
        <v>September 2024</v>
      </c>
    </row>
    <row r="258" spans="1:14" x14ac:dyDescent="0.3">
      <c r="A258" s="5" t="s">
        <v>185</v>
      </c>
      <c r="B258" s="18">
        <v>57</v>
      </c>
      <c r="C258" s="6" t="s">
        <v>899</v>
      </c>
      <c r="D258" s="6" t="s">
        <v>19</v>
      </c>
      <c r="E258" s="6" t="s">
        <v>29</v>
      </c>
      <c r="F258" s="7">
        <v>45468</v>
      </c>
      <c r="G258" s="6">
        <v>7</v>
      </c>
      <c r="H258" s="14">
        <v>1002.0675517241378</v>
      </c>
      <c r="I258" s="8" t="s">
        <v>21</v>
      </c>
      <c r="J258" s="4" t="str" cm="1">
        <f t="array" ref="J258">_xlfn.IFS(Table3[[#This Row],[Age (Years)]] &lt; 40, "Young", Table3[[#This Row],[Age (Years)]] &gt;= 40, "Middle", Table3[[#This Row],[Age (Years)]] &gt; 60, "Senior")</f>
        <v>Middle</v>
      </c>
      <c r="K258" s="4" t="str" cm="1">
        <f t="array" ref="K258">_xlfn.IFS(Table3[[#This Row],[Drug_Cost_GBP]] &gt; 1200, "High Cost", Table3[[#This Row],[Drug_Cost_GBP]] &lt; 1200, "Normal")</f>
        <v>Normal</v>
      </c>
      <c r="L258" s="4" t="str" cm="1">
        <f t="array" ref="L258">IFERROR(_xlfn.IFS(Table3[[#This Row],[Age (Years)]]  &gt; 75, "YES", Table3[[#This Row],[Age (Years)]] &lt; 75, "NO"), "UNKNOWN")</f>
        <v>NO</v>
      </c>
      <c r="M258" s="4" t="str">
        <f>IF(Table3[[#This Row],[Drug_Cost_GBP]] &gt; Analysis_Sheet!$B$21, "Above Average", "Within Average")</f>
        <v>Within Average</v>
      </c>
      <c r="N258" s="39" t="str">
        <f t="shared" si="3"/>
        <v>June 2024</v>
      </c>
    </row>
    <row r="259" spans="1:14" x14ac:dyDescent="0.3">
      <c r="A259" s="1" t="s">
        <v>186</v>
      </c>
      <c r="B259" s="17">
        <v>57</v>
      </c>
      <c r="C259" s="2" t="s">
        <v>38</v>
      </c>
      <c r="D259" s="2" t="s">
        <v>19</v>
      </c>
      <c r="E259" s="2" t="s">
        <v>34</v>
      </c>
      <c r="F259" s="3">
        <v>45599</v>
      </c>
      <c r="G259" s="2">
        <v>12</v>
      </c>
      <c r="H259" s="13">
        <v>1002.0675517241378</v>
      </c>
      <c r="I259" s="4" t="s">
        <v>21</v>
      </c>
      <c r="J259" s="4" t="str" cm="1">
        <f t="array" ref="J259">_xlfn.IFS(Table3[[#This Row],[Age (Years)]] &lt; 40, "Young", Table3[[#This Row],[Age (Years)]] &gt;= 40, "Middle", Table3[[#This Row],[Age (Years)]] &gt; 60, "Senior")</f>
        <v>Middle</v>
      </c>
      <c r="K259" s="4" t="str" cm="1">
        <f t="array" ref="K259">_xlfn.IFS(Table3[[#This Row],[Drug_Cost_GBP]] &gt; 1200, "High Cost", Table3[[#This Row],[Drug_Cost_GBP]] &lt; 1200, "Normal")</f>
        <v>Normal</v>
      </c>
      <c r="L259" s="4" t="str" cm="1">
        <f t="array" ref="L259">IFERROR(_xlfn.IFS(Table3[[#This Row],[Age (Years)]]  &gt; 75, "YES", Table3[[#This Row],[Age (Years)]] &lt; 75, "NO"), "UNKNOWN")</f>
        <v>NO</v>
      </c>
      <c r="M259" s="4" t="str">
        <f>IF(Table3[[#This Row],[Drug_Cost_GBP]] &gt; Analysis_Sheet!$B$21, "Above Average", "Within Average")</f>
        <v>Within Average</v>
      </c>
      <c r="N259" s="39" t="str">
        <f t="shared" ref="N259:N322" si="4">IF(ISNUMBER(F259),TEXT(F259,"MMMM YYYY"),"Unknown")</f>
        <v>November 2024</v>
      </c>
    </row>
    <row r="260" spans="1:14" x14ac:dyDescent="0.3">
      <c r="A260" s="1" t="s">
        <v>188</v>
      </c>
      <c r="B260" s="17">
        <v>57</v>
      </c>
      <c r="C260" s="2" t="s">
        <v>38</v>
      </c>
      <c r="D260" s="2" t="s">
        <v>14</v>
      </c>
      <c r="E260" s="2" t="s">
        <v>57</v>
      </c>
      <c r="F260" s="3">
        <v>45303</v>
      </c>
      <c r="G260" s="2">
        <v>12</v>
      </c>
      <c r="H260" s="13">
        <v>1002.0675517241378</v>
      </c>
      <c r="I260" s="4" t="s">
        <v>26</v>
      </c>
      <c r="J260" s="8" t="str" cm="1">
        <f t="array" ref="J260">_xlfn.IFS(Table3[[#This Row],[Age (Years)]] &lt; 40, "Young", Table3[[#This Row],[Age (Years)]] &gt;= 40, "Middle", Table3[[#This Row],[Age (Years)]] &gt; 60, "Senior")</f>
        <v>Middle</v>
      </c>
      <c r="K260" s="8" t="str" cm="1">
        <f t="array" ref="K260">_xlfn.IFS(Table3[[#This Row],[Drug_Cost_GBP]] &gt; 1200, "High Cost", Table3[[#This Row],[Drug_Cost_GBP]] &lt; 1200, "Normal")</f>
        <v>Normal</v>
      </c>
      <c r="L260" s="8" t="str" cm="1">
        <f t="array" ref="L260">IFERROR(_xlfn.IFS(Table3[[#This Row],[Age (Years)]]  &gt; 75, "YES", Table3[[#This Row],[Age (Years)]] &lt; 75, "NO"), "UNKNOWN")</f>
        <v>NO</v>
      </c>
      <c r="M260" s="8" t="str">
        <f>IF(Table3[[#This Row],[Drug_Cost_GBP]] &gt; Analysis_Sheet!$B$21, "Above Average", "Within Average")</f>
        <v>Within Average</v>
      </c>
      <c r="N260" s="39" t="str">
        <f t="shared" si="4"/>
        <v>January 2024</v>
      </c>
    </row>
    <row r="261" spans="1:14" x14ac:dyDescent="0.3">
      <c r="A261" s="5" t="s">
        <v>189</v>
      </c>
      <c r="B261" s="18">
        <v>57</v>
      </c>
      <c r="C261" s="6" t="s">
        <v>38</v>
      </c>
      <c r="D261" s="6" t="s">
        <v>48</v>
      </c>
      <c r="E261" s="6" t="s">
        <v>57</v>
      </c>
      <c r="F261" s="7">
        <v>45513</v>
      </c>
      <c r="G261" s="6">
        <v>12</v>
      </c>
      <c r="H261" s="14">
        <v>255.63</v>
      </c>
      <c r="I261" s="8" t="s">
        <v>900</v>
      </c>
      <c r="J261" s="4" t="str" cm="1">
        <f t="array" ref="J261">_xlfn.IFS(Table3[[#This Row],[Age (Years)]] &lt; 40, "Young", Table3[[#This Row],[Age (Years)]] &gt;= 40, "Middle", Table3[[#This Row],[Age (Years)]] &gt; 60, "Senior")</f>
        <v>Middle</v>
      </c>
      <c r="K261" s="4" t="str" cm="1">
        <f t="array" ref="K261">_xlfn.IFS(Table3[[#This Row],[Drug_Cost_GBP]] &gt; 1200, "High Cost", Table3[[#This Row],[Drug_Cost_GBP]] &lt; 1200, "Normal")</f>
        <v>Normal</v>
      </c>
      <c r="L261" s="4" t="str" cm="1">
        <f t="array" ref="L261">IFERROR(_xlfn.IFS(Table3[[#This Row],[Age (Years)]]  &gt; 75, "YES", Table3[[#This Row],[Age (Years)]] &lt; 75, "NO"), "UNKNOWN")</f>
        <v>NO</v>
      </c>
      <c r="M261" s="4" t="str">
        <f>IF(Table3[[#This Row],[Drug_Cost_GBP]] &gt; Analysis_Sheet!$B$21, "Above Average", "Within Average")</f>
        <v>Within Average</v>
      </c>
      <c r="N261" s="39" t="str">
        <f t="shared" si="4"/>
        <v>August 2024</v>
      </c>
    </row>
    <row r="262" spans="1:14" x14ac:dyDescent="0.3">
      <c r="A262" s="1" t="s">
        <v>190</v>
      </c>
      <c r="B262" s="17">
        <v>57</v>
      </c>
      <c r="C262" s="2" t="s">
        <v>899</v>
      </c>
      <c r="D262" s="2" t="s">
        <v>51</v>
      </c>
      <c r="E262" s="2" t="s">
        <v>34</v>
      </c>
      <c r="F262" s="3">
        <v>45399</v>
      </c>
      <c r="G262" s="2">
        <v>12</v>
      </c>
      <c r="H262" s="13">
        <v>1002.0675517241378</v>
      </c>
      <c r="I262" s="4" t="s">
        <v>26</v>
      </c>
      <c r="J262" s="8" t="str" cm="1">
        <f t="array" ref="J262">_xlfn.IFS(Table3[[#This Row],[Age (Years)]] &lt; 40, "Young", Table3[[#This Row],[Age (Years)]] &gt;= 40, "Middle", Table3[[#This Row],[Age (Years)]] &gt; 60, "Senior")</f>
        <v>Middle</v>
      </c>
      <c r="K262" s="8" t="str" cm="1">
        <f t="array" ref="K262">_xlfn.IFS(Table3[[#This Row],[Drug_Cost_GBP]] &gt; 1200, "High Cost", Table3[[#This Row],[Drug_Cost_GBP]] &lt; 1200, "Normal")</f>
        <v>Normal</v>
      </c>
      <c r="L262" s="8" t="str" cm="1">
        <f t="array" ref="L262">IFERROR(_xlfn.IFS(Table3[[#This Row],[Age (Years)]]  &gt; 75, "YES", Table3[[#This Row],[Age (Years)]] &lt; 75, "NO"), "UNKNOWN")</f>
        <v>NO</v>
      </c>
      <c r="M262" s="8" t="str">
        <f>IF(Table3[[#This Row],[Drug_Cost_GBP]] &gt; Analysis_Sheet!$B$21, "Above Average", "Within Average")</f>
        <v>Within Average</v>
      </c>
      <c r="N262" s="39" t="str">
        <f t="shared" si="4"/>
        <v>April 2024</v>
      </c>
    </row>
    <row r="263" spans="1:14" x14ac:dyDescent="0.3">
      <c r="A263" s="5" t="s">
        <v>191</v>
      </c>
      <c r="B263" s="18">
        <v>57</v>
      </c>
      <c r="C263" s="6" t="s">
        <v>38</v>
      </c>
      <c r="D263" s="6" t="s">
        <v>14</v>
      </c>
      <c r="E263" s="6" t="s">
        <v>34</v>
      </c>
      <c r="F263" s="7">
        <v>45348</v>
      </c>
      <c r="G263" s="6">
        <v>12</v>
      </c>
      <c r="H263" s="14">
        <v>1002.0675517241378</v>
      </c>
      <c r="I263" s="8" t="s">
        <v>16</v>
      </c>
      <c r="J263" s="4" t="str" cm="1">
        <f t="array" ref="J263">_xlfn.IFS(Table3[[#This Row],[Age (Years)]] &lt; 40, "Young", Table3[[#This Row],[Age (Years)]] &gt;= 40, "Middle", Table3[[#This Row],[Age (Years)]] &gt; 60, "Senior")</f>
        <v>Middle</v>
      </c>
      <c r="K263" s="4" t="str" cm="1">
        <f t="array" ref="K263">_xlfn.IFS(Table3[[#This Row],[Drug_Cost_GBP]] &gt; 1200, "High Cost", Table3[[#This Row],[Drug_Cost_GBP]] &lt; 1200, "Normal")</f>
        <v>Normal</v>
      </c>
      <c r="L263" s="4" t="str" cm="1">
        <f t="array" ref="L263">IFERROR(_xlfn.IFS(Table3[[#This Row],[Age (Years)]]  &gt; 75, "YES", Table3[[#This Row],[Age (Years)]] &lt; 75, "NO"), "UNKNOWN")</f>
        <v>NO</v>
      </c>
      <c r="M263" s="4" t="str">
        <f>IF(Table3[[#This Row],[Drug_Cost_GBP]] &gt; Analysis_Sheet!$B$21, "Above Average", "Within Average")</f>
        <v>Within Average</v>
      </c>
      <c r="N263" s="39" t="str">
        <f t="shared" si="4"/>
        <v>February 2024</v>
      </c>
    </row>
    <row r="264" spans="1:14" x14ac:dyDescent="0.3">
      <c r="A264" s="1" t="s">
        <v>192</v>
      </c>
      <c r="B264" s="17">
        <v>57</v>
      </c>
      <c r="C264" s="2" t="s">
        <v>38</v>
      </c>
      <c r="D264" s="2" t="s">
        <v>900</v>
      </c>
      <c r="E264" s="2" t="s">
        <v>23</v>
      </c>
      <c r="F264" s="3">
        <v>45418</v>
      </c>
      <c r="G264" s="2">
        <v>15</v>
      </c>
      <c r="H264" s="13">
        <v>1002.0675517241378</v>
      </c>
      <c r="I264" s="4" t="s">
        <v>21</v>
      </c>
      <c r="J264" s="8" t="str" cm="1">
        <f t="array" ref="J264">_xlfn.IFS(Table3[[#This Row],[Age (Years)]] &lt; 40, "Young", Table3[[#This Row],[Age (Years)]] &gt;= 40, "Middle", Table3[[#This Row],[Age (Years)]] &gt; 60, "Senior")</f>
        <v>Middle</v>
      </c>
      <c r="K264" s="8" t="str" cm="1">
        <f t="array" ref="K264">_xlfn.IFS(Table3[[#This Row],[Drug_Cost_GBP]] &gt; 1200, "High Cost", Table3[[#This Row],[Drug_Cost_GBP]] &lt; 1200, "Normal")</f>
        <v>Normal</v>
      </c>
      <c r="L264" s="8" t="str" cm="1">
        <f t="array" ref="L264">IFERROR(_xlfn.IFS(Table3[[#This Row],[Age (Years)]]  &gt; 75, "YES", Table3[[#This Row],[Age (Years)]] &lt; 75, "NO"), "UNKNOWN")</f>
        <v>NO</v>
      </c>
      <c r="M264" s="8" t="str">
        <f>IF(Table3[[#This Row],[Drug_Cost_GBP]] &gt; Analysis_Sheet!$B$21, "Above Average", "Within Average")</f>
        <v>Within Average</v>
      </c>
      <c r="N264" s="39" t="str">
        <f t="shared" si="4"/>
        <v>May 2024</v>
      </c>
    </row>
    <row r="265" spans="1:14" x14ac:dyDescent="0.3">
      <c r="A265" s="5" t="s">
        <v>195</v>
      </c>
      <c r="B265" s="18">
        <v>57</v>
      </c>
      <c r="C265" s="6" t="s">
        <v>38</v>
      </c>
      <c r="D265" s="6" t="s">
        <v>25</v>
      </c>
      <c r="E265" s="6" t="s">
        <v>11</v>
      </c>
      <c r="F265" s="7">
        <v>45332</v>
      </c>
      <c r="G265" s="6">
        <v>18</v>
      </c>
      <c r="H265" s="14">
        <v>1002.0675517241378</v>
      </c>
      <c r="I265" s="8" t="s">
        <v>900</v>
      </c>
      <c r="J265" s="4" t="str" cm="1">
        <f t="array" ref="J265">_xlfn.IFS(Table3[[#This Row],[Age (Years)]] &lt; 40, "Young", Table3[[#This Row],[Age (Years)]] &gt;= 40, "Middle", Table3[[#This Row],[Age (Years)]] &gt; 60, "Senior")</f>
        <v>Middle</v>
      </c>
      <c r="K265" s="4" t="str" cm="1">
        <f t="array" ref="K265">_xlfn.IFS(Table3[[#This Row],[Drug_Cost_GBP]] &gt; 1200, "High Cost", Table3[[#This Row],[Drug_Cost_GBP]] &lt; 1200, "Normal")</f>
        <v>Normal</v>
      </c>
      <c r="L265" s="4" t="str" cm="1">
        <f t="array" ref="L265">IFERROR(_xlfn.IFS(Table3[[#This Row],[Age (Years)]]  &gt; 75, "YES", Table3[[#This Row],[Age (Years)]] &lt; 75, "NO"), "UNKNOWN")</f>
        <v>NO</v>
      </c>
      <c r="M265" s="4" t="str">
        <f>IF(Table3[[#This Row],[Drug_Cost_GBP]] &gt; Analysis_Sheet!$B$21, "Above Average", "Within Average")</f>
        <v>Within Average</v>
      </c>
      <c r="N265" s="39" t="str">
        <f t="shared" si="4"/>
        <v>February 2024</v>
      </c>
    </row>
    <row r="266" spans="1:14" x14ac:dyDescent="0.3">
      <c r="A266" s="1" t="s">
        <v>196</v>
      </c>
      <c r="B266" s="17">
        <v>57</v>
      </c>
      <c r="C266" s="2" t="s">
        <v>899</v>
      </c>
      <c r="D266" s="2" t="s">
        <v>14</v>
      </c>
      <c r="E266" s="2" t="s">
        <v>29</v>
      </c>
      <c r="F266" s="3">
        <v>45341</v>
      </c>
      <c r="G266" s="2">
        <v>12</v>
      </c>
      <c r="H266" s="13">
        <v>1002.0675517241378</v>
      </c>
      <c r="I266" s="4" t="s">
        <v>26</v>
      </c>
      <c r="J266" s="8" t="str" cm="1">
        <f t="array" ref="J266">_xlfn.IFS(Table3[[#This Row],[Age (Years)]] &lt; 40, "Young", Table3[[#This Row],[Age (Years)]] &gt;= 40, "Middle", Table3[[#This Row],[Age (Years)]] &gt; 60, "Senior")</f>
        <v>Middle</v>
      </c>
      <c r="K266" s="8" t="str" cm="1">
        <f t="array" ref="K266">_xlfn.IFS(Table3[[#This Row],[Drug_Cost_GBP]] &gt; 1200, "High Cost", Table3[[#This Row],[Drug_Cost_GBP]] &lt; 1200, "Normal")</f>
        <v>Normal</v>
      </c>
      <c r="L266" s="8" t="str" cm="1">
        <f t="array" ref="L266">IFERROR(_xlfn.IFS(Table3[[#This Row],[Age (Years)]]  &gt; 75, "YES", Table3[[#This Row],[Age (Years)]] &lt; 75, "NO"), "UNKNOWN")</f>
        <v>NO</v>
      </c>
      <c r="M266" s="8" t="str">
        <f>IF(Table3[[#This Row],[Drug_Cost_GBP]] &gt; Analysis_Sheet!$B$21, "Above Average", "Within Average")</f>
        <v>Within Average</v>
      </c>
      <c r="N266" s="39" t="str">
        <f t="shared" si="4"/>
        <v>February 2024</v>
      </c>
    </row>
    <row r="267" spans="1:14" x14ac:dyDescent="0.3">
      <c r="A267" s="5" t="s">
        <v>197</v>
      </c>
      <c r="B267" s="18">
        <v>57</v>
      </c>
      <c r="C267" s="6" t="s">
        <v>38</v>
      </c>
      <c r="D267" s="6" t="s">
        <v>900</v>
      </c>
      <c r="E267" s="6" t="s">
        <v>29</v>
      </c>
      <c r="F267" s="7">
        <v>45475</v>
      </c>
      <c r="G267" s="6">
        <v>15</v>
      </c>
      <c r="H267" s="14">
        <v>1002.0675517241378</v>
      </c>
      <c r="I267" s="8" t="s">
        <v>26</v>
      </c>
      <c r="J267" s="4" t="str" cm="1">
        <f t="array" ref="J267">_xlfn.IFS(Table3[[#This Row],[Age (Years)]] &lt; 40, "Young", Table3[[#This Row],[Age (Years)]] &gt;= 40, "Middle", Table3[[#This Row],[Age (Years)]] &gt; 60, "Senior")</f>
        <v>Middle</v>
      </c>
      <c r="K267" s="4" t="str" cm="1">
        <f t="array" ref="K267">_xlfn.IFS(Table3[[#This Row],[Drug_Cost_GBP]] &gt; 1200, "High Cost", Table3[[#This Row],[Drug_Cost_GBP]] &lt; 1200, "Normal")</f>
        <v>Normal</v>
      </c>
      <c r="L267" s="4" t="str" cm="1">
        <f t="array" ref="L267">IFERROR(_xlfn.IFS(Table3[[#This Row],[Age (Years)]]  &gt; 75, "YES", Table3[[#This Row],[Age (Years)]] &lt; 75, "NO"), "UNKNOWN")</f>
        <v>NO</v>
      </c>
      <c r="M267" s="4" t="str">
        <f>IF(Table3[[#This Row],[Drug_Cost_GBP]] &gt; Analysis_Sheet!$B$21, "Above Average", "Within Average")</f>
        <v>Within Average</v>
      </c>
      <c r="N267" s="39" t="str">
        <f t="shared" si="4"/>
        <v>July 2024</v>
      </c>
    </row>
    <row r="268" spans="1:14" x14ac:dyDescent="0.3">
      <c r="A268" s="1" t="s">
        <v>198</v>
      </c>
      <c r="B268" s="17">
        <v>57</v>
      </c>
      <c r="C268" s="2" t="s">
        <v>900</v>
      </c>
      <c r="D268" s="2" t="s">
        <v>900</v>
      </c>
      <c r="E268" s="2" t="s">
        <v>43</v>
      </c>
      <c r="F268" s="3">
        <v>45406</v>
      </c>
      <c r="G268" s="2">
        <v>12</v>
      </c>
      <c r="H268" s="13">
        <v>1002.0675517241378</v>
      </c>
      <c r="I268" s="4" t="s">
        <v>12</v>
      </c>
      <c r="J268" s="8" t="str" cm="1">
        <f t="array" ref="J268">_xlfn.IFS(Table3[[#This Row],[Age (Years)]] &lt; 40, "Young", Table3[[#This Row],[Age (Years)]] &gt;= 40, "Middle", Table3[[#This Row],[Age (Years)]] &gt; 60, "Senior")</f>
        <v>Middle</v>
      </c>
      <c r="K268" s="8" t="str" cm="1">
        <f t="array" ref="K268">_xlfn.IFS(Table3[[#This Row],[Drug_Cost_GBP]] &gt; 1200, "High Cost", Table3[[#This Row],[Drug_Cost_GBP]] &lt; 1200, "Normal")</f>
        <v>Normal</v>
      </c>
      <c r="L268" s="8" t="str" cm="1">
        <f t="array" ref="L268">IFERROR(_xlfn.IFS(Table3[[#This Row],[Age (Years)]]  &gt; 75, "YES", Table3[[#This Row],[Age (Years)]] &lt; 75, "NO"), "UNKNOWN")</f>
        <v>NO</v>
      </c>
      <c r="M268" s="8" t="str">
        <f>IF(Table3[[#This Row],[Drug_Cost_GBP]] &gt; Analysis_Sheet!$B$21, "Above Average", "Within Average")</f>
        <v>Within Average</v>
      </c>
      <c r="N268" s="39" t="str">
        <f t="shared" si="4"/>
        <v>April 2024</v>
      </c>
    </row>
    <row r="269" spans="1:14" x14ac:dyDescent="0.3">
      <c r="A269" s="5" t="s">
        <v>201</v>
      </c>
      <c r="B269" s="18">
        <v>57</v>
      </c>
      <c r="C269" s="6" t="s">
        <v>38</v>
      </c>
      <c r="D269" s="6" t="s">
        <v>25</v>
      </c>
      <c r="E269" s="6" t="s">
        <v>34</v>
      </c>
      <c r="F269" s="7">
        <v>45623</v>
      </c>
      <c r="G269" s="6">
        <v>12</v>
      </c>
      <c r="H269" s="14">
        <v>1161.52</v>
      </c>
      <c r="I269" s="8" t="s">
        <v>12</v>
      </c>
      <c r="J269" s="4" t="str" cm="1">
        <f t="array" ref="J269">_xlfn.IFS(Table3[[#This Row],[Age (Years)]] &lt; 40, "Young", Table3[[#This Row],[Age (Years)]] &gt;= 40, "Middle", Table3[[#This Row],[Age (Years)]] &gt; 60, "Senior")</f>
        <v>Middle</v>
      </c>
      <c r="K269" s="4" t="str" cm="1">
        <f t="array" ref="K269">_xlfn.IFS(Table3[[#This Row],[Drug_Cost_GBP]] &gt; 1200, "High Cost", Table3[[#This Row],[Drug_Cost_GBP]] &lt; 1200, "Normal")</f>
        <v>Normal</v>
      </c>
      <c r="L269" s="4" t="str" cm="1">
        <f t="array" ref="L269">IFERROR(_xlfn.IFS(Table3[[#This Row],[Age (Years)]]  &gt; 75, "YES", Table3[[#This Row],[Age (Years)]] &lt; 75, "NO"), "UNKNOWN")</f>
        <v>NO</v>
      </c>
      <c r="M269" s="4" t="str">
        <f>IF(Table3[[#This Row],[Drug_Cost_GBP]] &gt; Analysis_Sheet!$B$21, "Above Average", "Within Average")</f>
        <v>Above Average</v>
      </c>
      <c r="N269" s="39" t="str">
        <f t="shared" si="4"/>
        <v>November 2024</v>
      </c>
    </row>
    <row r="270" spans="1:14" x14ac:dyDescent="0.3">
      <c r="A270" s="1" t="s">
        <v>202</v>
      </c>
      <c r="B270" s="17">
        <v>57</v>
      </c>
      <c r="C270" s="2" t="s">
        <v>38</v>
      </c>
      <c r="D270" s="2" t="s">
        <v>14</v>
      </c>
      <c r="E270" s="2" t="s">
        <v>11</v>
      </c>
      <c r="F270" s="3">
        <v>45368</v>
      </c>
      <c r="G270" s="2">
        <v>10</v>
      </c>
      <c r="H270" s="13">
        <v>1002.0675517241378</v>
      </c>
      <c r="I270" s="4" t="s">
        <v>21</v>
      </c>
      <c r="J270" s="8" t="str" cm="1">
        <f t="array" ref="J270">_xlfn.IFS(Table3[[#This Row],[Age (Years)]] &lt; 40, "Young", Table3[[#This Row],[Age (Years)]] &gt;= 40, "Middle", Table3[[#This Row],[Age (Years)]] &gt; 60, "Senior")</f>
        <v>Middle</v>
      </c>
      <c r="K270" s="8" t="str" cm="1">
        <f t="array" ref="K270">_xlfn.IFS(Table3[[#This Row],[Drug_Cost_GBP]] &gt; 1200, "High Cost", Table3[[#This Row],[Drug_Cost_GBP]] &lt; 1200, "Normal")</f>
        <v>Normal</v>
      </c>
      <c r="L270" s="8" t="str" cm="1">
        <f t="array" ref="L270">IFERROR(_xlfn.IFS(Table3[[#This Row],[Age (Years)]]  &gt; 75, "YES", Table3[[#This Row],[Age (Years)]] &lt; 75, "NO"), "UNKNOWN")</f>
        <v>NO</v>
      </c>
      <c r="M270" s="8" t="str">
        <f>IF(Table3[[#This Row],[Drug_Cost_GBP]] &gt; Analysis_Sheet!$B$21, "Above Average", "Within Average")</f>
        <v>Within Average</v>
      </c>
      <c r="N270" s="39" t="str">
        <f t="shared" si="4"/>
        <v>March 2024</v>
      </c>
    </row>
    <row r="271" spans="1:14" x14ac:dyDescent="0.3">
      <c r="A271" s="5" t="s">
        <v>203</v>
      </c>
      <c r="B271" s="18">
        <v>57</v>
      </c>
      <c r="C271" s="6" t="s">
        <v>899</v>
      </c>
      <c r="D271" s="6" t="s">
        <v>14</v>
      </c>
      <c r="E271" s="6" t="s">
        <v>11</v>
      </c>
      <c r="F271" s="7">
        <v>45607</v>
      </c>
      <c r="G271" s="6">
        <v>18</v>
      </c>
      <c r="H271" s="14">
        <v>1002.0675517241378</v>
      </c>
      <c r="I271" s="8" t="s">
        <v>26</v>
      </c>
      <c r="J271" s="4" t="str" cm="1">
        <f t="array" ref="J271">_xlfn.IFS(Table3[[#This Row],[Age (Years)]] &lt; 40, "Young", Table3[[#This Row],[Age (Years)]] &gt;= 40, "Middle", Table3[[#This Row],[Age (Years)]] &gt; 60, "Senior")</f>
        <v>Middle</v>
      </c>
      <c r="K271" s="4" t="str" cm="1">
        <f t="array" ref="K271">_xlfn.IFS(Table3[[#This Row],[Drug_Cost_GBP]] &gt; 1200, "High Cost", Table3[[#This Row],[Drug_Cost_GBP]] &lt; 1200, "Normal")</f>
        <v>Normal</v>
      </c>
      <c r="L271" s="4" t="str" cm="1">
        <f t="array" ref="L271">IFERROR(_xlfn.IFS(Table3[[#This Row],[Age (Years)]]  &gt; 75, "YES", Table3[[#This Row],[Age (Years)]] &lt; 75, "NO"), "UNKNOWN")</f>
        <v>NO</v>
      </c>
      <c r="M271" s="4" t="str">
        <f>IF(Table3[[#This Row],[Drug_Cost_GBP]] &gt; Analysis_Sheet!$B$21, "Above Average", "Within Average")</f>
        <v>Within Average</v>
      </c>
      <c r="N271" s="39" t="str">
        <f t="shared" si="4"/>
        <v>November 2024</v>
      </c>
    </row>
    <row r="272" spans="1:14" x14ac:dyDescent="0.3">
      <c r="A272" s="1" t="s">
        <v>204</v>
      </c>
      <c r="B272" s="17">
        <v>57</v>
      </c>
      <c r="C272" s="2" t="s">
        <v>899</v>
      </c>
      <c r="D272" s="2" t="s">
        <v>14</v>
      </c>
      <c r="E272" s="2" t="s">
        <v>23</v>
      </c>
      <c r="F272" s="3">
        <v>45642</v>
      </c>
      <c r="G272" s="2">
        <v>12</v>
      </c>
      <c r="H272" s="13">
        <v>896.28</v>
      </c>
      <c r="I272" s="4" t="s">
        <v>12</v>
      </c>
      <c r="J272" s="8" t="str" cm="1">
        <f t="array" ref="J272">_xlfn.IFS(Table3[[#This Row],[Age (Years)]] &lt; 40, "Young", Table3[[#This Row],[Age (Years)]] &gt;= 40, "Middle", Table3[[#This Row],[Age (Years)]] &gt; 60, "Senior")</f>
        <v>Middle</v>
      </c>
      <c r="K272" s="8" t="str" cm="1">
        <f t="array" ref="K272">_xlfn.IFS(Table3[[#This Row],[Drug_Cost_GBP]] &gt; 1200, "High Cost", Table3[[#This Row],[Drug_Cost_GBP]] &lt; 1200, "Normal")</f>
        <v>Normal</v>
      </c>
      <c r="L272" s="8" t="str" cm="1">
        <f t="array" ref="L272">IFERROR(_xlfn.IFS(Table3[[#This Row],[Age (Years)]]  &gt; 75, "YES", Table3[[#This Row],[Age (Years)]] &lt; 75, "NO"), "UNKNOWN")</f>
        <v>NO</v>
      </c>
      <c r="M272" s="8" t="str">
        <f>IF(Table3[[#This Row],[Drug_Cost_GBP]] &gt; Analysis_Sheet!$B$21, "Above Average", "Within Average")</f>
        <v>Within Average</v>
      </c>
      <c r="N272" s="39" t="str">
        <f t="shared" si="4"/>
        <v>December 2024</v>
      </c>
    </row>
    <row r="273" spans="1:14" x14ac:dyDescent="0.3">
      <c r="A273" s="5" t="s">
        <v>207</v>
      </c>
      <c r="B273" s="18">
        <v>57</v>
      </c>
      <c r="C273" s="6" t="s">
        <v>900</v>
      </c>
      <c r="D273" s="6" t="s">
        <v>51</v>
      </c>
      <c r="E273" s="6" t="s">
        <v>43</v>
      </c>
      <c r="F273" s="7">
        <v>45485</v>
      </c>
      <c r="G273" s="6">
        <v>12</v>
      </c>
      <c r="H273" s="14">
        <v>1002.0675517241378</v>
      </c>
      <c r="I273" s="8" t="s">
        <v>26</v>
      </c>
      <c r="J273" s="4" t="str" cm="1">
        <f t="array" ref="J273">_xlfn.IFS(Table3[[#This Row],[Age (Years)]] &lt; 40, "Young", Table3[[#This Row],[Age (Years)]] &gt;= 40, "Middle", Table3[[#This Row],[Age (Years)]] &gt; 60, "Senior")</f>
        <v>Middle</v>
      </c>
      <c r="K273" s="4" t="str" cm="1">
        <f t="array" ref="K273">_xlfn.IFS(Table3[[#This Row],[Drug_Cost_GBP]] &gt; 1200, "High Cost", Table3[[#This Row],[Drug_Cost_GBP]] &lt; 1200, "Normal")</f>
        <v>Normal</v>
      </c>
      <c r="L273" s="4" t="str" cm="1">
        <f t="array" ref="L273">IFERROR(_xlfn.IFS(Table3[[#This Row],[Age (Years)]]  &gt; 75, "YES", Table3[[#This Row],[Age (Years)]] &lt; 75, "NO"), "UNKNOWN")</f>
        <v>NO</v>
      </c>
      <c r="M273" s="4" t="str">
        <f>IF(Table3[[#This Row],[Drug_Cost_GBP]] &gt; Analysis_Sheet!$B$21, "Above Average", "Within Average")</f>
        <v>Within Average</v>
      </c>
      <c r="N273" s="39" t="str">
        <f t="shared" si="4"/>
        <v>July 2024</v>
      </c>
    </row>
    <row r="274" spans="1:14" x14ac:dyDescent="0.3">
      <c r="A274" s="1" t="s">
        <v>208</v>
      </c>
      <c r="B274" s="17">
        <v>57</v>
      </c>
      <c r="C274" s="2" t="s">
        <v>900</v>
      </c>
      <c r="D274" s="2" t="s">
        <v>14</v>
      </c>
      <c r="E274" s="2" t="s">
        <v>34</v>
      </c>
      <c r="F274" s="3">
        <v>45459</v>
      </c>
      <c r="G274" s="2">
        <v>16</v>
      </c>
      <c r="H274" s="13">
        <v>1002.0675517241378</v>
      </c>
      <c r="I274" s="4" t="s">
        <v>12</v>
      </c>
      <c r="J274" s="8" t="str" cm="1">
        <f t="array" ref="J274">_xlfn.IFS(Table3[[#This Row],[Age (Years)]] &lt; 40, "Young", Table3[[#This Row],[Age (Years)]] &gt;= 40, "Middle", Table3[[#This Row],[Age (Years)]] &gt; 60, "Senior")</f>
        <v>Middle</v>
      </c>
      <c r="K274" s="8" t="str" cm="1">
        <f t="array" ref="K274">_xlfn.IFS(Table3[[#This Row],[Drug_Cost_GBP]] &gt; 1200, "High Cost", Table3[[#This Row],[Drug_Cost_GBP]] &lt; 1200, "Normal")</f>
        <v>Normal</v>
      </c>
      <c r="L274" s="8" t="str" cm="1">
        <f t="array" ref="L274">IFERROR(_xlfn.IFS(Table3[[#This Row],[Age (Years)]]  &gt; 75, "YES", Table3[[#This Row],[Age (Years)]] &lt; 75, "NO"), "UNKNOWN")</f>
        <v>NO</v>
      </c>
      <c r="M274" s="8" t="str">
        <f>IF(Table3[[#This Row],[Drug_Cost_GBP]] &gt; Analysis_Sheet!$B$21, "Above Average", "Within Average")</f>
        <v>Within Average</v>
      </c>
      <c r="N274" s="39" t="str">
        <f t="shared" si="4"/>
        <v>June 2024</v>
      </c>
    </row>
    <row r="275" spans="1:14" x14ac:dyDescent="0.3">
      <c r="A275" s="5" t="s">
        <v>209</v>
      </c>
      <c r="B275" s="18">
        <v>57</v>
      </c>
      <c r="C275" s="6" t="s">
        <v>38</v>
      </c>
      <c r="D275" s="6" t="s">
        <v>48</v>
      </c>
      <c r="E275" s="6" t="s">
        <v>43</v>
      </c>
      <c r="F275" s="7">
        <v>45485</v>
      </c>
      <c r="G275" s="6">
        <v>12</v>
      </c>
      <c r="H275" s="14">
        <v>1819.82</v>
      </c>
      <c r="I275" s="8" t="s">
        <v>21</v>
      </c>
      <c r="J275" s="4" t="str" cm="1">
        <f t="array" ref="J275">_xlfn.IFS(Table3[[#This Row],[Age (Years)]] &lt; 40, "Young", Table3[[#This Row],[Age (Years)]] &gt;= 40, "Middle", Table3[[#This Row],[Age (Years)]] &gt; 60, "Senior")</f>
        <v>Middle</v>
      </c>
      <c r="K275" s="4" t="str" cm="1">
        <f t="array" ref="K275">_xlfn.IFS(Table3[[#This Row],[Drug_Cost_GBP]] &gt; 1200, "High Cost", Table3[[#This Row],[Drug_Cost_GBP]] &lt; 1200, "Normal")</f>
        <v>High Cost</v>
      </c>
      <c r="L275" s="4" t="str" cm="1">
        <f t="array" ref="L275">IFERROR(_xlfn.IFS(Table3[[#This Row],[Age (Years)]]  &gt; 75, "YES", Table3[[#This Row],[Age (Years)]] &lt; 75, "NO"), "UNKNOWN")</f>
        <v>NO</v>
      </c>
      <c r="M275" s="4" t="str">
        <f>IF(Table3[[#This Row],[Drug_Cost_GBP]] &gt; Analysis_Sheet!$B$21, "Above Average", "Within Average")</f>
        <v>Above Average</v>
      </c>
      <c r="N275" s="39" t="str">
        <f t="shared" si="4"/>
        <v>July 2024</v>
      </c>
    </row>
    <row r="276" spans="1:14" x14ac:dyDescent="0.3">
      <c r="A276" s="1" t="s">
        <v>210</v>
      </c>
      <c r="B276" s="17">
        <v>57</v>
      </c>
      <c r="C276" s="2" t="s">
        <v>900</v>
      </c>
      <c r="D276" s="2" t="s">
        <v>898</v>
      </c>
      <c r="E276" s="2" t="s">
        <v>23</v>
      </c>
      <c r="F276" s="3" t="s">
        <v>900</v>
      </c>
      <c r="G276" s="2">
        <v>4</v>
      </c>
      <c r="H276" s="13">
        <v>1576.8</v>
      </c>
      <c r="I276" s="4" t="s">
        <v>16</v>
      </c>
      <c r="J276" s="8" t="str" cm="1">
        <f t="array" ref="J276">_xlfn.IFS(Table3[[#This Row],[Age (Years)]] &lt; 40, "Young", Table3[[#This Row],[Age (Years)]] &gt;= 40, "Middle", Table3[[#This Row],[Age (Years)]] &gt; 60, "Senior")</f>
        <v>Middle</v>
      </c>
      <c r="K276" s="8" t="str" cm="1">
        <f t="array" ref="K276">_xlfn.IFS(Table3[[#This Row],[Drug_Cost_GBP]] &gt; 1200, "High Cost", Table3[[#This Row],[Drug_Cost_GBP]] &lt; 1200, "Normal")</f>
        <v>High Cost</v>
      </c>
      <c r="L276" s="8" t="str" cm="1">
        <f t="array" ref="L276">IFERROR(_xlfn.IFS(Table3[[#This Row],[Age (Years)]]  &gt; 75, "YES", Table3[[#This Row],[Age (Years)]] &lt; 75, "NO"), "UNKNOWN")</f>
        <v>NO</v>
      </c>
      <c r="M276" s="8" t="str">
        <f>IF(Table3[[#This Row],[Drug_Cost_GBP]] &gt; Analysis_Sheet!$B$21, "Above Average", "Within Average")</f>
        <v>Above Average</v>
      </c>
      <c r="N276" s="39" t="str">
        <f t="shared" si="4"/>
        <v>Unknown</v>
      </c>
    </row>
    <row r="277" spans="1:14" x14ac:dyDescent="0.3">
      <c r="A277" s="5" t="s">
        <v>211</v>
      </c>
      <c r="B277" s="18">
        <v>57</v>
      </c>
      <c r="C277" s="6" t="s">
        <v>900</v>
      </c>
      <c r="D277" s="6" t="s">
        <v>19</v>
      </c>
      <c r="E277" s="6" t="s">
        <v>23</v>
      </c>
      <c r="F277" s="7">
        <v>45590</v>
      </c>
      <c r="G277" s="6">
        <v>12</v>
      </c>
      <c r="H277" s="14">
        <v>1002.0675517241378</v>
      </c>
      <c r="I277" s="8" t="s">
        <v>21</v>
      </c>
      <c r="J277" s="4" t="str" cm="1">
        <f t="array" ref="J277">_xlfn.IFS(Table3[[#This Row],[Age (Years)]] &lt; 40, "Young", Table3[[#This Row],[Age (Years)]] &gt;= 40, "Middle", Table3[[#This Row],[Age (Years)]] &gt; 60, "Senior")</f>
        <v>Middle</v>
      </c>
      <c r="K277" s="4" t="str" cm="1">
        <f t="array" ref="K277">_xlfn.IFS(Table3[[#This Row],[Drug_Cost_GBP]] &gt; 1200, "High Cost", Table3[[#This Row],[Drug_Cost_GBP]] &lt; 1200, "Normal")</f>
        <v>Normal</v>
      </c>
      <c r="L277" s="4" t="str" cm="1">
        <f t="array" ref="L277">IFERROR(_xlfn.IFS(Table3[[#This Row],[Age (Years)]]  &gt; 75, "YES", Table3[[#This Row],[Age (Years)]] &lt; 75, "NO"), "UNKNOWN")</f>
        <v>NO</v>
      </c>
      <c r="M277" s="4" t="str">
        <f>IF(Table3[[#This Row],[Drug_Cost_GBP]] &gt; Analysis_Sheet!$B$21, "Above Average", "Within Average")</f>
        <v>Within Average</v>
      </c>
      <c r="N277" s="39" t="str">
        <f t="shared" si="4"/>
        <v>October 2024</v>
      </c>
    </row>
    <row r="278" spans="1:14" x14ac:dyDescent="0.3">
      <c r="A278" s="1" t="s">
        <v>212</v>
      </c>
      <c r="B278" s="17">
        <v>57</v>
      </c>
      <c r="C278" s="2" t="s">
        <v>38</v>
      </c>
      <c r="D278" s="2" t="s">
        <v>14</v>
      </c>
      <c r="E278" s="2" t="s">
        <v>34</v>
      </c>
      <c r="F278" s="3" t="s">
        <v>900</v>
      </c>
      <c r="G278" s="2">
        <v>12</v>
      </c>
      <c r="H278" s="13">
        <v>535.62</v>
      </c>
      <c r="I278" s="4" t="s">
        <v>12</v>
      </c>
      <c r="J278" s="8" t="str" cm="1">
        <f t="array" ref="J278">_xlfn.IFS(Table3[[#This Row],[Age (Years)]] &lt; 40, "Young", Table3[[#This Row],[Age (Years)]] &gt;= 40, "Middle", Table3[[#This Row],[Age (Years)]] &gt; 60, "Senior")</f>
        <v>Middle</v>
      </c>
      <c r="K278" s="8" t="str" cm="1">
        <f t="array" ref="K278">_xlfn.IFS(Table3[[#This Row],[Drug_Cost_GBP]] &gt; 1200, "High Cost", Table3[[#This Row],[Drug_Cost_GBP]] &lt; 1200, "Normal")</f>
        <v>Normal</v>
      </c>
      <c r="L278" s="8" t="str" cm="1">
        <f t="array" ref="L278">IFERROR(_xlfn.IFS(Table3[[#This Row],[Age (Years)]]  &gt; 75, "YES", Table3[[#This Row],[Age (Years)]] &lt; 75, "NO"), "UNKNOWN")</f>
        <v>NO</v>
      </c>
      <c r="M278" s="8" t="str">
        <f>IF(Table3[[#This Row],[Drug_Cost_GBP]] &gt; Analysis_Sheet!$B$21, "Above Average", "Within Average")</f>
        <v>Within Average</v>
      </c>
      <c r="N278" s="39" t="str">
        <f t="shared" si="4"/>
        <v>Unknown</v>
      </c>
    </row>
    <row r="279" spans="1:14" x14ac:dyDescent="0.3">
      <c r="A279" s="5" t="s">
        <v>213</v>
      </c>
      <c r="B279" s="18">
        <v>57</v>
      </c>
      <c r="C279" s="6" t="s">
        <v>900</v>
      </c>
      <c r="D279" s="6" t="s">
        <v>51</v>
      </c>
      <c r="E279" s="6" t="s">
        <v>34</v>
      </c>
      <c r="F279" s="7">
        <v>45552</v>
      </c>
      <c r="G279" s="6">
        <v>12</v>
      </c>
      <c r="H279" s="14">
        <v>1002.0675517241378</v>
      </c>
      <c r="I279" s="8" t="s">
        <v>26</v>
      </c>
      <c r="J279" s="8" t="str" cm="1">
        <f t="array" ref="J279">_xlfn.IFS(Table3[[#This Row],[Age (Years)]] &lt; 40, "Young", Table3[[#This Row],[Age (Years)]] &gt;= 40, "Middle", Table3[[#This Row],[Age (Years)]] &gt; 60, "Senior")</f>
        <v>Middle</v>
      </c>
      <c r="K279" s="8" t="str" cm="1">
        <f t="array" ref="K279">_xlfn.IFS(Table3[[#This Row],[Drug_Cost_GBP]] &gt; 1200, "High Cost", Table3[[#This Row],[Drug_Cost_GBP]] &lt; 1200, "Normal")</f>
        <v>Normal</v>
      </c>
      <c r="L279" s="8" t="str" cm="1">
        <f t="array" ref="L279">IFERROR(_xlfn.IFS(Table3[[#This Row],[Age (Years)]]  &gt; 75, "YES", Table3[[#This Row],[Age (Years)]] &lt; 75, "NO"), "UNKNOWN")</f>
        <v>NO</v>
      </c>
      <c r="M279" s="8" t="str">
        <f>IF(Table3[[#This Row],[Drug_Cost_GBP]] &gt; Analysis_Sheet!$B$21, "Above Average", "Within Average")</f>
        <v>Within Average</v>
      </c>
      <c r="N279" s="39" t="str">
        <f t="shared" si="4"/>
        <v>September 2024</v>
      </c>
    </row>
    <row r="280" spans="1:14" x14ac:dyDescent="0.3">
      <c r="A280" s="5" t="s">
        <v>215</v>
      </c>
      <c r="B280" s="18">
        <v>57</v>
      </c>
      <c r="C280" s="6" t="s">
        <v>899</v>
      </c>
      <c r="D280" s="6" t="s">
        <v>25</v>
      </c>
      <c r="E280" s="6" t="s">
        <v>43</v>
      </c>
      <c r="F280" s="7">
        <v>45573</v>
      </c>
      <c r="G280" s="6">
        <v>12</v>
      </c>
      <c r="H280" s="14">
        <v>1807.39</v>
      </c>
      <c r="I280" s="8" t="s">
        <v>16</v>
      </c>
      <c r="J280" s="8" t="str" cm="1">
        <f t="array" ref="J280">_xlfn.IFS(Table3[[#This Row],[Age (Years)]] &lt; 40, "Young", Table3[[#This Row],[Age (Years)]] &gt;= 40, "Middle", Table3[[#This Row],[Age (Years)]] &gt; 60, "Senior")</f>
        <v>Middle</v>
      </c>
      <c r="K280" s="8" t="str" cm="1">
        <f t="array" ref="K280">_xlfn.IFS(Table3[[#This Row],[Drug_Cost_GBP]] &gt; 1200, "High Cost", Table3[[#This Row],[Drug_Cost_GBP]] &lt; 1200, "Normal")</f>
        <v>High Cost</v>
      </c>
      <c r="L280" s="8" t="str" cm="1">
        <f t="array" ref="L280">IFERROR(_xlfn.IFS(Table3[[#This Row],[Age (Years)]]  &gt; 75, "YES", Table3[[#This Row],[Age (Years)]] &lt; 75, "NO"), "UNKNOWN")</f>
        <v>NO</v>
      </c>
      <c r="M280" s="8" t="str">
        <f>IF(Table3[[#This Row],[Drug_Cost_GBP]] &gt; Analysis_Sheet!$B$21, "Above Average", "Within Average")</f>
        <v>Above Average</v>
      </c>
      <c r="N280" s="39" t="str">
        <f t="shared" si="4"/>
        <v>October 2024</v>
      </c>
    </row>
    <row r="281" spans="1:14" x14ac:dyDescent="0.3">
      <c r="A281" s="5" t="s">
        <v>217</v>
      </c>
      <c r="B281" s="18">
        <v>57</v>
      </c>
      <c r="C281" s="6" t="s">
        <v>38</v>
      </c>
      <c r="D281" s="6" t="s">
        <v>19</v>
      </c>
      <c r="E281" s="6" t="s">
        <v>11</v>
      </c>
      <c r="F281" s="7">
        <v>45307</v>
      </c>
      <c r="G281" s="6">
        <v>3</v>
      </c>
      <c r="H281" s="14">
        <v>1002.0675517241378</v>
      </c>
      <c r="I281" s="8" t="s">
        <v>16</v>
      </c>
      <c r="J281" s="4" t="str" cm="1">
        <f t="array" ref="J281">_xlfn.IFS(Table3[[#This Row],[Age (Years)]] &lt; 40, "Young", Table3[[#This Row],[Age (Years)]] &gt;= 40, "Middle", Table3[[#This Row],[Age (Years)]] &gt; 60, "Senior")</f>
        <v>Middle</v>
      </c>
      <c r="K281" s="4" t="str" cm="1">
        <f t="array" ref="K281">_xlfn.IFS(Table3[[#This Row],[Drug_Cost_GBP]] &gt; 1200, "High Cost", Table3[[#This Row],[Drug_Cost_GBP]] &lt; 1200, "Normal")</f>
        <v>Normal</v>
      </c>
      <c r="L281" s="4" t="str" cm="1">
        <f t="array" ref="L281">IFERROR(_xlfn.IFS(Table3[[#This Row],[Age (Years)]]  &gt; 75, "YES", Table3[[#This Row],[Age (Years)]] &lt; 75, "NO"), "UNKNOWN")</f>
        <v>NO</v>
      </c>
      <c r="M281" s="4" t="str">
        <f>IF(Table3[[#This Row],[Drug_Cost_GBP]] &gt; Analysis_Sheet!$B$21, "Above Average", "Within Average")</f>
        <v>Within Average</v>
      </c>
      <c r="N281" s="39" t="str">
        <f t="shared" si="4"/>
        <v>January 2024</v>
      </c>
    </row>
    <row r="282" spans="1:14" x14ac:dyDescent="0.3">
      <c r="A282" s="1" t="s">
        <v>218</v>
      </c>
      <c r="B282" s="17">
        <v>57</v>
      </c>
      <c r="C282" s="2" t="s">
        <v>900</v>
      </c>
      <c r="D282" s="2" t="s">
        <v>900</v>
      </c>
      <c r="E282" s="2" t="s">
        <v>23</v>
      </c>
      <c r="F282" s="3" t="s">
        <v>900</v>
      </c>
      <c r="G282" s="2">
        <v>10</v>
      </c>
      <c r="H282" s="13">
        <v>851.84</v>
      </c>
      <c r="I282" s="4" t="s">
        <v>21</v>
      </c>
      <c r="J282" s="4" t="str" cm="1">
        <f t="array" ref="J282">_xlfn.IFS(Table3[[#This Row],[Age (Years)]] &lt; 40, "Young", Table3[[#This Row],[Age (Years)]] &gt;= 40, "Middle", Table3[[#This Row],[Age (Years)]] &gt; 60, "Senior")</f>
        <v>Middle</v>
      </c>
      <c r="K282" s="4" t="str" cm="1">
        <f t="array" ref="K282">_xlfn.IFS(Table3[[#This Row],[Drug_Cost_GBP]] &gt; 1200, "High Cost", Table3[[#This Row],[Drug_Cost_GBP]] &lt; 1200, "Normal")</f>
        <v>Normal</v>
      </c>
      <c r="L282" s="4" t="str" cm="1">
        <f t="array" ref="L282">IFERROR(_xlfn.IFS(Table3[[#This Row],[Age (Years)]]  &gt; 75, "YES", Table3[[#This Row],[Age (Years)]] &lt; 75, "NO"), "UNKNOWN")</f>
        <v>NO</v>
      </c>
      <c r="M282" s="4" t="str">
        <f>IF(Table3[[#This Row],[Drug_Cost_GBP]] &gt; Analysis_Sheet!$B$21, "Above Average", "Within Average")</f>
        <v>Within Average</v>
      </c>
      <c r="N282" s="39" t="str">
        <f t="shared" si="4"/>
        <v>Unknown</v>
      </c>
    </row>
    <row r="283" spans="1:14" x14ac:dyDescent="0.3">
      <c r="A283" s="1" t="s">
        <v>220</v>
      </c>
      <c r="B283" s="17">
        <v>57</v>
      </c>
      <c r="C283" s="2" t="s">
        <v>38</v>
      </c>
      <c r="D283" s="2" t="s">
        <v>51</v>
      </c>
      <c r="E283" s="2" t="s">
        <v>57</v>
      </c>
      <c r="F283" s="3">
        <v>45561</v>
      </c>
      <c r="G283" s="2">
        <v>12</v>
      </c>
      <c r="H283" s="13">
        <v>1002.0675517241378</v>
      </c>
      <c r="I283" s="4" t="s">
        <v>26</v>
      </c>
      <c r="J283" s="4" t="str" cm="1">
        <f t="array" ref="J283">_xlfn.IFS(Table3[[#This Row],[Age (Years)]] &lt; 40, "Young", Table3[[#This Row],[Age (Years)]] &gt;= 40, "Middle", Table3[[#This Row],[Age (Years)]] &gt; 60, "Senior")</f>
        <v>Middle</v>
      </c>
      <c r="K283" s="4" t="str" cm="1">
        <f t="array" ref="K283">_xlfn.IFS(Table3[[#This Row],[Drug_Cost_GBP]] &gt; 1200, "High Cost", Table3[[#This Row],[Drug_Cost_GBP]] &lt; 1200, "Normal")</f>
        <v>Normal</v>
      </c>
      <c r="L283" s="4" t="str" cm="1">
        <f t="array" ref="L283">IFERROR(_xlfn.IFS(Table3[[#This Row],[Age (Years)]]  &gt; 75, "YES", Table3[[#This Row],[Age (Years)]] &lt; 75, "NO"), "UNKNOWN")</f>
        <v>NO</v>
      </c>
      <c r="M283" s="4" t="str">
        <f>IF(Table3[[#This Row],[Drug_Cost_GBP]] &gt; Analysis_Sheet!$B$21, "Above Average", "Within Average")</f>
        <v>Within Average</v>
      </c>
      <c r="N283" s="39" t="str">
        <f t="shared" si="4"/>
        <v>September 2024</v>
      </c>
    </row>
    <row r="284" spans="1:14" x14ac:dyDescent="0.3">
      <c r="A284" s="1" t="s">
        <v>222</v>
      </c>
      <c r="B284" s="17">
        <v>57</v>
      </c>
      <c r="C284" s="2" t="s">
        <v>38</v>
      </c>
      <c r="D284" s="2" t="s">
        <v>900</v>
      </c>
      <c r="E284" s="2" t="s">
        <v>23</v>
      </c>
      <c r="F284" s="3" t="s">
        <v>900</v>
      </c>
      <c r="G284" s="2">
        <v>12</v>
      </c>
      <c r="H284" s="13">
        <v>1002.0675517241378</v>
      </c>
      <c r="I284" s="4" t="s">
        <v>900</v>
      </c>
      <c r="J284" s="4" t="str" cm="1">
        <f t="array" ref="J284">_xlfn.IFS(Table3[[#This Row],[Age (Years)]] &lt; 40, "Young", Table3[[#This Row],[Age (Years)]] &gt;= 40, "Middle", Table3[[#This Row],[Age (Years)]] &gt; 60, "Senior")</f>
        <v>Middle</v>
      </c>
      <c r="K284" s="4" t="str" cm="1">
        <f t="array" ref="K284">_xlfn.IFS(Table3[[#This Row],[Drug_Cost_GBP]] &gt; 1200, "High Cost", Table3[[#This Row],[Drug_Cost_GBP]] &lt; 1200, "Normal")</f>
        <v>Normal</v>
      </c>
      <c r="L284" s="4" t="str" cm="1">
        <f t="array" ref="L284">IFERROR(_xlfn.IFS(Table3[[#This Row],[Age (Years)]]  &gt; 75, "YES", Table3[[#This Row],[Age (Years)]] &lt; 75, "NO"), "UNKNOWN")</f>
        <v>NO</v>
      </c>
      <c r="M284" s="4" t="str">
        <f>IF(Table3[[#This Row],[Drug_Cost_GBP]] &gt; Analysis_Sheet!$B$21, "Above Average", "Within Average")</f>
        <v>Within Average</v>
      </c>
      <c r="N284" s="39" t="str">
        <f t="shared" si="4"/>
        <v>Unknown</v>
      </c>
    </row>
    <row r="285" spans="1:14" x14ac:dyDescent="0.3">
      <c r="A285" s="1" t="s">
        <v>224</v>
      </c>
      <c r="B285" s="17">
        <v>57</v>
      </c>
      <c r="C285" s="2" t="s">
        <v>899</v>
      </c>
      <c r="D285" s="2" t="s">
        <v>900</v>
      </c>
      <c r="E285" s="2" t="s">
        <v>23</v>
      </c>
      <c r="F285" s="3">
        <v>45361</v>
      </c>
      <c r="G285" s="2">
        <v>12</v>
      </c>
      <c r="H285" s="13">
        <v>1985.44</v>
      </c>
      <c r="I285" s="4" t="s">
        <v>21</v>
      </c>
      <c r="J285" s="8" t="str" cm="1">
        <f t="array" ref="J285">_xlfn.IFS(Table3[[#This Row],[Age (Years)]] &lt; 40, "Young", Table3[[#This Row],[Age (Years)]] &gt;= 40, "Middle", Table3[[#This Row],[Age (Years)]] &gt; 60, "Senior")</f>
        <v>Middle</v>
      </c>
      <c r="K285" s="8" t="str" cm="1">
        <f t="array" ref="K285">_xlfn.IFS(Table3[[#This Row],[Drug_Cost_GBP]] &gt; 1200, "High Cost", Table3[[#This Row],[Drug_Cost_GBP]] &lt; 1200, "Normal")</f>
        <v>High Cost</v>
      </c>
      <c r="L285" s="8" t="str" cm="1">
        <f t="array" ref="L285">IFERROR(_xlfn.IFS(Table3[[#This Row],[Age (Years)]]  &gt; 75, "YES", Table3[[#This Row],[Age (Years)]] &lt; 75, "NO"), "UNKNOWN")</f>
        <v>NO</v>
      </c>
      <c r="M285" s="8" t="str">
        <f>IF(Table3[[#This Row],[Drug_Cost_GBP]] &gt; Analysis_Sheet!$B$21, "Above Average", "Within Average")</f>
        <v>Above Average</v>
      </c>
      <c r="N285" s="39" t="str">
        <f t="shared" si="4"/>
        <v>March 2024</v>
      </c>
    </row>
    <row r="286" spans="1:14" x14ac:dyDescent="0.3">
      <c r="A286" s="5" t="s">
        <v>227</v>
      </c>
      <c r="B286" s="18">
        <v>57</v>
      </c>
      <c r="C286" s="6" t="s">
        <v>899</v>
      </c>
      <c r="D286" s="6" t="s">
        <v>51</v>
      </c>
      <c r="E286" s="6" t="s">
        <v>43</v>
      </c>
      <c r="F286" s="7">
        <v>45634</v>
      </c>
      <c r="G286" s="6">
        <v>12</v>
      </c>
      <c r="H286" s="14">
        <v>1002.0675517241378</v>
      </c>
      <c r="I286" s="8" t="s">
        <v>21</v>
      </c>
      <c r="J286" s="4" t="str" cm="1">
        <f t="array" ref="J286">_xlfn.IFS(Table3[[#This Row],[Age (Years)]] &lt; 40, "Young", Table3[[#This Row],[Age (Years)]] &gt;= 40, "Middle", Table3[[#This Row],[Age (Years)]] &gt; 60, "Senior")</f>
        <v>Middle</v>
      </c>
      <c r="K286" s="4" t="str" cm="1">
        <f t="array" ref="K286">_xlfn.IFS(Table3[[#This Row],[Drug_Cost_GBP]] &gt; 1200, "High Cost", Table3[[#This Row],[Drug_Cost_GBP]] &lt; 1200, "Normal")</f>
        <v>Normal</v>
      </c>
      <c r="L286" s="4" t="str" cm="1">
        <f t="array" ref="L286">IFERROR(_xlfn.IFS(Table3[[#This Row],[Age (Years)]]  &gt; 75, "YES", Table3[[#This Row],[Age (Years)]] &lt; 75, "NO"), "UNKNOWN")</f>
        <v>NO</v>
      </c>
      <c r="M286" s="4" t="str">
        <f>IF(Table3[[#This Row],[Drug_Cost_GBP]] &gt; Analysis_Sheet!$B$21, "Above Average", "Within Average")</f>
        <v>Within Average</v>
      </c>
      <c r="N286" s="39" t="str">
        <f t="shared" si="4"/>
        <v>December 2024</v>
      </c>
    </row>
    <row r="287" spans="1:14" x14ac:dyDescent="0.3">
      <c r="A287" s="1" t="s">
        <v>230</v>
      </c>
      <c r="B287" s="17">
        <v>57</v>
      </c>
      <c r="C287" s="2" t="s">
        <v>899</v>
      </c>
      <c r="D287" s="2" t="s">
        <v>25</v>
      </c>
      <c r="E287" s="2" t="s">
        <v>11</v>
      </c>
      <c r="F287" s="3">
        <v>45442</v>
      </c>
      <c r="G287" s="2">
        <v>12</v>
      </c>
      <c r="H287" s="13">
        <v>1002.0675517241378</v>
      </c>
      <c r="I287" s="4" t="s">
        <v>21</v>
      </c>
      <c r="J287" s="8" t="str" cm="1">
        <f t="array" ref="J287">_xlfn.IFS(Table3[[#This Row],[Age (Years)]] &lt; 40, "Young", Table3[[#This Row],[Age (Years)]] &gt;= 40, "Middle", Table3[[#This Row],[Age (Years)]] &gt; 60, "Senior")</f>
        <v>Middle</v>
      </c>
      <c r="K287" s="8" t="str" cm="1">
        <f t="array" ref="K287">_xlfn.IFS(Table3[[#This Row],[Drug_Cost_GBP]] &gt; 1200, "High Cost", Table3[[#This Row],[Drug_Cost_GBP]] &lt; 1200, "Normal")</f>
        <v>Normal</v>
      </c>
      <c r="L287" s="8" t="str" cm="1">
        <f t="array" ref="L287">IFERROR(_xlfn.IFS(Table3[[#This Row],[Age (Years)]]  &gt; 75, "YES", Table3[[#This Row],[Age (Years)]] &lt; 75, "NO"), "UNKNOWN")</f>
        <v>NO</v>
      </c>
      <c r="M287" s="8" t="str">
        <f>IF(Table3[[#This Row],[Drug_Cost_GBP]] &gt; Analysis_Sheet!$B$21, "Above Average", "Within Average")</f>
        <v>Within Average</v>
      </c>
      <c r="N287" s="39" t="str">
        <f t="shared" si="4"/>
        <v>May 2024</v>
      </c>
    </row>
    <row r="288" spans="1:14" x14ac:dyDescent="0.3">
      <c r="A288" s="5" t="s">
        <v>231</v>
      </c>
      <c r="B288" s="18">
        <v>57</v>
      </c>
      <c r="C288" s="6" t="s">
        <v>38</v>
      </c>
      <c r="D288" s="6" t="s">
        <v>25</v>
      </c>
      <c r="E288" s="6" t="s">
        <v>23</v>
      </c>
      <c r="F288" s="7" t="s">
        <v>900</v>
      </c>
      <c r="G288" s="6">
        <v>18</v>
      </c>
      <c r="H288" s="14">
        <v>592.25</v>
      </c>
      <c r="I288" s="8" t="s">
        <v>26</v>
      </c>
      <c r="J288" s="4" t="str" cm="1">
        <f t="array" ref="J288">_xlfn.IFS(Table3[[#This Row],[Age (Years)]] &lt; 40, "Young", Table3[[#This Row],[Age (Years)]] &gt;= 40, "Middle", Table3[[#This Row],[Age (Years)]] &gt; 60, "Senior")</f>
        <v>Middle</v>
      </c>
      <c r="K288" s="4" t="str" cm="1">
        <f t="array" ref="K288">_xlfn.IFS(Table3[[#This Row],[Drug_Cost_GBP]] &gt; 1200, "High Cost", Table3[[#This Row],[Drug_Cost_GBP]] &lt; 1200, "Normal")</f>
        <v>Normal</v>
      </c>
      <c r="L288" s="4" t="str" cm="1">
        <f t="array" ref="L288">IFERROR(_xlfn.IFS(Table3[[#This Row],[Age (Years)]]  &gt; 75, "YES", Table3[[#This Row],[Age (Years)]] &lt; 75, "NO"), "UNKNOWN")</f>
        <v>NO</v>
      </c>
      <c r="M288" s="4" t="str">
        <f>IF(Table3[[#This Row],[Drug_Cost_GBP]] &gt; Analysis_Sheet!$B$21, "Above Average", "Within Average")</f>
        <v>Within Average</v>
      </c>
      <c r="N288" s="39" t="str">
        <f t="shared" si="4"/>
        <v>Unknown</v>
      </c>
    </row>
    <row r="289" spans="1:14" x14ac:dyDescent="0.3">
      <c r="A289" s="1" t="s">
        <v>232</v>
      </c>
      <c r="B289" s="17">
        <v>57</v>
      </c>
      <c r="C289" s="2" t="s">
        <v>899</v>
      </c>
      <c r="D289" s="2" t="s">
        <v>898</v>
      </c>
      <c r="E289" s="2" t="s">
        <v>34</v>
      </c>
      <c r="F289" s="3">
        <v>45547</v>
      </c>
      <c r="G289" s="2">
        <v>1</v>
      </c>
      <c r="H289" s="13">
        <v>710.36</v>
      </c>
      <c r="I289" s="4" t="s">
        <v>900</v>
      </c>
      <c r="J289" s="8" t="str" cm="1">
        <f t="array" ref="J289">_xlfn.IFS(Table3[[#This Row],[Age (Years)]] &lt; 40, "Young", Table3[[#This Row],[Age (Years)]] &gt;= 40, "Middle", Table3[[#This Row],[Age (Years)]] &gt; 60, "Senior")</f>
        <v>Middle</v>
      </c>
      <c r="K289" s="8" t="str" cm="1">
        <f t="array" ref="K289">_xlfn.IFS(Table3[[#This Row],[Drug_Cost_GBP]] &gt; 1200, "High Cost", Table3[[#This Row],[Drug_Cost_GBP]] &lt; 1200, "Normal")</f>
        <v>Normal</v>
      </c>
      <c r="L289" s="8" t="str" cm="1">
        <f t="array" ref="L289">IFERROR(_xlfn.IFS(Table3[[#This Row],[Age (Years)]]  &gt; 75, "YES", Table3[[#This Row],[Age (Years)]] &lt; 75, "NO"), "UNKNOWN")</f>
        <v>NO</v>
      </c>
      <c r="M289" s="8" t="str">
        <f>IF(Table3[[#This Row],[Drug_Cost_GBP]] &gt; Analysis_Sheet!$B$21, "Above Average", "Within Average")</f>
        <v>Within Average</v>
      </c>
      <c r="N289" s="39" t="str">
        <f t="shared" si="4"/>
        <v>September 2024</v>
      </c>
    </row>
    <row r="290" spans="1:14" x14ac:dyDescent="0.3">
      <c r="A290" s="5" t="s">
        <v>233</v>
      </c>
      <c r="B290" s="18">
        <v>57</v>
      </c>
      <c r="C290" s="6" t="s">
        <v>38</v>
      </c>
      <c r="D290" s="6" t="s">
        <v>900</v>
      </c>
      <c r="E290" s="6" t="s">
        <v>34</v>
      </c>
      <c r="F290" s="7">
        <v>45423</v>
      </c>
      <c r="G290" s="6">
        <v>12</v>
      </c>
      <c r="H290" s="14">
        <v>1002.0675517241378</v>
      </c>
      <c r="I290" s="8" t="s">
        <v>12</v>
      </c>
      <c r="J290" s="4" t="str" cm="1">
        <f t="array" ref="J290">_xlfn.IFS(Table3[[#This Row],[Age (Years)]] &lt; 40, "Young", Table3[[#This Row],[Age (Years)]] &gt;= 40, "Middle", Table3[[#This Row],[Age (Years)]] &gt; 60, "Senior")</f>
        <v>Middle</v>
      </c>
      <c r="K290" s="4" t="str" cm="1">
        <f t="array" ref="K290">_xlfn.IFS(Table3[[#This Row],[Drug_Cost_GBP]] &gt; 1200, "High Cost", Table3[[#This Row],[Drug_Cost_GBP]] &lt; 1200, "Normal")</f>
        <v>Normal</v>
      </c>
      <c r="L290" s="4" t="str" cm="1">
        <f t="array" ref="L290">IFERROR(_xlfn.IFS(Table3[[#This Row],[Age (Years)]]  &gt; 75, "YES", Table3[[#This Row],[Age (Years)]] &lt; 75, "NO"), "UNKNOWN")</f>
        <v>NO</v>
      </c>
      <c r="M290" s="4" t="str">
        <f>IF(Table3[[#This Row],[Drug_Cost_GBP]] &gt; Analysis_Sheet!$B$21, "Above Average", "Within Average")</f>
        <v>Within Average</v>
      </c>
      <c r="N290" s="39" t="str">
        <f t="shared" si="4"/>
        <v>May 2024</v>
      </c>
    </row>
    <row r="291" spans="1:14" x14ac:dyDescent="0.3">
      <c r="A291" s="1" t="s">
        <v>234</v>
      </c>
      <c r="B291" s="17">
        <v>57</v>
      </c>
      <c r="C291" s="2" t="s">
        <v>899</v>
      </c>
      <c r="D291" s="2" t="s">
        <v>10</v>
      </c>
      <c r="E291" s="2" t="s">
        <v>43</v>
      </c>
      <c r="F291" s="3" t="s">
        <v>900</v>
      </c>
      <c r="G291" s="2">
        <v>12</v>
      </c>
      <c r="H291" s="13">
        <v>1002.0675517241378</v>
      </c>
      <c r="I291" s="4" t="s">
        <v>12</v>
      </c>
      <c r="J291" s="8" t="str" cm="1">
        <f t="array" ref="J291">_xlfn.IFS(Table3[[#This Row],[Age (Years)]] &lt; 40, "Young", Table3[[#This Row],[Age (Years)]] &gt;= 40, "Middle", Table3[[#This Row],[Age (Years)]] &gt; 60, "Senior")</f>
        <v>Middle</v>
      </c>
      <c r="K291" s="8" t="str" cm="1">
        <f t="array" ref="K291">_xlfn.IFS(Table3[[#This Row],[Drug_Cost_GBP]] &gt; 1200, "High Cost", Table3[[#This Row],[Drug_Cost_GBP]] &lt; 1200, "Normal")</f>
        <v>Normal</v>
      </c>
      <c r="L291" s="8" t="str" cm="1">
        <f t="array" ref="L291">IFERROR(_xlfn.IFS(Table3[[#This Row],[Age (Years)]]  &gt; 75, "YES", Table3[[#This Row],[Age (Years)]] &lt; 75, "NO"), "UNKNOWN")</f>
        <v>NO</v>
      </c>
      <c r="M291" s="8" t="str">
        <f>IF(Table3[[#This Row],[Drug_Cost_GBP]] &gt; Analysis_Sheet!$B$21, "Above Average", "Within Average")</f>
        <v>Within Average</v>
      </c>
      <c r="N291" s="39" t="str">
        <f t="shared" si="4"/>
        <v>Unknown</v>
      </c>
    </row>
    <row r="292" spans="1:14" x14ac:dyDescent="0.3">
      <c r="A292" s="5" t="s">
        <v>237</v>
      </c>
      <c r="B292" s="18">
        <v>57</v>
      </c>
      <c r="C292" s="6" t="s">
        <v>899</v>
      </c>
      <c r="D292" s="6" t="s">
        <v>51</v>
      </c>
      <c r="E292" s="6" t="s">
        <v>57</v>
      </c>
      <c r="F292" s="7">
        <v>45632</v>
      </c>
      <c r="G292" s="6">
        <v>11</v>
      </c>
      <c r="H292" s="14">
        <v>1002.0675517241378</v>
      </c>
      <c r="I292" s="8" t="s">
        <v>12</v>
      </c>
      <c r="J292" s="8" t="str" cm="1">
        <f t="array" ref="J292">_xlfn.IFS(Table3[[#This Row],[Age (Years)]] &lt; 40, "Young", Table3[[#This Row],[Age (Years)]] &gt;= 40, "Middle", Table3[[#This Row],[Age (Years)]] &gt; 60, "Senior")</f>
        <v>Middle</v>
      </c>
      <c r="K292" s="8" t="str" cm="1">
        <f t="array" ref="K292">_xlfn.IFS(Table3[[#This Row],[Drug_Cost_GBP]] &gt; 1200, "High Cost", Table3[[#This Row],[Drug_Cost_GBP]] &lt; 1200, "Normal")</f>
        <v>Normal</v>
      </c>
      <c r="L292" s="8" t="str" cm="1">
        <f t="array" ref="L292">IFERROR(_xlfn.IFS(Table3[[#This Row],[Age (Years)]]  &gt; 75, "YES", Table3[[#This Row],[Age (Years)]] &lt; 75, "NO"), "UNKNOWN")</f>
        <v>NO</v>
      </c>
      <c r="M292" s="8" t="str">
        <f>IF(Table3[[#This Row],[Drug_Cost_GBP]] &gt; Analysis_Sheet!$B$21, "Above Average", "Within Average")</f>
        <v>Within Average</v>
      </c>
      <c r="N292" s="39" t="str">
        <f t="shared" si="4"/>
        <v>December 2024</v>
      </c>
    </row>
    <row r="293" spans="1:14" x14ac:dyDescent="0.3">
      <c r="A293" s="5" t="s">
        <v>239</v>
      </c>
      <c r="B293" s="18">
        <v>57</v>
      </c>
      <c r="C293" s="6" t="s">
        <v>38</v>
      </c>
      <c r="D293" s="6" t="s">
        <v>19</v>
      </c>
      <c r="E293" s="6" t="s">
        <v>34</v>
      </c>
      <c r="F293" s="7" t="s">
        <v>900</v>
      </c>
      <c r="G293" s="6">
        <v>12</v>
      </c>
      <c r="H293" s="14">
        <v>1002.0675517241378</v>
      </c>
      <c r="I293" s="8" t="s">
        <v>12</v>
      </c>
      <c r="J293" s="4" t="str" cm="1">
        <f t="array" ref="J293">_xlfn.IFS(Table3[[#This Row],[Age (Years)]] &lt; 40, "Young", Table3[[#This Row],[Age (Years)]] &gt;= 40, "Middle", Table3[[#This Row],[Age (Years)]] &gt; 60, "Senior")</f>
        <v>Middle</v>
      </c>
      <c r="K293" s="4" t="str" cm="1">
        <f t="array" ref="K293">_xlfn.IFS(Table3[[#This Row],[Drug_Cost_GBP]] &gt; 1200, "High Cost", Table3[[#This Row],[Drug_Cost_GBP]] &lt; 1200, "Normal")</f>
        <v>Normal</v>
      </c>
      <c r="L293" s="4" t="str" cm="1">
        <f t="array" ref="L293">IFERROR(_xlfn.IFS(Table3[[#This Row],[Age (Years)]]  &gt; 75, "YES", Table3[[#This Row],[Age (Years)]] &lt; 75, "NO"), "UNKNOWN")</f>
        <v>NO</v>
      </c>
      <c r="M293" s="4" t="str">
        <f>IF(Table3[[#This Row],[Drug_Cost_GBP]] &gt; Analysis_Sheet!$B$21, "Above Average", "Within Average")</f>
        <v>Within Average</v>
      </c>
      <c r="N293" s="39" t="str">
        <f t="shared" si="4"/>
        <v>Unknown</v>
      </c>
    </row>
    <row r="294" spans="1:14" x14ac:dyDescent="0.3">
      <c r="A294" s="1" t="s">
        <v>240</v>
      </c>
      <c r="B294" s="17">
        <v>57</v>
      </c>
      <c r="C294" s="2" t="s">
        <v>900</v>
      </c>
      <c r="D294" s="2" t="s">
        <v>19</v>
      </c>
      <c r="E294" s="2" t="s">
        <v>43</v>
      </c>
      <c r="F294" s="3">
        <v>45654</v>
      </c>
      <c r="G294" s="2">
        <v>12</v>
      </c>
      <c r="H294" s="13">
        <v>1002.0675517241378</v>
      </c>
      <c r="I294" s="4" t="s">
        <v>26</v>
      </c>
      <c r="J294" s="8" t="str" cm="1">
        <f t="array" ref="J294">_xlfn.IFS(Table3[[#This Row],[Age (Years)]] &lt; 40, "Young", Table3[[#This Row],[Age (Years)]] &gt;= 40, "Middle", Table3[[#This Row],[Age (Years)]] &gt; 60, "Senior")</f>
        <v>Middle</v>
      </c>
      <c r="K294" s="8" t="str" cm="1">
        <f t="array" ref="K294">_xlfn.IFS(Table3[[#This Row],[Drug_Cost_GBP]] &gt; 1200, "High Cost", Table3[[#This Row],[Drug_Cost_GBP]] &lt; 1200, "Normal")</f>
        <v>Normal</v>
      </c>
      <c r="L294" s="8" t="str" cm="1">
        <f t="array" ref="L294">IFERROR(_xlfn.IFS(Table3[[#This Row],[Age (Years)]]  &gt; 75, "YES", Table3[[#This Row],[Age (Years)]] &lt; 75, "NO"), "UNKNOWN")</f>
        <v>NO</v>
      </c>
      <c r="M294" s="8" t="str">
        <f>IF(Table3[[#This Row],[Drug_Cost_GBP]] &gt; Analysis_Sheet!$B$21, "Above Average", "Within Average")</f>
        <v>Within Average</v>
      </c>
      <c r="N294" s="39" t="str">
        <f t="shared" si="4"/>
        <v>December 2024</v>
      </c>
    </row>
    <row r="295" spans="1:14" x14ac:dyDescent="0.3">
      <c r="A295" s="5" t="s">
        <v>241</v>
      </c>
      <c r="B295" s="18">
        <v>57</v>
      </c>
      <c r="C295" s="6" t="s">
        <v>38</v>
      </c>
      <c r="D295" s="6" t="s">
        <v>25</v>
      </c>
      <c r="E295" s="6" t="s">
        <v>23</v>
      </c>
      <c r="F295" s="7">
        <v>45407</v>
      </c>
      <c r="G295" s="6">
        <v>12</v>
      </c>
      <c r="H295" s="14">
        <v>84.86</v>
      </c>
      <c r="I295" s="8" t="s">
        <v>900</v>
      </c>
      <c r="J295" s="4" t="str" cm="1">
        <f t="array" ref="J295">_xlfn.IFS(Table3[[#This Row],[Age (Years)]] &lt; 40, "Young", Table3[[#This Row],[Age (Years)]] &gt;= 40, "Middle", Table3[[#This Row],[Age (Years)]] &gt; 60, "Senior")</f>
        <v>Middle</v>
      </c>
      <c r="K295" s="4" t="str" cm="1">
        <f t="array" ref="K295">_xlfn.IFS(Table3[[#This Row],[Drug_Cost_GBP]] &gt; 1200, "High Cost", Table3[[#This Row],[Drug_Cost_GBP]] &lt; 1200, "Normal")</f>
        <v>Normal</v>
      </c>
      <c r="L295" s="4" t="str" cm="1">
        <f t="array" ref="L295">IFERROR(_xlfn.IFS(Table3[[#This Row],[Age (Years)]]  &gt; 75, "YES", Table3[[#This Row],[Age (Years)]] &lt; 75, "NO"), "UNKNOWN")</f>
        <v>NO</v>
      </c>
      <c r="M295" s="4" t="str">
        <f>IF(Table3[[#This Row],[Drug_Cost_GBP]] &gt; Analysis_Sheet!$B$21, "Above Average", "Within Average")</f>
        <v>Within Average</v>
      </c>
      <c r="N295" s="39" t="str">
        <f t="shared" si="4"/>
        <v>April 2024</v>
      </c>
    </row>
    <row r="296" spans="1:14" x14ac:dyDescent="0.3">
      <c r="A296" s="1" t="s">
        <v>242</v>
      </c>
      <c r="B296" s="17">
        <v>57</v>
      </c>
      <c r="C296" s="2" t="s">
        <v>899</v>
      </c>
      <c r="D296" s="2" t="s">
        <v>898</v>
      </c>
      <c r="E296" s="2" t="s">
        <v>43</v>
      </c>
      <c r="F296" s="3">
        <v>45512</v>
      </c>
      <c r="G296" s="2">
        <v>12</v>
      </c>
      <c r="H296" s="13">
        <v>1002.0675517241378</v>
      </c>
      <c r="I296" s="4" t="s">
        <v>21</v>
      </c>
      <c r="J296" s="8" t="str" cm="1">
        <f t="array" ref="J296">_xlfn.IFS(Table3[[#This Row],[Age (Years)]] &lt; 40, "Young", Table3[[#This Row],[Age (Years)]] &gt;= 40, "Middle", Table3[[#This Row],[Age (Years)]] &gt; 60, "Senior")</f>
        <v>Middle</v>
      </c>
      <c r="K296" s="8" t="str" cm="1">
        <f t="array" ref="K296">_xlfn.IFS(Table3[[#This Row],[Drug_Cost_GBP]] &gt; 1200, "High Cost", Table3[[#This Row],[Drug_Cost_GBP]] &lt; 1200, "Normal")</f>
        <v>Normal</v>
      </c>
      <c r="L296" s="8" t="str" cm="1">
        <f t="array" ref="L296">IFERROR(_xlfn.IFS(Table3[[#This Row],[Age (Years)]]  &gt; 75, "YES", Table3[[#This Row],[Age (Years)]] &lt; 75, "NO"), "UNKNOWN")</f>
        <v>NO</v>
      </c>
      <c r="M296" s="8" t="str">
        <f>IF(Table3[[#This Row],[Drug_Cost_GBP]] &gt; Analysis_Sheet!$B$21, "Above Average", "Within Average")</f>
        <v>Within Average</v>
      </c>
      <c r="N296" s="39" t="str">
        <f t="shared" si="4"/>
        <v>August 2024</v>
      </c>
    </row>
    <row r="297" spans="1:14" x14ac:dyDescent="0.3">
      <c r="A297" s="5" t="s">
        <v>243</v>
      </c>
      <c r="B297" s="18">
        <v>57</v>
      </c>
      <c r="C297" s="6" t="s">
        <v>899</v>
      </c>
      <c r="D297" s="6" t="s">
        <v>19</v>
      </c>
      <c r="E297" s="6" t="s">
        <v>57</v>
      </c>
      <c r="F297" s="7">
        <v>45440</v>
      </c>
      <c r="G297" s="6">
        <v>12</v>
      </c>
      <c r="H297" s="14">
        <v>1926.6</v>
      </c>
      <c r="I297" s="8" t="s">
        <v>26</v>
      </c>
      <c r="J297" s="8" t="str" cm="1">
        <f t="array" ref="J297">_xlfn.IFS(Table3[[#This Row],[Age (Years)]] &lt; 40, "Young", Table3[[#This Row],[Age (Years)]] &gt;= 40, "Middle", Table3[[#This Row],[Age (Years)]] &gt; 60, "Senior")</f>
        <v>Middle</v>
      </c>
      <c r="K297" s="8" t="str" cm="1">
        <f t="array" ref="K297">_xlfn.IFS(Table3[[#This Row],[Drug_Cost_GBP]] &gt; 1200, "High Cost", Table3[[#This Row],[Drug_Cost_GBP]] &lt; 1200, "Normal")</f>
        <v>High Cost</v>
      </c>
      <c r="L297" s="8" t="str" cm="1">
        <f t="array" ref="L297">IFERROR(_xlfn.IFS(Table3[[#This Row],[Age (Years)]]  &gt; 75, "YES", Table3[[#This Row],[Age (Years)]] &lt; 75, "NO"), "UNKNOWN")</f>
        <v>NO</v>
      </c>
      <c r="M297" s="8" t="str">
        <f>IF(Table3[[#This Row],[Drug_Cost_GBP]] &gt; Analysis_Sheet!$B$21, "Above Average", "Within Average")</f>
        <v>Above Average</v>
      </c>
      <c r="N297" s="39" t="str">
        <f t="shared" si="4"/>
        <v>May 2024</v>
      </c>
    </row>
    <row r="298" spans="1:14" x14ac:dyDescent="0.3">
      <c r="A298" s="5" t="s">
        <v>245</v>
      </c>
      <c r="B298" s="18">
        <v>57</v>
      </c>
      <c r="C298" s="6" t="s">
        <v>900</v>
      </c>
      <c r="D298" s="6" t="s">
        <v>900</v>
      </c>
      <c r="E298" s="6" t="s">
        <v>29</v>
      </c>
      <c r="F298" s="7">
        <v>45415</v>
      </c>
      <c r="G298" s="6">
        <v>13</v>
      </c>
      <c r="H298" s="14">
        <v>1002.0675517241378</v>
      </c>
      <c r="I298" s="8" t="s">
        <v>16</v>
      </c>
      <c r="J298" s="4" t="str" cm="1">
        <f t="array" ref="J298">_xlfn.IFS(Table3[[#This Row],[Age (Years)]] &lt; 40, "Young", Table3[[#This Row],[Age (Years)]] &gt;= 40, "Middle", Table3[[#This Row],[Age (Years)]] &gt; 60, "Senior")</f>
        <v>Middle</v>
      </c>
      <c r="K298" s="4" t="str" cm="1">
        <f t="array" ref="K298">_xlfn.IFS(Table3[[#This Row],[Drug_Cost_GBP]] &gt; 1200, "High Cost", Table3[[#This Row],[Drug_Cost_GBP]] &lt; 1200, "Normal")</f>
        <v>Normal</v>
      </c>
      <c r="L298" s="4" t="str" cm="1">
        <f t="array" ref="L298">IFERROR(_xlfn.IFS(Table3[[#This Row],[Age (Years)]]  &gt; 75, "YES", Table3[[#This Row],[Age (Years)]] &lt; 75, "NO"), "UNKNOWN")</f>
        <v>NO</v>
      </c>
      <c r="M298" s="4" t="str">
        <f>IF(Table3[[#This Row],[Drug_Cost_GBP]] &gt; Analysis_Sheet!$B$21, "Above Average", "Within Average")</f>
        <v>Within Average</v>
      </c>
      <c r="N298" s="39" t="str">
        <f t="shared" si="4"/>
        <v>May 2024</v>
      </c>
    </row>
    <row r="299" spans="1:14" x14ac:dyDescent="0.3">
      <c r="A299" s="1" t="s">
        <v>250</v>
      </c>
      <c r="B299" s="17">
        <v>57</v>
      </c>
      <c r="C299" s="2" t="s">
        <v>900</v>
      </c>
      <c r="D299" s="2" t="s">
        <v>48</v>
      </c>
      <c r="E299" s="2" t="s">
        <v>29</v>
      </c>
      <c r="F299" s="3">
        <v>45541</v>
      </c>
      <c r="G299" s="2">
        <v>12</v>
      </c>
      <c r="H299" s="13">
        <v>636.16999999999996</v>
      </c>
      <c r="I299" s="4" t="s">
        <v>16</v>
      </c>
      <c r="J299" s="4" t="str" cm="1">
        <f t="array" ref="J299">_xlfn.IFS(Table3[[#This Row],[Age (Years)]] &lt; 40, "Young", Table3[[#This Row],[Age (Years)]] &gt;= 40, "Middle", Table3[[#This Row],[Age (Years)]] &gt; 60, "Senior")</f>
        <v>Middle</v>
      </c>
      <c r="K299" s="4" t="str" cm="1">
        <f t="array" ref="K299">_xlfn.IFS(Table3[[#This Row],[Drug_Cost_GBP]] &gt; 1200, "High Cost", Table3[[#This Row],[Drug_Cost_GBP]] &lt; 1200, "Normal")</f>
        <v>Normal</v>
      </c>
      <c r="L299" s="4" t="str" cm="1">
        <f t="array" ref="L299">IFERROR(_xlfn.IFS(Table3[[#This Row],[Age (Years)]]  &gt; 75, "YES", Table3[[#This Row],[Age (Years)]] &lt; 75, "NO"), "UNKNOWN")</f>
        <v>NO</v>
      </c>
      <c r="M299" s="4" t="str">
        <f>IF(Table3[[#This Row],[Drug_Cost_GBP]] &gt; Analysis_Sheet!$B$21, "Above Average", "Within Average")</f>
        <v>Within Average</v>
      </c>
      <c r="N299" s="39" t="str">
        <f t="shared" si="4"/>
        <v>September 2024</v>
      </c>
    </row>
    <row r="300" spans="1:14" x14ac:dyDescent="0.3">
      <c r="A300" s="1" t="s">
        <v>252</v>
      </c>
      <c r="B300" s="17">
        <v>57</v>
      </c>
      <c r="C300" s="2" t="s">
        <v>38</v>
      </c>
      <c r="D300" s="2" t="s">
        <v>48</v>
      </c>
      <c r="E300" s="2" t="s">
        <v>29</v>
      </c>
      <c r="F300" s="3">
        <v>45303</v>
      </c>
      <c r="G300" s="2">
        <v>20</v>
      </c>
      <c r="H300" s="13">
        <v>1002.0675517241378</v>
      </c>
      <c r="I300" s="4" t="s">
        <v>21</v>
      </c>
      <c r="J300" s="4" t="str" cm="1">
        <f t="array" ref="J300">_xlfn.IFS(Table3[[#This Row],[Age (Years)]] &lt; 40, "Young", Table3[[#This Row],[Age (Years)]] &gt;= 40, "Middle", Table3[[#This Row],[Age (Years)]] &gt; 60, "Senior")</f>
        <v>Middle</v>
      </c>
      <c r="K300" s="4" t="str" cm="1">
        <f t="array" ref="K300">_xlfn.IFS(Table3[[#This Row],[Drug_Cost_GBP]] &gt; 1200, "High Cost", Table3[[#This Row],[Drug_Cost_GBP]] &lt; 1200, "Normal")</f>
        <v>Normal</v>
      </c>
      <c r="L300" s="4" t="str" cm="1">
        <f t="array" ref="L300">IFERROR(_xlfn.IFS(Table3[[#This Row],[Age (Years)]]  &gt; 75, "YES", Table3[[#This Row],[Age (Years)]] &lt; 75, "NO"), "UNKNOWN")</f>
        <v>NO</v>
      </c>
      <c r="M300" s="4" t="str">
        <f>IF(Table3[[#This Row],[Drug_Cost_GBP]] &gt; Analysis_Sheet!$B$21, "Above Average", "Within Average")</f>
        <v>Within Average</v>
      </c>
      <c r="N300" s="39" t="str">
        <f t="shared" si="4"/>
        <v>January 2024</v>
      </c>
    </row>
    <row r="301" spans="1:14" x14ac:dyDescent="0.3">
      <c r="A301" s="1" t="s">
        <v>254</v>
      </c>
      <c r="B301" s="17">
        <v>57</v>
      </c>
      <c r="C301" s="2" t="s">
        <v>899</v>
      </c>
      <c r="D301" s="2" t="s">
        <v>48</v>
      </c>
      <c r="E301" s="2" t="s">
        <v>34</v>
      </c>
      <c r="F301" s="3" t="s">
        <v>900</v>
      </c>
      <c r="G301" s="2">
        <v>12</v>
      </c>
      <c r="H301" s="13">
        <v>1434.88</v>
      </c>
      <c r="I301" s="4" t="s">
        <v>26</v>
      </c>
      <c r="J301" s="8" t="str" cm="1">
        <f t="array" ref="J301">_xlfn.IFS(Table3[[#This Row],[Age (Years)]] &lt; 40, "Young", Table3[[#This Row],[Age (Years)]] &gt;= 40, "Middle", Table3[[#This Row],[Age (Years)]] &gt; 60, "Senior")</f>
        <v>Middle</v>
      </c>
      <c r="K301" s="8" t="str" cm="1">
        <f t="array" ref="K301">_xlfn.IFS(Table3[[#This Row],[Drug_Cost_GBP]] &gt; 1200, "High Cost", Table3[[#This Row],[Drug_Cost_GBP]] &lt; 1200, "Normal")</f>
        <v>High Cost</v>
      </c>
      <c r="L301" s="8" t="str" cm="1">
        <f t="array" ref="L301">IFERROR(_xlfn.IFS(Table3[[#This Row],[Age (Years)]]  &gt; 75, "YES", Table3[[#This Row],[Age (Years)]] &lt; 75, "NO"), "UNKNOWN")</f>
        <v>NO</v>
      </c>
      <c r="M301" s="8" t="str">
        <f>IF(Table3[[#This Row],[Drug_Cost_GBP]] &gt; Analysis_Sheet!$B$21, "Above Average", "Within Average")</f>
        <v>Above Average</v>
      </c>
      <c r="N301" s="39" t="str">
        <f t="shared" si="4"/>
        <v>Unknown</v>
      </c>
    </row>
    <row r="302" spans="1:14" x14ac:dyDescent="0.3">
      <c r="A302" s="5" t="s">
        <v>255</v>
      </c>
      <c r="B302" s="18">
        <v>57</v>
      </c>
      <c r="C302" s="6" t="s">
        <v>899</v>
      </c>
      <c r="D302" s="6" t="s">
        <v>900</v>
      </c>
      <c r="E302" s="6" t="s">
        <v>29</v>
      </c>
      <c r="F302" s="7">
        <v>45326</v>
      </c>
      <c r="G302" s="6">
        <v>12</v>
      </c>
      <c r="H302" s="14">
        <v>1002.0675517241378</v>
      </c>
      <c r="I302" s="8" t="s">
        <v>21</v>
      </c>
      <c r="J302" s="4" t="str" cm="1">
        <f t="array" ref="J302">_xlfn.IFS(Table3[[#This Row],[Age (Years)]] &lt; 40, "Young", Table3[[#This Row],[Age (Years)]] &gt;= 40, "Middle", Table3[[#This Row],[Age (Years)]] &gt; 60, "Senior")</f>
        <v>Middle</v>
      </c>
      <c r="K302" s="4" t="str" cm="1">
        <f t="array" ref="K302">_xlfn.IFS(Table3[[#This Row],[Drug_Cost_GBP]] &gt; 1200, "High Cost", Table3[[#This Row],[Drug_Cost_GBP]] &lt; 1200, "Normal")</f>
        <v>Normal</v>
      </c>
      <c r="L302" s="4" t="str" cm="1">
        <f t="array" ref="L302">IFERROR(_xlfn.IFS(Table3[[#This Row],[Age (Years)]]  &gt; 75, "YES", Table3[[#This Row],[Age (Years)]] &lt; 75, "NO"), "UNKNOWN")</f>
        <v>NO</v>
      </c>
      <c r="M302" s="4" t="str">
        <f>IF(Table3[[#This Row],[Drug_Cost_GBP]] &gt; Analysis_Sheet!$B$21, "Above Average", "Within Average")</f>
        <v>Within Average</v>
      </c>
      <c r="N302" s="39" t="str">
        <f t="shared" si="4"/>
        <v>February 2024</v>
      </c>
    </row>
    <row r="303" spans="1:14" x14ac:dyDescent="0.3">
      <c r="A303" s="1" t="s">
        <v>256</v>
      </c>
      <c r="B303" s="17">
        <v>57</v>
      </c>
      <c r="C303" s="2" t="s">
        <v>900</v>
      </c>
      <c r="D303" s="2" t="s">
        <v>10</v>
      </c>
      <c r="E303" s="2" t="s">
        <v>43</v>
      </c>
      <c r="F303" s="3" t="s">
        <v>900</v>
      </c>
      <c r="G303" s="2">
        <v>17</v>
      </c>
      <c r="H303" s="13">
        <v>1002.0675517241378</v>
      </c>
      <c r="I303" s="4" t="s">
        <v>26</v>
      </c>
      <c r="J303" s="4" t="str" cm="1">
        <f t="array" ref="J303">_xlfn.IFS(Table3[[#This Row],[Age (Years)]] &lt; 40, "Young", Table3[[#This Row],[Age (Years)]] &gt;= 40, "Middle", Table3[[#This Row],[Age (Years)]] &gt; 60, "Senior")</f>
        <v>Middle</v>
      </c>
      <c r="K303" s="4" t="str" cm="1">
        <f t="array" ref="K303">_xlfn.IFS(Table3[[#This Row],[Drug_Cost_GBP]] &gt; 1200, "High Cost", Table3[[#This Row],[Drug_Cost_GBP]] &lt; 1200, "Normal")</f>
        <v>Normal</v>
      </c>
      <c r="L303" s="4" t="str" cm="1">
        <f t="array" ref="L303">IFERROR(_xlfn.IFS(Table3[[#This Row],[Age (Years)]]  &gt; 75, "YES", Table3[[#This Row],[Age (Years)]] &lt; 75, "NO"), "UNKNOWN")</f>
        <v>NO</v>
      </c>
      <c r="M303" s="4" t="str">
        <f>IF(Table3[[#This Row],[Drug_Cost_GBP]] &gt; Analysis_Sheet!$B$21, "Above Average", "Within Average")</f>
        <v>Within Average</v>
      </c>
      <c r="N303" s="39" t="str">
        <f t="shared" si="4"/>
        <v>Unknown</v>
      </c>
    </row>
    <row r="304" spans="1:14" x14ac:dyDescent="0.3">
      <c r="A304" s="1" t="s">
        <v>258</v>
      </c>
      <c r="B304" s="17">
        <v>57</v>
      </c>
      <c r="C304" s="2" t="s">
        <v>38</v>
      </c>
      <c r="D304" s="2" t="s">
        <v>19</v>
      </c>
      <c r="E304" s="2" t="s">
        <v>57</v>
      </c>
      <c r="F304" s="3">
        <v>45475</v>
      </c>
      <c r="G304" s="2">
        <v>17</v>
      </c>
      <c r="H304" s="13">
        <v>1002.0675517241378</v>
      </c>
      <c r="I304" s="4" t="s">
        <v>21</v>
      </c>
      <c r="J304" s="8" t="str" cm="1">
        <f t="array" ref="J304">_xlfn.IFS(Table3[[#This Row],[Age (Years)]] &lt; 40, "Young", Table3[[#This Row],[Age (Years)]] &gt;= 40, "Middle", Table3[[#This Row],[Age (Years)]] &gt; 60, "Senior")</f>
        <v>Middle</v>
      </c>
      <c r="K304" s="8" t="str" cm="1">
        <f t="array" ref="K304">_xlfn.IFS(Table3[[#This Row],[Drug_Cost_GBP]] &gt; 1200, "High Cost", Table3[[#This Row],[Drug_Cost_GBP]] &lt; 1200, "Normal")</f>
        <v>Normal</v>
      </c>
      <c r="L304" s="8" t="str" cm="1">
        <f t="array" ref="L304">IFERROR(_xlfn.IFS(Table3[[#This Row],[Age (Years)]]  &gt; 75, "YES", Table3[[#This Row],[Age (Years)]] &lt; 75, "NO"), "UNKNOWN")</f>
        <v>NO</v>
      </c>
      <c r="M304" s="8" t="str">
        <f>IF(Table3[[#This Row],[Drug_Cost_GBP]] &gt; Analysis_Sheet!$B$21, "Above Average", "Within Average")</f>
        <v>Within Average</v>
      </c>
      <c r="N304" s="39" t="str">
        <f t="shared" si="4"/>
        <v>July 2024</v>
      </c>
    </row>
    <row r="305" spans="1:14" x14ac:dyDescent="0.3">
      <c r="A305" s="5" t="s">
        <v>259</v>
      </c>
      <c r="B305" s="18">
        <v>57</v>
      </c>
      <c r="C305" s="6" t="s">
        <v>899</v>
      </c>
      <c r="D305" s="6" t="s">
        <v>14</v>
      </c>
      <c r="E305" s="6" t="s">
        <v>34</v>
      </c>
      <c r="F305" s="7">
        <v>45352</v>
      </c>
      <c r="G305" s="6">
        <v>12</v>
      </c>
      <c r="H305" s="14">
        <v>414.95</v>
      </c>
      <c r="I305" s="8" t="s">
        <v>16</v>
      </c>
      <c r="J305" s="4" t="str" cm="1">
        <f t="array" ref="J305">_xlfn.IFS(Table3[[#This Row],[Age (Years)]] &lt; 40, "Young", Table3[[#This Row],[Age (Years)]] &gt;= 40, "Middle", Table3[[#This Row],[Age (Years)]] &gt; 60, "Senior")</f>
        <v>Middle</v>
      </c>
      <c r="K305" s="4" t="str" cm="1">
        <f t="array" ref="K305">_xlfn.IFS(Table3[[#This Row],[Drug_Cost_GBP]] &gt; 1200, "High Cost", Table3[[#This Row],[Drug_Cost_GBP]] &lt; 1200, "Normal")</f>
        <v>Normal</v>
      </c>
      <c r="L305" s="4" t="str" cm="1">
        <f t="array" ref="L305">IFERROR(_xlfn.IFS(Table3[[#This Row],[Age (Years)]]  &gt; 75, "YES", Table3[[#This Row],[Age (Years)]] &lt; 75, "NO"), "UNKNOWN")</f>
        <v>NO</v>
      </c>
      <c r="M305" s="4" t="str">
        <f>IF(Table3[[#This Row],[Drug_Cost_GBP]] &gt; Analysis_Sheet!$B$21, "Above Average", "Within Average")</f>
        <v>Within Average</v>
      </c>
      <c r="N305" s="39" t="str">
        <f t="shared" si="4"/>
        <v>March 2024</v>
      </c>
    </row>
    <row r="306" spans="1:14" x14ac:dyDescent="0.3">
      <c r="A306" s="1" t="s">
        <v>260</v>
      </c>
      <c r="B306" s="17">
        <v>57</v>
      </c>
      <c r="C306" s="2" t="s">
        <v>899</v>
      </c>
      <c r="D306" s="2" t="s">
        <v>14</v>
      </c>
      <c r="E306" s="2" t="s">
        <v>43</v>
      </c>
      <c r="F306" s="3">
        <v>45611</v>
      </c>
      <c r="G306" s="2">
        <v>12</v>
      </c>
      <c r="H306" s="13">
        <v>1630.61</v>
      </c>
      <c r="I306" s="4" t="s">
        <v>900</v>
      </c>
      <c r="J306" s="8" t="str" cm="1">
        <f t="array" ref="J306">_xlfn.IFS(Table3[[#This Row],[Age (Years)]] &lt; 40, "Young", Table3[[#This Row],[Age (Years)]] &gt;= 40, "Middle", Table3[[#This Row],[Age (Years)]] &gt; 60, "Senior")</f>
        <v>Middle</v>
      </c>
      <c r="K306" s="8" t="str" cm="1">
        <f t="array" ref="K306">_xlfn.IFS(Table3[[#This Row],[Drug_Cost_GBP]] &gt; 1200, "High Cost", Table3[[#This Row],[Drug_Cost_GBP]] &lt; 1200, "Normal")</f>
        <v>High Cost</v>
      </c>
      <c r="L306" s="8" t="str" cm="1">
        <f t="array" ref="L306">IFERROR(_xlfn.IFS(Table3[[#This Row],[Age (Years)]]  &gt; 75, "YES", Table3[[#This Row],[Age (Years)]] &lt; 75, "NO"), "UNKNOWN")</f>
        <v>NO</v>
      </c>
      <c r="M306" s="8" t="str">
        <f>IF(Table3[[#This Row],[Drug_Cost_GBP]] &gt; Analysis_Sheet!$B$21, "Above Average", "Within Average")</f>
        <v>Above Average</v>
      </c>
      <c r="N306" s="39" t="str">
        <f t="shared" si="4"/>
        <v>November 2024</v>
      </c>
    </row>
    <row r="307" spans="1:14" x14ac:dyDescent="0.3">
      <c r="A307" s="5" t="s">
        <v>261</v>
      </c>
      <c r="B307" s="18">
        <v>57</v>
      </c>
      <c r="C307" s="6" t="s">
        <v>38</v>
      </c>
      <c r="D307" s="6" t="s">
        <v>898</v>
      </c>
      <c r="E307" s="6" t="s">
        <v>43</v>
      </c>
      <c r="F307" s="7">
        <v>45436</v>
      </c>
      <c r="G307" s="6">
        <v>12</v>
      </c>
      <c r="H307" s="14">
        <v>1002.0675517241378</v>
      </c>
      <c r="I307" s="8" t="s">
        <v>16</v>
      </c>
      <c r="J307" s="4" t="str" cm="1">
        <f t="array" ref="J307">_xlfn.IFS(Table3[[#This Row],[Age (Years)]] &lt; 40, "Young", Table3[[#This Row],[Age (Years)]] &gt;= 40, "Middle", Table3[[#This Row],[Age (Years)]] &gt; 60, "Senior")</f>
        <v>Middle</v>
      </c>
      <c r="K307" s="4" t="str" cm="1">
        <f t="array" ref="K307">_xlfn.IFS(Table3[[#This Row],[Drug_Cost_GBP]] &gt; 1200, "High Cost", Table3[[#This Row],[Drug_Cost_GBP]] &lt; 1200, "Normal")</f>
        <v>Normal</v>
      </c>
      <c r="L307" s="4" t="str" cm="1">
        <f t="array" ref="L307">IFERROR(_xlfn.IFS(Table3[[#This Row],[Age (Years)]]  &gt; 75, "YES", Table3[[#This Row],[Age (Years)]] &lt; 75, "NO"), "UNKNOWN")</f>
        <v>NO</v>
      </c>
      <c r="M307" s="4" t="str">
        <f>IF(Table3[[#This Row],[Drug_Cost_GBP]] &gt; Analysis_Sheet!$B$21, "Above Average", "Within Average")</f>
        <v>Within Average</v>
      </c>
      <c r="N307" s="39" t="str">
        <f t="shared" si="4"/>
        <v>May 2024</v>
      </c>
    </row>
    <row r="308" spans="1:14" x14ac:dyDescent="0.3">
      <c r="A308" s="1" t="s">
        <v>262</v>
      </c>
      <c r="B308" s="17">
        <v>57</v>
      </c>
      <c r="C308" s="2" t="s">
        <v>38</v>
      </c>
      <c r="D308" s="2" t="s">
        <v>898</v>
      </c>
      <c r="E308" s="2" t="s">
        <v>57</v>
      </c>
      <c r="F308" s="3">
        <v>45385</v>
      </c>
      <c r="G308" s="2">
        <v>12</v>
      </c>
      <c r="H308" s="13">
        <v>1002.0675517241378</v>
      </c>
      <c r="I308" s="4" t="s">
        <v>21</v>
      </c>
      <c r="J308" s="8" t="str" cm="1">
        <f t="array" ref="J308">_xlfn.IFS(Table3[[#This Row],[Age (Years)]] &lt; 40, "Young", Table3[[#This Row],[Age (Years)]] &gt;= 40, "Middle", Table3[[#This Row],[Age (Years)]] &gt; 60, "Senior")</f>
        <v>Middle</v>
      </c>
      <c r="K308" s="8" t="str" cm="1">
        <f t="array" ref="K308">_xlfn.IFS(Table3[[#This Row],[Drug_Cost_GBP]] &gt; 1200, "High Cost", Table3[[#This Row],[Drug_Cost_GBP]] &lt; 1200, "Normal")</f>
        <v>Normal</v>
      </c>
      <c r="L308" s="8" t="str" cm="1">
        <f t="array" ref="L308">IFERROR(_xlfn.IFS(Table3[[#This Row],[Age (Years)]]  &gt; 75, "YES", Table3[[#This Row],[Age (Years)]] &lt; 75, "NO"), "UNKNOWN")</f>
        <v>NO</v>
      </c>
      <c r="M308" s="8" t="str">
        <f>IF(Table3[[#This Row],[Drug_Cost_GBP]] &gt; Analysis_Sheet!$B$21, "Above Average", "Within Average")</f>
        <v>Within Average</v>
      </c>
      <c r="N308" s="39" t="str">
        <f t="shared" si="4"/>
        <v>April 2024</v>
      </c>
    </row>
    <row r="309" spans="1:14" x14ac:dyDescent="0.3">
      <c r="A309" s="5" t="s">
        <v>263</v>
      </c>
      <c r="B309" s="18">
        <v>57</v>
      </c>
      <c r="C309" s="6" t="s">
        <v>899</v>
      </c>
      <c r="D309" s="6" t="s">
        <v>51</v>
      </c>
      <c r="E309" s="6" t="s">
        <v>34</v>
      </c>
      <c r="F309" s="7" t="s">
        <v>900</v>
      </c>
      <c r="G309" s="6">
        <v>12</v>
      </c>
      <c r="H309" s="14">
        <v>162.79</v>
      </c>
      <c r="I309" s="8" t="s">
        <v>16</v>
      </c>
      <c r="J309" s="8" t="str" cm="1">
        <f t="array" ref="J309">_xlfn.IFS(Table3[[#This Row],[Age (Years)]] &lt; 40, "Young", Table3[[#This Row],[Age (Years)]] &gt;= 40, "Middle", Table3[[#This Row],[Age (Years)]] &gt; 60, "Senior")</f>
        <v>Middle</v>
      </c>
      <c r="K309" s="8" t="str" cm="1">
        <f t="array" ref="K309">_xlfn.IFS(Table3[[#This Row],[Drug_Cost_GBP]] &gt; 1200, "High Cost", Table3[[#This Row],[Drug_Cost_GBP]] &lt; 1200, "Normal")</f>
        <v>Normal</v>
      </c>
      <c r="L309" s="8" t="str" cm="1">
        <f t="array" ref="L309">IFERROR(_xlfn.IFS(Table3[[#This Row],[Age (Years)]]  &gt; 75, "YES", Table3[[#This Row],[Age (Years)]] &lt; 75, "NO"), "UNKNOWN")</f>
        <v>NO</v>
      </c>
      <c r="M309" s="8" t="str">
        <f>IF(Table3[[#This Row],[Drug_Cost_GBP]] &gt; Analysis_Sheet!$B$21, "Above Average", "Within Average")</f>
        <v>Within Average</v>
      </c>
      <c r="N309" s="39" t="str">
        <f t="shared" si="4"/>
        <v>Unknown</v>
      </c>
    </row>
    <row r="310" spans="1:14" x14ac:dyDescent="0.3">
      <c r="A310" s="5" t="s">
        <v>267</v>
      </c>
      <c r="B310" s="18">
        <v>57</v>
      </c>
      <c r="C310" s="6" t="s">
        <v>899</v>
      </c>
      <c r="D310" s="6" t="s">
        <v>19</v>
      </c>
      <c r="E310" s="6" t="s">
        <v>34</v>
      </c>
      <c r="F310" s="7">
        <v>45550</v>
      </c>
      <c r="G310" s="6">
        <v>12</v>
      </c>
      <c r="H310" s="14">
        <v>1167.6199999999999</v>
      </c>
      <c r="I310" s="8" t="s">
        <v>21</v>
      </c>
      <c r="J310" s="4" t="str" cm="1">
        <f t="array" ref="J310">_xlfn.IFS(Table3[[#This Row],[Age (Years)]] &lt; 40, "Young", Table3[[#This Row],[Age (Years)]] &gt;= 40, "Middle", Table3[[#This Row],[Age (Years)]] &gt; 60, "Senior")</f>
        <v>Middle</v>
      </c>
      <c r="K310" s="4" t="str" cm="1">
        <f t="array" ref="K310">_xlfn.IFS(Table3[[#This Row],[Drug_Cost_GBP]] &gt; 1200, "High Cost", Table3[[#This Row],[Drug_Cost_GBP]] &lt; 1200, "Normal")</f>
        <v>Normal</v>
      </c>
      <c r="L310" s="4" t="str" cm="1">
        <f t="array" ref="L310">IFERROR(_xlfn.IFS(Table3[[#This Row],[Age (Years)]]  &gt; 75, "YES", Table3[[#This Row],[Age (Years)]] &lt; 75, "NO"), "UNKNOWN")</f>
        <v>NO</v>
      </c>
      <c r="M310" s="4" t="str">
        <f>IF(Table3[[#This Row],[Drug_Cost_GBP]] &gt; Analysis_Sheet!$B$21, "Above Average", "Within Average")</f>
        <v>Above Average</v>
      </c>
      <c r="N310" s="39" t="str">
        <f t="shared" si="4"/>
        <v>September 2024</v>
      </c>
    </row>
    <row r="311" spans="1:14" x14ac:dyDescent="0.3">
      <c r="A311" s="1" t="s">
        <v>268</v>
      </c>
      <c r="B311" s="17">
        <v>57</v>
      </c>
      <c r="C311" s="2" t="s">
        <v>899</v>
      </c>
      <c r="D311" s="2" t="s">
        <v>10</v>
      </c>
      <c r="E311" s="2" t="s">
        <v>23</v>
      </c>
      <c r="F311" s="3">
        <v>45609</v>
      </c>
      <c r="G311" s="2">
        <v>17</v>
      </c>
      <c r="H311" s="13">
        <v>1002.0675517241378</v>
      </c>
      <c r="I311" s="4" t="s">
        <v>900</v>
      </c>
      <c r="J311" s="4" t="str" cm="1">
        <f t="array" ref="J311">_xlfn.IFS(Table3[[#This Row],[Age (Years)]] &lt; 40, "Young", Table3[[#This Row],[Age (Years)]] &gt;= 40, "Middle", Table3[[#This Row],[Age (Years)]] &gt; 60, "Senior")</f>
        <v>Middle</v>
      </c>
      <c r="K311" s="4" t="str" cm="1">
        <f t="array" ref="K311">_xlfn.IFS(Table3[[#This Row],[Drug_Cost_GBP]] &gt; 1200, "High Cost", Table3[[#This Row],[Drug_Cost_GBP]] &lt; 1200, "Normal")</f>
        <v>Normal</v>
      </c>
      <c r="L311" s="4" t="str" cm="1">
        <f t="array" ref="L311">IFERROR(_xlfn.IFS(Table3[[#This Row],[Age (Years)]]  &gt; 75, "YES", Table3[[#This Row],[Age (Years)]] &lt; 75, "NO"), "UNKNOWN")</f>
        <v>NO</v>
      </c>
      <c r="M311" s="4" t="str">
        <f>IF(Table3[[#This Row],[Drug_Cost_GBP]] &gt; Analysis_Sheet!$B$21, "Above Average", "Within Average")</f>
        <v>Within Average</v>
      </c>
      <c r="N311" s="39" t="str">
        <f t="shared" si="4"/>
        <v>November 2024</v>
      </c>
    </row>
    <row r="312" spans="1:14" x14ac:dyDescent="0.3">
      <c r="A312" s="1" t="s">
        <v>270</v>
      </c>
      <c r="B312" s="17">
        <v>57</v>
      </c>
      <c r="C312" s="2" t="s">
        <v>38</v>
      </c>
      <c r="D312" s="2" t="s">
        <v>10</v>
      </c>
      <c r="E312" s="2" t="s">
        <v>43</v>
      </c>
      <c r="F312" s="3">
        <v>45595</v>
      </c>
      <c r="G312" s="2">
        <v>6</v>
      </c>
      <c r="H312" s="13">
        <v>949.41</v>
      </c>
      <c r="I312" s="4" t="s">
        <v>900</v>
      </c>
      <c r="J312" s="4" t="str" cm="1">
        <f t="array" ref="J312">_xlfn.IFS(Table3[[#This Row],[Age (Years)]] &lt; 40, "Young", Table3[[#This Row],[Age (Years)]] &gt;= 40, "Middle", Table3[[#This Row],[Age (Years)]] &gt; 60, "Senior")</f>
        <v>Middle</v>
      </c>
      <c r="K312" s="4" t="str" cm="1">
        <f t="array" ref="K312">_xlfn.IFS(Table3[[#This Row],[Drug_Cost_GBP]] &gt; 1200, "High Cost", Table3[[#This Row],[Drug_Cost_GBP]] &lt; 1200, "Normal")</f>
        <v>Normal</v>
      </c>
      <c r="L312" s="4" t="str" cm="1">
        <f t="array" ref="L312">IFERROR(_xlfn.IFS(Table3[[#This Row],[Age (Years)]]  &gt; 75, "YES", Table3[[#This Row],[Age (Years)]] &lt; 75, "NO"), "UNKNOWN")</f>
        <v>NO</v>
      </c>
      <c r="M312" s="4" t="str">
        <f>IF(Table3[[#This Row],[Drug_Cost_GBP]] &gt; Analysis_Sheet!$B$21, "Above Average", "Within Average")</f>
        <v>Within Average</v>
      </c>
      <c r="N312" s="39" t="str">
        <f t="shared" si="4"/>
        <v>October 2024</v>
      </c>
    </row>
    <row r="313" spans="1:14" x14ac:dyDescent="0.3">
      <c r="A313" s="1" t="s">
        <v>272</v>
      </c>
      <c r="B313" s="17">
        <v>57</v>
      </c>
      <c r="C313" s="2" t="s">
        <v>38</v>
      </c>
      <c r="D313" s="2" t="s">
        <v>14</v>
      </c>
      <c r="E313" s="2" t="s">
        <v>11</v>
      </c>
      <c r="F313" s="3">
        <v>45426</v>
      </c>
      <c r="G313" s="2">
        <v>8</v>
      </c>
      <c r="H313" s="13">
        <v>152.15</v>
      </c>
      <c r="I313" s="4" t="s">
        <v>12</v>
      </c>
      <c r="J313" s="8" t="str" cm="1">
        <f t="array" ref="J313">_xlfn.IFS(Table3[[#This Row],[Age (Years)]] &lt; 40, "Young", Table3[[#This Row],[Age (Years)]] &gt;= 40, "Middle", Table3[[#This Row],[Age (Years)]] &gt; 60, "Senior")</f>
        <v>Middle</v>
      </c>
      <c r="K313" s="8" t="str" cm="1">
        <f t="array" ref="K313">_xlfn.IFS(Table3[[#This Row],[Drug_Cost_GBP]] &gt; 1200, "High Cost", Table3[[#This Row],[Drug_Cost_GBP]] &lt; 1200, "Normal")</f>
        <v>Normal</v>
      </c>
      <c r="L313" s="8" t="str" cm="1">
        <f t="array" ref="L313">IFERROR(_xlfn.IFS(Table3[[#This Row],[Age (Years)]]  &gt; 75, "YES", Table3[[#This Row],[Age (Years)]] &lt; 75, "NO"), "UNKNOWN")</f>
        <v>NO</v>
      </c>
      <c r="M313" s="8" t="str">
        <f>IF(Table3[[#This Row],[Drug_Cost_GBP]] &gt; Analysis_Sheet!$B$21, "Above Average", "Within Average")</f>
        <v>Within Average</v>
      </c>
      <c r="N313" s="39" t="str">
        <f t="shared" si="4"/>
        <v>May 2024</v>
      </c>
    </row>
    <row r="314" spans="1:14" x14ac:dyDescent="0.3">
      <c r="A314" s="5" t="s">
        <v>273</v>
      </c>
      <c r="B314" s="18">
        <v>57</v>
      </c>
      <c r="C314" s="6" t="s">
        <v>900</v>
      </c>
      <c r="D314" s="6" t="s">
        <v>19</v>
      </c>
      <c r="E314" s="6" t="s">
        <v>29</v>
      </c>
      <c r="F314" s="7">
        <v>45424</v>
      </c>
      <c r="G314" s="6">
        <v>12</v>
      </c>
      <c r="H314" s="14">
        <v>1002.0675517241378</v>
      </c>
      <c r="I314" s="8" t="s">
        <v>12</v>
      </c>
      <c r="J314" s="4" t="str" cm="1">
        <f t="array" ref="J314">_xlfn.IFS(Table3[[#This Row],[Age (Years)]] &lt; 40, "Young", Table3[[#This Row],[Age (Years)]] &gt;= 40, "Middle", Table3[[#This Row],[Age (Years)]] &gt; 60, "Senior")</f>
        <v>Middle</v>
      </c>
      <c r="K314" s="4" t="str" cm="1">
        <f t="array" ref="K314">_xlfn.IFS(Table3[[#This Row],[Drug_Cost_GBP]] &gt; 1200, "High Cost", Table3[[#This Row],[Drug_Cost_GBP]] &lt; 1200, "Normal")</f>
        <v>Normal</v>
      </c>
      <c r="L314" s="4" t="str" cm="1">
        <f t="array" ref="L314">IFERROR(_xlfn.IFS(Table3[[#This Row],[Age (Years)]]  &gt; 75, "YES", Table3[[#This Row],[Age (Years)]] &lt; 75, "NO"), "UNKNOWN")</f>
        <v>NO</v>
      </c>
      <c r="M314" s="4" t="str">
        <f>IF(Table3[[#This Row],[Drug_Cost_GBP]] &gt; Analysis_Sheet!$B$21, "Above Average", "Within Average")</f>
        <v>Within Average</v>
      </c>
      <c r="N314" s="39" t="str">
        <f t="shared" si="4"/>
        <v>May 2024</v>
      </c>
    </row>
    <row r="315" spans="1:14" x14ac:dyDescent="0.3">
      <c r="A315" s="1" t="s">
        <v>274</v>
      </c>
      <c r="B315" s="17">
        <v>57</v>
      </c>
      <c r="C315" s="2" t="s">
        <v>899</v>
      </c>
      <c r="D315" s="2" t="s">
        <v>10</v>
      </c>
      <c r="E315" s="2" t="s">
        <v>23</v>
      </c>
      <c r="F315" s="3" t="s">
        <v>900</v>
      </c>
      <c r="G315" s="2">
        <v>12</v>
      </c>
      <c r="H315" s="13">
        <v>1002.0675517241378</v>
      </c>
      <c r="I315" s="4" t="s">
        <v>26</v>
      </c>
      <c r="J315" s="8" t="str" cm="1">
        <f t="array" ref="J315">_xlfn.IFS(Table3[[#This Row],[Age (Years)]] &lt; 40, "Young", Table3[[#This Row],[Age (Years)]] &gt;= 40, "Middle", Table3[[#This Row],[Age (Years)]] &gt; 60, "Senior")</f>
        <v>Middle</v>
      </c>
      <c r="K315" s="8" t="str" cm="1">
        <f t="array" ref="K315">_xlfn.IFS(Table3[[#This Row],[Drug_Cost_GBP]] &gt; 1200, "High Cost", Table3[[#This Row],[Drug_Cost_GBP]] &lt; 1200, "Normal")</f>
        <v>Normal</v>
      </c>
      <c r="L315" s="8" t="str" cm="1">
        <f t="array" ref="L315">IFERROR(_xlfn.IFS(Table3[[#This Row],[Age (Years)]]  &gt; 75, "YES", Table3[[#This Row],[Age (Years)]] &lt; 75, "NO"), "UNKNOWN")</f>
        <v>NO</v>
      </c>
      <c r="M315" s="8" t="str">
        <f>IF(Table3[[#This Row],[Drug_Cost_GBP]] &gt; Analysis_Sheet!$B$21, "Above Average", "Within Average")</f>
        <v>Within Average</v>
      </c>
      <c r="N315" s="39" t="str">
        <f t="shared" si="4"/>
        <v>Unknown</v>
      </c>
    </row>
    <row r="316" spans="1:14" x14ac:dyDescent="0.3">
      <c r="A316" s="5" t="s">
        <v>281</v>
      </c>
      <c r="B316" s="18">
        <v>57</v>
      </c>
      <c r="C316" s="6" t="s">
        <v>38</v>
      </c>
      <c r="D316" s="6" t="s">
        <v>48</v>
      </c>
      <c r="E316" s="6" t="s">
        <v>43</v>
      </c>
      <c r="F316" s="7">
        <v>45426</v>
      </c>
      <c r="G316" s="6">
        <v>12</v>
      </c>
      <c r="H316" s="14">
        <v>1002.0675517241378</v>
      </c>
      <c r="I316" s="8" t="s">
        <v>21</v>
      </c>
      <c r="J316" s="4" t="str" cm="1">
        <f t="array" ref="J316">_xlfn.IFS(Table3[[#This Row],[Age (Years)]] &lt; 40, "Young", Table3[[#This Row],[Age (Years)]] &gt;= 40, "Middle", Table3[[#This Row],[Age (Years)]] &gt; 60, "Senior")</f>
        <v>Middle</v>
      </c>
      <c r="K316" s="4" t="str" cm="1">
        <f t="array" ref="K316">_xlfn.IFS(Table3[[#This Row],[Drug_Cost_GBP]] &gt; 1200, "High Cost", Table3[[#This Row],[Drug_Cost_GBP]] &lt; 1200, "Normal")</f>
        <v>Normal</v>
      </c>
      <c r="L316" s="4" t="str" cm="1">
        <f t="array" ref="L316">IFERROR(_xlfn.IFS(Table3[[#This Row],[Age (Years)]]  &gt; 75, "YES", Table3[[#This Row],[Age (Years)]] &lt; 75, "NO"), "UNKNOWN")</f>
        <v>NO</v>
      </c>
      <c r="M316" s="4" t="str">
        <f>IF(Table3[[#This Row],[Drug_Cost_GBP]] &gt; Analysis_Sheet!$B$21, "Above Average", "Within Average")</f>
        <v>Within Average</v>
      </c>
      <c r="N316" s="39" t="str">
        <f t="shared" si="4"/>
        <v>May 2024</v>
      </c>
    </row>
    <row r="317" spans="1:14" x14ac:dyDescent="0.3">
      <c r="A317" s="1" t="s">
        <v>282</v>
      </c>
      <c r="B317" s="17">
        <v>57</v>
      </c>
      <c r="C317" s="2" t="s">
        <v>899</v>
      </c>
      <c r="D317" s="2" t="s">
        <v>48</v>
      </c>
      <c r="E317" s="2" t="s">
        <v>57</v>
      </c>
      <c r="F317" s="3">
        <v>45292</v>
      </c>
      <c r="G317" s="2">
        <v>12</v>
      </c>
      <c r="H317" s="13">
        <v>1002.0675517241378</v>
      </c>
      <c r="I317" s="4" t="s">
        <v>16</v>
      </c>
      <c r="J317" s="4" t="str" cm="1">
        <f t="array" ref="J317">_xlfn.IFS(Table3[[#This Row],[Age (Years)]] &lt; 40, "Young", Table3[[#This Row],[Age (Years)]] &gt;= 40, "Middle", Table3[[#This Row],[Age (Years)]] &gt; 60, "Senior")</f>
        <v>Middle</v>
      </c>
      <c r="K317" s="4" t="str" cm="1">
        <f t="array" ref="K317">_xlfn.IFS(Table3[[#This Row],[Drug_Cost_GBP]] &gt; 1200, "High Cost", Table3[[#This Row],[Drug_Cost_GBP]] &lt; 1200, "Normal")</f>
        <v>Normal</v>
      </c>
      <c r="L317" s="4" t="str" cm="1">
        <f t="array" ref="L317">IFERROR(_xlfn.IFS(Table3[[#This Row],[Age (Years)]]  &gt; 75, "YES", Table3[[#This Row],[Age (Years)]] &lt; 75, "NO"), "UNKNOWN")</f>
        <v>NO</v>
      </c>
      <c r="M317" s="4" t="str">
        <f>IF(Table3[[#This Row],[Drug_Cost_GBP]] &gt; Analysis_Sheet!$B$21, "Above Average", "Within Average")</f>
        <v>Within Average</v>
      </c>
      <c r="N317" s="39" t="str">
        <f t="shared" si="4"/>
        <v>January 2024</v>
      </c>
    </row>
    <row r="318" spans="1:14" x14ac:dyDescent="0.3">
      <c r="A318" s="1" t="s">
        <v>284</v>
      </c>
      <c r="B318" s="17">
        <v>57</v>
      </c>
      <c r="C318" s="2" t="s">
        <v>899</v>
      </c>
      <c r="D318" s="2" t="s">
        <v>14</v>
      </c>
      <c r="E318" s="2" t="s">
        <v>23</v>
      </c>
      <c r="F318" s="3">
        <v>45363</v>
      </c>
      <c r="G318" s="2">
        <v>12</v>
      </c>
      <c r="H318" s="13">
        <v>1002.0675517241378</v>
      </c>
      <c r="I318" s="4" t="s">
        <v>21</v>
      </c>
      <c r="J318" s="4" t="str" cm="1">
        <f t="array" ref="J318">_xlfn.IFS(Table3[[#This Row],[Age (Years)]] &lt; 40, "Young", Table3[[#This Row],[Age (Years)]] &gt;= 40, "Middle", Table3[[#This Row],[Age (Years)]] &gt; 60, "Senior")</f>
        <v>Middle</v>
      </c>
      <c r="K318" s="4" t="str" cm="1">
        <f t="array" ref="K318">_xlfn.IFS(Table3[[#This Row],[Drug_Cost_GBP]] &gt; 1200, "High Cost", Table3[[#This Row],[Drug_Cost_GBP]] &lt; 1200, "Normal")</f>
        <v>Normal</v>
      </c>
      <c r="L318" s="4" t="str" cm="1">
        <f t="array" ref="L318">IFERROR(_xlfn.IFS(Table3[[#This Row],[Age (Years)]]  &gt; 75, "YES", Table3[[#This Row],[Age (Years)]] &lt; 75, "NO"), "UNKNOWN")</f>
        <v>NO</v>
      </c>
      <c r="M318" s="4" t="str">
        <f>IF(Table3[[#This Row],[Drug_Cost_GBP]] &gt; Analysis_Sheet!$B$21, "Above Average", "Within Average")</f>
        <v>Within Average</v>
      </c>
      <c r="N318" s="39" t="str">
        <f t="shared" si="4"/>
        <v>March 2024</v>
      </c>
    </row>
    <row r="319" spans="1:14" x14ac:dyDescent="0.3">
      <c r="A319" s="1" t="s">
        <v>286</v>
      </c>
      <c r="B319" s="17">
        <v>57</v>
      </c>
      <c r="C319" s="2" t="s">
        <v>899</v>
      </c>
      <c r="D319" s="2" t="s">
        <v>19</v>
      </c>
      <c r="E319" s="2" t="s">
        <v>43</v>
      </c>
      <c r="F319" s="3">
        <v>45510</v>
      </c>
      <c r="G319" s="2">
        <v>19</v>
      </c>
      <c r="H319" s="13">
        <v>1002.0675517241378</v>
      </c>
      <c r="I319" s="4" t="s">
        <v>26</v>
      </c>
      <c r="J319" s="4" t="str" cm="1">
        <f t="array" ref="J319">_xlfn.IFS(Table3[[#This Row],[Age (Years)]] &lt; 40, "Young", Table3[[#This Row],[Age (Years)]] &gt;= 40, "Middle", Table3[[#This Row],[Age (Years)]] &gt; 60, "Senior")</f>
        <v>Middle</v>
      </c>
      <c r="K319" s="4" t="str" cm="1">
        <f t="array" ref="K319">_xlfn.IFS(Table3[[#This Row],[Drug_Cost_GBP]] &gt; 1200, "High Cost", Table3[[#This Row],[Drug_Cost_GBP]] &lt; 1200, "Normal")</f>
        <v>Normal</v>
      </c>
      <c r="L319" s="4" t="str" cm="1">
        <f t="array" ref="L319">IFERROR(_xlfn.IFS(Table3[[#This Row],[Age (Years)]]  &gt; 75, "YES", Table3[[#This Row],[Age (Years)]] &lt; 75, "NO"), "UNKNOWN")</f>
        <v>NO</v>
      </c>
      <c r="M319" s="4" t="str">
        <f>IF(Table3[[#This Row],[Drug_Cost_GBP]] &gt; Analysis_Sheet!$B$21, "Above Average", "Within Average")</f>
        <v>Within Average</v>
      </c>
      <c r="N319" s="39" t="str">
        <f t="shared" si="4"/>
        <v>August 2024</v>
      </c>
    </row>
    <row r="320" spans="1:14" x14ac:dyDescent="0.3">
      <c r="A320" s="1" t="s">
        <v>288</v>
      </c>
      <c r="B320" s="17">
        <v>57</v>
      </c>
      <c r="C320" s="2" t="s">
        <v>38</v>
      </c>
      <c r="D320" s="2" t="s">
        <v>19</v>
      </c>
      <c r="E320" s="2" t="s">
        <v>29</v>
      </c>
      <c r="F320" s="3">
        <v>45476</v>
      </c>
      <c r="G320" s="2">
        <v>12</v>
      </c>
      <c r="H320" s="13">
        <v>1002.0675517241378</v>
      </c>
      <c r="I320" s="4" t="s">
        <v>26</v>
      </c>
      <c r="J320" s="8" t="str" cm="1">
        <f t="array" ref="J320">_xlfn.IFS(Table3[[#This Row],[Age (Years)]] &lt; 40, "Young", Table3[[#This Row],[Age (Years)]] &gt;= 40, "Middle", Table3[[#This Row],[Age (Years)]] &gt; 60, "Senior")</f>
        <v>Middle</v>
      </c>
      <c r="K320" s="8" t="str" cm="1">
        <f t="array" ref="K320">_xlfn.IFS(Table3[[#This Row],[Drug_Cost_GBP]] &gt; 1200, "High Cost", Table3[[#This Row],[Drug_Cost_GBP]] &lt; 1200, "Normal")</f>
        <v>Normal</v>
      </c>
      <c r="L320" s="8" t="str" cm="1">
        <f t="array" ref="L320">IFERROR(_xlfn.IFS(Table3[[#This Row],[Age (Years)]]  &gt; 75, "YES", Table3[[#This Row],[Age (Years)]] &lt; 75, "NO"), "UNKNOWN")</f>
        <v>NO</v>
      </c>
      <c r="M320" s="8" t="str">
        <f>IF(Table3[[#This Row],[Drug_Cost_GBP]] &gt; Analysis_Sheet!$B$21, "Above Average", "Within Average")</f>
        <v>Within Average</v>
      </c>
      <c r="N320" s="39" t="str">
        <f t="shared" si="4"/>
        <v>July 2024</v>
      </c>
    </row>
    <row r="321" spans="1:14" x14ac:dyDescent="0.3">
      <c r="A321" s="5" t="s">
        <v>289</v>
      </c>
      <c r="B321" s="18">
        <v>57</v>
      </c>
      <c r="C321" s="6" t="s">
        <v>899</v>
      </c>
      <c r="D321" s="6" t="s">
        <v>51</v>
      </c>
      <c r="E321" s="6" t="s">
        <v>43</v>
      </c>
      <c r="F321" s="7" t="s">
        <v>900</v>
      </c>
      <c r="G321" s="6">
        <v>3</v>
      </c>
      <c r="H321" s="14">
        <v>1002.0675517241378</v>
      </c>
      <c r="I321" s="8" t="s">
        <v>26</v>
      </c>
      <c r="J321" s="8" t="str" cm="1">
        <f t="array" ref="J321">_xlfn.IFS(Table3[[#This Row],[Age (Years)]] &lt; 40, "Young", Table3[[#This Row],[Age (Years)]] &gt;= 40, "Middle", Table3[[#This Row],[Age (Years)]] &gt; 60, "Senior")</f>
        <v>Middle</v>
      </c>
      <c r="K321" s="8" t="str" cm="1">
        <f t="array" ref="K321">_xlfn.IFS(Table3[[#This Row],[Drug_Cost_GBP]] &gt; 1200, "High Cost", Table3[[#This Row],[Drug_Cost_GBP]] &lt; 1200, "Normal")</f>
        <v>Normal</v>
      </c>
      <c r="L321" s="8" t="str" cm="1">
        <f t="array" ref="L321">IFERROR(_xlfn.IFS(Table3[[#This Row],[Age (Years)]]  &gt; 75, "YES", Table3[[#This Row],[Age (Years)]] &lt; 75, "NO"), "UNKNOWN")</f>
        <v>NO</v>
      </c>
      <c r="M321" s="8" t="str">
        <f>IF(Table3[[#This Row],[Drug_Cost_GBP]] &gt; Analysis_Sheet!$B$21, "Above Average", "Within Average")</f>
        <v>Within Average</v>
      </c>
      <c r="N321" s="39" t="str">
        <f t="shared" si="4"/>
        <v>Unknown</v>
      </c>
    </row>
    <row r="322" spans="1:14" x14ac:dyDescent="0.3">
      <c r="A322" s="5" t="s">
        <v>291</v>
      </c>
      <c r="B322" s="18">
        <v>57</v>
      </c>
      <c r="C322" s="6" t="s">
        <v>899</v>
      </c>
      <c r="D322" s="6" t="s">
        <v>900</v>
      </c>
      <c r="E322" s="6" t="s">
        <v>23</v>
      </c>
      <c r="F322" s="7">
        <v>45601</v>
      </c>
      <c r="G322" s="6">
        <v>12</v>
      </c>
      <c r="H322" s="14">
        <v>1002.0675517241378</v>
      </c>
      <c r="I322" s="8" t="s">
        <v>12</v>
      </c>
      <c r="J322" s="8" t="str" cm="1">
        <f t="array" ref="J322">_xlfn.IFS(Table3[[#This Row],[Age (Years)]] &lt; 40, "Young", Table3[[#This Row],[Age (Years)]] &gt;= 40, "Middle", Table3[[#This Row],[Age (Years)]] &gt; 60, "Senior")</f>
        <v>Middle</v>
      </c>
      <c r="K322" s="8" t="str" cm="1">
        <f t="array" ref="K322">_xlfn.IFS(Table3[[#This Row],[Drug_Cost_GBP]] &gt; 1200, "High Cost", Table3[[#This Row],[Drug_Cost_GBP]] &lt; 1200, "Normal")</f>
        <v>Normal</v>
      </c>
      <c r="L322" s="8" t="str" cm="1">
        <f t="array" ref="L322">IFERROR(_xlfn.IFS(Table3[[#This Row],[Age (Years)]]  &gt; 75, "YES", Table3[[#This Row],[Age (Years)]] &lt; 75, "NO"), "UNKNOWN")</f>
        <v>NO</v>
      </c>
      <c r="M322" s="8" t="str">
        <f>IF(Table3[[#This Row],[Drug_Cost_GBP]] &gt; Analysis_Sheet!$B$21, "Above Average", "Within Average")</f>
        <v>Within Average</v>
      </c>
      <c r="N322" s="39" t="str">
        <f t="shared" si="4"/>
        <v>November 2024</v>
      </c>
    </row>
    <row r="323" spans="1:14" x14ac:dyDescent="0.3">
      <c r="A323" s="5" t="s">
        <v>293</v>
      </c>
      <c r="B323" s="18">
        <v>57</v>
      </c>
      <c r="C323" s="6" t="s">
        <v>899</v>
      </c>
      <c r="D323" s="6" t="s">
        <v>900</v>
      </c>
      <c r="E323" s="6" t="s">
        <v>57</v>
      </c>
      <c r="F323" s="7" t="s">
        <v>900</v>
      </c>
      <c r="G323" s="6">
        <v>20</v>
      </c>
      <c r="H323" s="14">
        <v>1002.0675517241378</v>
      </c>
      <c r="I323" s="8" t="s">
        <v>900</v>
      </c>
      <c r="J323" s="4" t="str" cm="1">
        <f t="array" ref="J323">_xlfn.IFS(Table3[[#This Row],[Age (Years)]] &lt; 40, "Young", Table3[[#This Row],[Age (Years)]] &gt;= 40, "Middle", Table3[[#This Row],[Age (Years)]] &gt; 60, "Senior")</f>
        <v>Middle</v>
      </c>
      <c r="K323" s="4" t="str" cm="1">
        <f t="array" ref="K323">_xlfn.IFS(Table3[[#This Row],[Drug_Cost_GBP]] &gt; 1200, "High Cost", Table3[[#This Row],[Drug_Cost_GBP]] &lt; 1200, "Normal")</f>
        <v>Normal</v>
      </c>
      <c r="L323" s="4" t="str" cm="1">
        <f t="array" ref="L323">IFERROR(_xlfn.IFS(Table3[[#This Row],[Age (Years)]]  &gt; 75, "YES", Table3[[#This Row],[Age (Years)]] &lt; 75, "NO"), "UNKNOWN")</f>
        <v>NO</v>
      </c>
      <c r="M323" s="4" t="str">
        <f>IF(Table3[[#This Row],[Drug_Cost_GBP]] &gt; Analysis_Sheet!$B$21, "Above Average", "Within Average")</f>
        <v>Within Average</v>
      </c>
      <c r="N323" s="39" t="str">
        <f t="shared" ref="N323:N386" si="5">IF(ISNUMBER(F323),TEXT(F323,"MMMM YYYY"),"Unknown")</f>
        <v>Unknown</v>
      </c>
    </row>
    <row r="324" spans="1:14" x14ac:dyDescent="0.3">
      <c r="A324" s="1" t="s">
        <v>294</v>
      </c>
      <c r="B324" s="17">
        <v>57</v>
      </c>
      <c r="C324" s="2" t="s">
        <v>38</v>
      </c>
      <c r="D324" s="2" t="s">
        <v>48</v>
      </c>
      <c r="E324" s="2" t="s">
        <v>43</v>
      </c>
      <c r="F324" s="3">
        <v>45648</v>
      </c>
      <c r="G324" s="2">
        <v>3</v>
      </c>
      <c r="H324" s="13">
        <v>1038.4100000000001</v>
      </c>
      <c r="I324" s="4" t="s">
        <v>26</v>
      </c>
      <c r="J324" s="8" t="str" cm="1">
        <f t="array" ref="J324">_xlfn.IFS(Table3[[#This Row],[Age (Years)]] &lt; 40, "Young", Table3[[#This Row],[Age (Years)]] &gt;= 40, "Middle", Table3[[#This Row],[Age (Years)]] &gt; 60, "Senior")</f>
        <v>Middle</v>
      </c>
      <c r="K324" s="8" t="str" cm="1">
        <f t="array" ref="K324">_xlfn.IFS(Table3[[#This Row],[Drug_Cost_GBP]] &gt; 1200, "High Cost", Table3[[#This Row],[Drug_Cost_GBP]] &lt; 1200, "Normal")</f>
        <v>Normal</v>
      </c>
      <c r="L324" s="8" t="str" cm="1">
        <f t="array" ref="L324">IFERROR(_xlfn.IFS(Table3[[#This Row],[Age (Years)]]  &gt; 75, "YES", Table3[[#This Row],[Age (Years)]] &lt; 75, "NO"), "UNKNOWN")</f>
        <v>NO</v>
      </c>
      <c r="M324" s="8" t="str">
        <f>IF(Table3[[#This Row],[Drug_Cost_GBP]] &gt; Analysis_Sheet!$B$21, "Above Average", "Within Average")</f>
        <v>Above Average</v>
      </c>
      <c r="N324" s="39" t="str">
        <f t="shared" si="5"/>
        <v>December 2024</v>
      </c>
    </row>
    <row r="325" spans="1:14" x14ac:dyDescent="0.3">
      <c r="A325" s="5" t="s">
        <v>295</v>
      </c>
      <c r="B325" s="18">
        <v>57</v>
      </c>
      <c r="C325" s="6" t="s">
        <v>38</v>
      </c>
      <c r="D325" s="6" t="s">
        <v>14</v>
      </c>
      <c r="E325" s="6" t="s">
        <v>29</v>
      </c>
      <c r="F325" s="7">
        <v>45478</v>
      </c>
      <c r="G325" s="6">
        <v>3</v>
      </c>
      <c r="H325" s="14">
        <v>1002.0675517241378</v>
      </c>
      <c r="I325" s="8" t="s">
        <v>12</v>
      </c>
      <c r="J325" s="8" t="str" cm="1">
        <f t="array" ref="J325">_xlfn.IFS(Table3[[#This Row],[Age (Years)]] &lt; 40, "Young", Table3[[#This Row],[Age (Years)]] &gt;= 40, "Middle", Table3[[#This Row],[Age (Years)]] &gt; 60, "Senior")</f>
        <v>Middle</v>
      </c>
      <c r="K325" s="8" t="str" cm="1">
        <f t="array" ref="K325">_xlfn.IFS(Table3[[#This Row],[Drug_Cost_GBP]] &gt; 1200, "High Cost", Table3[[#This Row],[Drug_Cost_GBP]] &lt; 1200, "Normal")</f>
        <v>Normal</v>
      </c>
      <c r="L325" s="8" t="str" cm="1">
        <f t="array" ref="L325">IFERROR(_xlfn.IFS(Table3[[#This Row],[Age (Years)]]  &gt; 75, "YES", Table3[[#This Row],[Age (Years)]] &lt; 75, "NO"), "UNKNOWN")</f>
        <v>NO</v>
      </c>
      <c r="M325" s="8" t="str">
        <f>IF(Table3[[#This Row],[Drug_Cost_GBP]] &gt; Analysis_Sheet!$B$21, "Above Average", "Within Average")</f>
        <v>Within Average</v>
      </c>
      <c r="N325" s="39" t="str">
        <f t="shared" si="5"/>
        <v>July 2024</v>
      </c>
    </row>
    <row r="326" spans="1:14" x14ac:dyDescent="0.3">
      <c r="A326" s="5" t="s">
        <v>297</v>
      </c>
      <c r="B326" s="18">
        <v>57</v>
      </c>
      <c r="C326" s="6" t="s">
        <v>900</v>
      </c>
      <c r="D326" s="6" t="s">
        <v>48</v>
      </c>
      <c r="E326" s="6" t="s">
        <v>23</v>
      </c>
      <c r="F326" s="7">
        <v>45420</v>
      </c>
      <c r="G326" s="6">
        <v>19</v>
      </c>
      <c r="H326" s="14">
        <v>1940.09</v>
      </c>
      <c r="I326" s="8" t="s">
        <v>900</v>
      </c>
      <c r="J326" s="4" t="str" cm="1">
        <f t="array" ref="J326">_xlfn.IFS(Table3[[#This Row],[Age (Years)]] &lt; 40, "Young", Table3[[#This Row],[Age (Years)]] &gt;= 40, "Middle", Table3[[#This Row],[Age (Years)]] &gt; 60, "Senior")</f>
        <v>Middle</v>
      </c>
      <c r="K326" s="4" t="str" cm="1">
        <f t="array" ref="K326">_xlfn.IFS(Table3[[#This Row],[Drug_Cost_GBP]] &gt; 1200, "High Cost", Table3[[#This Row],[Drug_Cost_GBP]] &lt; 1200, "Normal")</f>
        <v>High Cost</v>
      </c>
      <c r="L326" s="4" t="str" cm="1">
        <f t="array" ref="L326">IFERROR(_xlfn.IFS(Table3[[#This Row],[Age (Years)]]  &gt; 75, "YES", Table3[[#This Row],[Age (Years)]] &lt; 75, "NO"), "UNKNOWN")</f>
        <v>NO</v>
      </c>
      <c r="M326" s="4" t="str">
        <f>IF(Table3[[#This Row],[Drug_Cost_GBP]] &gt; Analysis_Sheet!$B$21, "Above Average", "Within Average")</f>
        <v>Above Average</v>
      </c>
      <c r="N326" s="39" t="str">
        <f t="shared" si="5"/>
        <v>May 2024</v>
      </c>
    </row>
    <row r="327" spans="1:14" x14ac:dyDescent="0.3">
      <c r="A327" s="1" t="s">
        <v>298</v>
      </c>
      <c r="B327" s="17">
        <v>57</v>
      </c>
      <c r="C327" s="2" t="s">
        <v>38</v>
      </c>
      <c r="D327" s="2" t="s">
        <v>25</v>
      </c>
      <c r="E327" s="2" t="s">
        <v>34</v>
      </c>
      <c r="F327" s="3">
        <v>45614</v>
      </c>
      <c r="G327" s="2">
        <v>12</v>
      </c>
      <c r="H327" s="13">
        <v>482.73</v>
      </c>
      <c r="I327" s="4" t="s">
        <v>12</v>
      </c>
      <c r="J327" s="4" t="str" cm="1">
        <f t="array" ref="J327">_xlfn.IFS(Table3[[#This Row],[Age (Years)]] &lt; 40, "Young", Table3[[#This Row],[Age (Years)]] &gt;= 40, "Middle", Table3[[#This Row],[Age (Years)]] &gt; 60, "Senior")</f>
        <v>Middle</v>
      </c>
      <c r="K327" s="4" t="str" cm="1">
        <f t="array" ref="K327">_xlfn.IFS(Table3[[#This Row],[Drug_Cost_GBP]] &gt; 1200, "High Cost", Table3[[#This Row],[Drug_Cost_GBP]] &lt; 1200, "Normal")</f>
        <v>Normal</v>
      </c>
      <c r="L327" s="4" t="str" cm="1">
        <f t="array" ref="L327">IFERROR(_xlfn.IFS(Table3[[#This Row],[Age (Years)]]  &gt; 75, "YES", Table3[[#This Row],[Age (Years)]] &lt; 75, "NO"), "UNKNOWN")</f>
        <v>NO</v>
      </c>
      <c r="M327" s="4" t="str">
        <f>IF(Table3[[#This Row],[Drug_Cost_GBP]] &gt; Analysis_Sheet!$B$21, "Above Average", "Within Average")</f>
        <v>Within Average</v>
      </c>
      <c r="N327" s="39" t="str">
        <f t="shared" si="5"/>
        <v>November 2024</v>
      </c>
    </row>
    <row r="328" spans="1:14" x14ac:dyDescent="0.3">
      <c r="A328" s="1" t="s">
        <v>300</v>
      </c>
      <c r="B328" s="17">
        <v>57</v>
      </c>
      <c r="C328" s="2" t="s">
        <v>38</v>
      </c>
      <c r="D328" s="2" t="s">
        <v>900</v>
      </c>
      <c r="E328" s="2" t="s">
        <v>23</v>
      </c>
      <c r="F328" s="3">
        <v>45360</v>
      </c>
      <c r="G328" s="2">
        <v>19</v>
      </c>
      <c r="H328" s="13">
        <v>1002.0675517241378</v>
      </c>
      <c r="I328" s="4" t="s">
        <v>16</v>
      </c>
      <c r="J328" s="4" t="str" cm="1">
        <f t="array" ref="J328">_xlfn.IFS(Table3[[#This Row],[Age (Years)]] &lt; 40, "Young", Table3[[#This Row],[Age (Years)]] &gt;= 40, "Middle", Table3[[#This Row],[Age (Years)]] &gt; 60, "Senior")</f>
        <v>Middle</v>
      </c>
      <c r="K328" s="4" t="str" cm="1">
        <f t="array" ref="K328">_xlfn.IFS(Table3[[#This Row],[Drug_Cost_GBP]] &gt; 1200, "High Cost", Table3[[#This Row],[Drug_Cost_GBP]] &lt; 1200, "Normal")</f>
        <v>Normal</v>
      </c>
      <c r="L328" s="4" t="str" cm="1">
        <f t="array" ref="L328">IFERROR(_xlfn.IFS(Table3[[#This Row],[Age (Years)]]  &gt; 75, "YES", Table3[[#This Row],[Age (Years)]] &lt; 75, "NO"), "UNKNOWN")</f>
        <v>NO</v>
      </c>
      <c r="M328" s="4" t="str">
        <f>IF(Table3[[#This Row],[Drug_Cost_GBP]] &gt; Analysis_Sheet!$B$21, "Above Average", "Within Average")</f>
        <v>Within Average</v>
      </c>
      <c r="N328" s="39" t="str">
        <f t="shared" si="5"/>
        <v>March 2024</v>
      </c>
    </row>
    <row r="329" spans="1:14" x14ac:dyDescent="0.3">
      <c r="A329" s="1" t="s">
        <v>302</v>
      </c>
      <c r="B329" s="17">
        <v>57</v>
      </c>
      <c r="C329" s="2" t="s">
        <v>900</v>
      </c>
      <c r="D329" s="2" t="s">
        <v>898</v>
      </c>
      <c r="E329" s="2" t="s">
        <v>23</v>
      </c>
      <c r="F329" s="3">
        <v>45450</v>
      </c>
      <c r="G329" s="2">
        <v>12</v>
      </c>
      <c r="H329" s="13">
        <v>1002.0675517241378</v>
      </c>
      <c r="I329" s="4" t="s">
        <v>26</v>
      </c>
      <c r="J329" s="8" t="str" cm="1">
        <f t="array" ref="J329">_xlfn.IFS(Table3[[#This Row],[Age (Years)]] &lt; 40, "Young", Table3[[#This Row],[Age (Years)]] &gt;= 40, "Middle", Table3[[#This Row],[Age (Years)]] &gt; 60, "Senior")</f>
        <v>Middle</v>
      </c>
      <c r="K329" s="8" t="str" cm="1">
        <f t="array" ref="K329">_xlfn.IFS(Table3[[#This Row],[Drug_Cost_GBP]] &gt; 1200, "High Cost", Table3[[#This Row],[Drug_Cost_GBP]] &lt; 1200, "Normal")</f>
        <v>Normal</v>
      </c>
      <c r="L329" s="8" t="str" cm="1">
        <f t="array" ref="L329">IFERROR(_xlfn.IFS(Table3[[#This Row],[Age (Years)]]  &gt; 75, "YES", Table3[[#This Row],[Age (Years)]] &lt; 75, "NO"), "UNKNOWN")</f>
        <v>NO</v>
      </c>
      <c r="M329" s="8" t="str">
        <f>IF(Table3[[#This Row],[Drug_Cost_GBP]] &gt; Analysis_Sheet!$B$21, "Above Average", "Within Average")</f>
        <v>Within Average</v>
      </c>
      <c r="N329" s="39" t="str">
        <f t="shared" si="5"/>
        <v>June 2024</v>
      </c>
    </row>
    <row r="330" spans="1:14" x14ac:dyDescent="0.3">
      <c r="A330" s="5" t="s">
        <v>303</v>
      </c>
      <c r="B330" s="18">
        <v>57</v>
      </c>
      <c r="C330" s="6" t="s">
        <v>899</v>
      </c>
      <c r="D330" s="6" t="s">
        <v>19</v>
      </c>
      <c r="E330" s="6" t="s">
        <v>11</v>
      </c>
      <c r="F330" s="7">
        <v>45292</v>
      </c>
      <c r="G330" s="6">
        <v>13</v>
      </c>
      <c r="H330" s="14">
        <v>1813.49</v>
      </c>
      <c r="I330" s="8" t="s">
        <v>900</v>
      </c>
      <c r="J330" s="4" t="str" cm="1">
        <f t="array" ref="J330">_xlfn.IFS(Table3[[#This Row],[Age (Years)]] &lt; 40, "Young", Table3[[#This Row],[Age (Years)]] &gt;= 40, "Middle", Table3[[#This Row],[Age (Years)]] &gt; 60, "Senior")</f>
        <v>Middle</v>
      </c>
      <c r="K330" s="4" t="str" cm="1">
        <f t="array" ref="K330">_xlfn.IFS(Table3[[#This Row],[Drug_Cost_GBP]] &gt; 1200, "High Cost", Table3[[#This Row],[Drug_Cost_GBP]] &lt; 1200, "Normal")</f>
        <v>High Cost</v>
      </c>
      <c r="L330" s="4" t="str" cm="1">
        <f t="array" ref="L330">IFERROR(_xlfn.IFS(Table3[[#This Row],[Age (Years)]]  &gt; 75, "YES", Table3[[#This Row],[Age (Years)]] &lt; 75, "NO"), "UNKNOWN")</f>
        <v>NO</v>
      </c>
      <c r="M330" s="4" t="str">
        <f>IF(Table3[[#This Row],[Drug_Cost_GBP]] &gt; Analysis_Sheet!$B$21, "Above Average", "Within Average")</f>
        <v>Above Average</v>
      </c>
      <c r="N330" s="39" t="str">
        <f t="shared" si="5"/>
        <v>January 2024</v>
      </c>
    </row>
    <row r="331" spans="1:14" x14ac:dyDescent="0.3">
      <c r="A331" s="1" t="s">
        <v>304</v>
      </c>
      <c r="B331" s="17">
        <v>57</v>
      </c>
      <c r="C331" s="2" t="s">
        <v>899</v>
      </c>
      <c r="D331" s="2" t="s">
        <v>10</v>
      </c>
      <c r="E331" s="2" t="s">
        <v>11</v>
      </c>
      <c r="F331" s="3">
        <v>45591</v>
      </c>
      <c r="G331" s="2">
        <v>12</v>
      </c>
      <c r="H331" s="13">
        <v>362.47</v>
      </c>
      <c r="I331" s="4" t="s">
        <v>21</v>
      </c>
      <c r="J331" s="4" t="str" cm="1">
        <f t="array" ref="J331">_xlfn.IFS(Table3[[#This Row],[Age (Years)]] &lt; 40, "Young", Table3[[#This Row],[Age (Years)]] &gt;= 40, "Middle", Table3[[#This Row],[Age (Years)]] &gt; 60, "Senior")</f>
        <v>Middle</v>
      </c>
      <c r="K331" s="4" t="str" cm="1">
        <f t="array" ref="K331">_xlfn.IFS(Table3[[#This Row],[Drug_Cost_GBP]] &gt; 1200, "High Cost", Table3[[#This Row],[Drug_Cost_GBP]] &lt; 1200, "Normal")</f>
        <v>Normal</v>
      </c>
      <c r="L331" s="4" t="str" cm="1">
        <f t="array" ref="L331">IFERROR(_xlfn.IFS(Table3[[#This Row],[Age (Years)]]  &gt; 75, "YES", Table3[[#This Row],[Age (Years)]] &lt; 75, "NO"), "UNKNOWN")</f>
        <v>NO</v>
      </c>
      <c r="M331" s="4" t="str">
        <f>IF(Table3[[#This Row],[Drug_Cost_GBP]] &gt; Analysis_Sheet!$B$21, "Above Average", "Within Average")</f>
        <v>Within Average</v>
      </c>
      <c r="N331" s="39" t="str">
        <f t="shared" si="5"/>
        <v>October 2024</v>
      </c>
    </row>
    <row r="332" spans="1:14" x14ac:dyDescent="0.3">
      <c r="A332" s="1" t="s">
        <v>306</v>
      </c>
      <c r="B332" s="17">
        <v>57</v>
      </c>
      <c r="C332" s="2" t="s">
        <v>899</v>
      </c>
      <c r="D332" s="2" t="s">
        <v>19</v>
      </c>
      <c r="E332" s="2" t="s">
        <v>43</v>
      </c>
      <c r="F332" s="3">
        <v>45447</v>
      </c>
      <c r="G332" s="2">
        <v>12</v>
      </c>
      <c r="H332" s="13">
        <v>214.65</v>
      </c>
      <c r="I332" s="4" t="s">
        <v>21</v>
      </c>
      <c r="J332" s="8" t="str" cm="1">
        <f t="array" ref="J332">_xlfn.IFS(Table3[[#This Row],[Age (Years)]] &lt; 40, "Young", Table3[[#This Row],[Age (Years)]] &gt;= 40, "Middle", Table3[[#This Row],[Age (Years)]] &gt; 60, "Senior")</f>
        <v>Middle</v>
      </c>
      <c r="K332" s="8" t="str" cm="1">
        <f t="array" ref="K332">_xlfn.IFS(Table3[[#This Row],[Drug_Cost_GBP]] &gt; 1200, "High Cost", Table3[[#This Row],[Drug_Cost_GBP]] &lt; 1200, "Normal")</f>
        <v>Normal</v>
      </c>
      <c r="L332" s="8" t="str" cm="1">
        <f t="array" ref="L332">IFERROR(_xlfn.IFS(Table3[[#This Row],[Age (Years)]]  &gt; 75, "YES", Table3[[#This Row],[Age (Years)]] &lt; 75, "NO"), "UNKNOWN")</f>
        <v>NO</v>
      </c>
      <c r="M332" s="8" t="str">
        <f>IF(Table3[[#This Row],[Drug_Cost_GBP]] &gt; Analysis_Sheet!$B$21, "Above Average", "Within Average")</f>
        <v>Within Average</v>
      </c>
      <c r="N332" s="39" t="str">
        <f t="shared" si="5"/>
        <v>June 2024</v>
      </c>
    </row>
    <row r="333" spans="1:14" x14ac:dyDescent="0.3">
      <c r="A333" s="5" t="s">
        <v>309</v>
      </c>
      <c r="B333" s="18">
        <v>57</v>
      </c>
      <c r="C333" s="6" t="s">
        <v>38</v>
      </c>
      <c r="D333" s="6" t="s">
        <v>19</v>
      </c>
      <c r="E333" s="6" t="s">
        <v>34</v>
      </c>
      <c r="F333" s="7">
        <v>45598</v>
      </c>
      <c r="G333" s="6">
        <v>12</v>
      </c>
      <c r="H333" s="14">
        <v>163.54</v>
      </c>
      <c r="I333" s="8" t="s">
        <v>900</v>
      </c>
      <c r="J333" s="4" t="str" cm="1">
        <f t="array" ref="J333">_xlfn.IFS(Table3[[#This Row],[Age (Years)]] &lt; 40, "Young", Table3[[#This Row],[Age (Years)]] &gt;= 40, "Middle", Table3[[#This Row],[Age (Years)]] &gt; 60, "Senior")</f>
        <v>Middle</v>
      </c>
      <c r="K333" s="4" t="str" cm="1">
        <f t="array" ref="K333">_xlfn.IFS(Table3[[#This Row],[Drug_Cost_GBP]] &gt; 1200, "High Cost", Table3[[#This Row],[Drug_Cost_GBP]] &lt; 1200, "Normal")</f>
        <v>Normal</v>
      </c>
      <c r="L333" s="4" t="str" cm="1">
        <f t="array" ref="L333">IFERROR(_xlfn.IFS(Table3[[#This Row],[Age (Years)]]  &gt; 75, "YES", Table3[[#This Row],[Age (Years)]] &lt; 75, "NO"), "UNKNOWN")</f>
        <v>NO</v>
      </c>
      <c r="M333" s="4" t="str">
        <f>IF(Table3[[#This Row],[Drug_Cost_GBP]] &gt; Analysis_Sheet!$B$21, "Above Average", "Within Average")</f>
        <v>Within Average</v>
      </c>
      <c r="N333" s="39" t="str">
        <f t="shared" si="5"/>
        <v>November 2024</v>
      </c>
    </row>
    <row r="334" spans="1:14" x14ac:dyDescent="0.3">
      <c r="A334" s="1" t="s">
        <v>310</v>
      </c>
      <c r="B334" s="17">
        <v>57</v>
      </c>
      <c r="C334" s="2" t="s">
        <v>38</v>
      </c>
      <c r="D334" s="2" t="s">
        <v>48</v>
      </c>
      <c r="E334" s="2" t="s">
        <v>23</v>
      </c>
      <c r="F334" s="3">
        <v>45567</v>
      </c>
      <c r="G334" s="2">
        <v>12</v>
      </c>
      <c r="H334" s="13">
        <v>1002.0675517241378</v>
      </c>
      <c r="I334" s="4" t="s">
        <v>21</v>
      </c>
      <c r="J334" s="8" t="str" cm="1">
        <f t="array" ref="J334">_xlfn.IFS(Table3[[#This Row],[Age (Years)]] &lt; 40, "Young", Table3[[#This Row],[Age (Years)]] &gt;= 40, "Middle", Table3[[#This Row],[Age (Years)]] &gt; 60, "Senior")</f>
        <v>Middle</v>
      </c>
      <c r="K334" s="8" t="str" cm="1">
        <f t="array" ref="K334">_xlfn.IFS(Table3[[#This Row],[Drug_Cost_GBP]] &gt; 1200, "High Cost", Table3[[#This Row],[Drug_Cost_GBP]] &lt; 1200, "Normal")</f>
        <v>Normal</v>
      </c>
      <c r="L334" s="8" t="str" cm="1">
        <f t="array" ref="L334">IFERROR(_xlfn.IFS(Table3[[#This Row],[Age (Years)]]  &gt; 75, "YES", Table3[[#This Row],[Age (Years)]] &lt; 75, "NO"), "UNKNOWN")</f>
        <v>NO</v>
      </c>
      <c r="M334" s="8" t="str">
        <f>IF(Table3[[#This Row],[Drug_Cost_GBP]] &gt; Analysis_Sheet!$B$21, "Above Average", "Within Average")</f>
        <v>Within Average</v>
      </c>
      <c r="N334" s="39" t="str">
        <f t="shared" si="5"/>
        <v>October 2024</v>
      </c>
    </row>
    <row r="335" spans="1:14" x14ac:dyDescent="0.3">
      <c r="A335" s="5" t="s">
        <v>311</v>
      </c>
      <c r="B335" s="18">
        <v>57</v>
      </c>
      <c r="C335" s="6" t="s">
        <v>899</v>
      </c>
      <c r="D335" s="6" t="s">
        <v>898</v>
      </c>
      <c r="E335" s="6" t="s">
        <v>23</v>
      </c>
      <c r="F335" s="7">
        <v>45295</v>
      </c>
      <c r="G335" s="6">
        <v>6</v>
      </c>
      <c r="H335" s="14">
        <v>1002.0675517241378</v>
      </c>
      <c r="I335" s="8" t="s">
        <v>900</v>
      </c>
      <c r="J335" s="4" t="str" cm="1">
        <f t="array" ref="J335">_xlfn.IFS(Table3[[#This Row],[Age (Years)]] &lt; 40, "Young", Table3[[#This Row],[Age (Years)]] &gt;= 40, "Middle", Table3[[#This Row],[Age (Years)]] &gt; 60, "Senior")</f>
        <v>Middle</v>
      </c>
      <c r="K335" s="4" t="str" cm="1">
        <f t="array" ref="K335">_xlfn.IFS(Table3[[#This Row],[Drug_Cost_GBP]] &gt; 1200, "High Cost", Table3[[#This Row],[Drug_Cost_GBP]] &lt; 1200, "Normal")</f>
        <v>Normal</v>
      </c>
      <c r="L335" s="4" t="str" cm="1">
        <f t="array" ref="L335">IFERROR(_xlfn.IFS(Table3[[#This Row],[Age (Years)]]  &gt; 75, "YES", Table3[[#This Row],[Age (Years)]] &lt; 75, "NO"), "UNKNOWN")</f>
        <v>NO</v>
      </c>
      <c r="M335" s="4" t="str">
        <f>IF(Table3[[#This Row],[Drug_Cost_GBP]] &gt; Analysis_Sheet!$B$21, "Above Average", "Within Average")</f>
        <v>Within Average</v>
      </c>
      <c r="N335" s="39" t="str">
        <f t="shared" si="5"/>
        <v>January 2024</v>
      </c>
    </row>
    <row r="336" spans="1:14" x14ac:dyDescent="0.3">
      <c r="A336" s="1" t="s">
        <v>312</v>
      </c>
      <c r="B336" s="17">
        <v>57</v>
      </c>
      <c r="C336" s="2" t="s">
        <v>900</v>
      </c>
      <c r="D336" s="2" t="s">
        <v>14</v>
      </c>
      <c r="E336" s="2" t="s">
        <v>23</v>
      </c>
      <c r="F336" s="3">
        <v>45491</v>
      </c>
      <c r="G336" s="2">
        <v>12</v>
      </c>
      <c r="H336" s="13">
        <v>1002.0675517241378</v>
      </c>
      <c r="I336" s="4" t="s">
        <v>16</v>
      </c>
      <c r="J336" s="4" t="str" cm="1">
        <f t="array" ref="J336">_xlfn.IFS(Table3[[#This Row],[Age (Years)]] &lt; 40, "Young", Table3[[#This Row],[Age (Years)]] &gt;= 40, "Middle", Table3[[#This Row],[Age (Years)]] &gt; 60, "Senior")</f>
        <v>Middle</v>
      </c>
      <c r="K336" s="4" t="str" cm="1">
        <f t="array" ref="K336">_xlfn.IFS(Table3[[#This Row],[Drug_Cost_GBP]] &gt; 1200, "High Cost", Table3[[#This Row],[Drug_Cost_GBP]] &lt; 1200, "Normal")</f>
        <v>Normal</v>
      </c>
      <c r="L336" s="4" t="str" cm="1">
        <f t="array" ref="L336">IFERROR(_xlfn.IFS(Table3[[#This Row],[Age (Years)]]  &gt; 75, "YES", Table3[[#This Row],[Age (Years)]] &lt; 75, "NO"), "UNKNOWN")</f>
        <v>NO</v>
      </c>
      <c r="M336" s="4" t="str">
        <f>IF(Table3[[#This Row],[Drug_Cost_GBP]] &gt; Analysis_Sheet!$B$21, "Above Average", "Within Average")</f>
        <v>Within Average</v>
      </c>
      <c r="N336" s="39" t="str">
        <f t="shared" si="5"/>
        <v>July 2024</v>
      </c>
    </row>
    <row r="337" spans="1:14" x14ac:dyDescent="0.3">
      <c r="A337" s="1" t="s">
        <v>314</v>
      </c>
      <c r="B337" s="17">
        <v>57</v>
      </c>
      <c r="C337" s="2" t="s">
        <v>900</v>
      </c>
      <c r="D337" s="2" t="s">
        <v>25</v>
      </c>
      <c r="E337" s="2" t="s">
        <v>57</v>
      </c>
      <c r="F337" s="3" t="s">
        <v>900</v>
      </c>
      <c r="G337" s="2">
        <v>12</v>
      </c>
      <c r="H337" s="13">
        <v>1002.0675517241378</v>
      </c>
      <c r="I337" s="4" t="s">
        <v>26</v>
      </c>
      <c r="J337" s="8" t="str" cm="1">
        <f t="array" ref="J337">_xlfn.IFS(Table3[[#This Row],[Age (Years)]] &lt; 40, "Young", Table3[[#This Row],[Age (Years)]] &gt;= 40, "Middle", Table3[[#This Row],[Age (Years)]] &gt; 60, "Senior")</f>
        <v>Middle</v>
      </c>
      <c r="K337" s="8" t="str" cm="1">
        <f t="array" ref="K337">_xlfn.IFS(Table3[[#This Row],[Drug_Cost_GBP]] &gt; 1200, "High Cost", Table3[[#This Row],[Drug_Cost_GBP]] &lt; 1200, "Normal")</f>
        <v>Normal</v>
      </c>
      <c r="L337" s="8" t="str" cm="1">
        <f t="array" ref="L337">IFERROR(_xlfn.IFS(Table3[[#This Row],[Age (Years)]]  &gt; 75, "YES", Table3[[#This Row],[Age (Years)]] &lt; 75, "NO"), "UNKNOWN")</f>
        <v>NO</v>
      </c>
      <c r="M337" s="8" t="str">
        <f>IF(Table3[[#This Row],[Drug_Cost_GBP]] &gt; Analysis_Sheet!$B$21, "Above Average", "Within Average")</f>
        <v>Within Average</v>
      </c>
      <c r="N337" s="39" t="str">
        <f t="shared" si="5"/>
        <v>Unknown</v>
      </c>
    </row>
    <row r="338" spans="1:14" x14ac:dyDescent="0.3">
      <c r="A338" s="5" t="s">
        <v>315</v>
      </c>
      <c r="B338" s="18">
        <v>57</v>
      </c>
      <c r="C338" s="6" t="s">
        <v>38</v>
      </c>
      <c r="D338" s="6" t="s">
        <v>14</v>
      </c>
      <c r="E338" s="6" t="s">
        <v>57</v>
      </c>
      <c r="F338" s="7" t="s">
        <v>900</v>
      </c>
      <c r="G338" s="6">
        <v>12</v>
      </c>
      <c r="H338" s="14">
        <v>1319.94</v>
      </c>
      <c r="I338" s="8" t="s">
        <v>21</v>
      </c>
      <c r="J338" s="4" t="str" cm="1">
        <f t="array" ref="J338">_xlfn.IFS(Table3[[#This Row],[Age (Years)]] &lt; 40, "Young", Table3[[#This Row],[Age (Years)]] &gt;= 40, "Middle", Table3[[#This Row],[Age (Years)]] &gt; 60, "Senior")</f>
        <v>Middle</v>
      </c>
      <c r="K338" s="4" t="str" cm="1">
        <f t="array" ref="K338">_xlfn.IFS(Table3[[#This Row],[Drug_Cost_GBP]] &gt; 1200, "High Cost", Table3[[#This Row],[Drug_Cost_GBP]] &lt; 1200, "Normal")</f>
        <v>High Cost</v>
      </c>
      <c r="L338" s="4" t="str" cm="1">
        <f t="array" ref="L338">IFERROR(_xlfn.IFS(Table3[[#This Row],[Age (Years)]]  &gt; 75, "YES", Table3[[#This Row],[Age (Years)]] &lt; 75, "NO"), "UNKNOWN")</f>
        <v>NO</v>
      </c>
      <c r="M338" s="4" t="str">
        <f>IF(Table3[[#This Row],[Drug_Cost_GBP]] &gt; Analysis_Sheet!$B$21, "Above Average", "Within Average")</f>
        <v>Above Average</v>
      </c>
      <c r="N338" s="39" t="str">
        <f t="shared" si="5"/>
        <v>Unknown</v>
      </c>
    </row>
    <row r="339" spans="1:14" x14ac:dyDescent="0.3">
      <c r="A339" s="1" t="s">
        <v>316</v>
      </c>
      <c r="B339" s="17">
        <v>57</v>
      </c>
      <c r="C339" s="2" t="s">
        <v>38</v>
      </c>
      <c r="D339" s="2" t="s">
        <v>51</v>
      </c>
      <c r="E339" s="2" t="s">
        <v>57</v>
      </c>
      <c r="F339" s="3">
        <v>45430</v>
      </c>
      <c r="G339" s="2">
        <v>12</v>
      </c>
      <c r="H339" s="13">
        <v>1293.02</v>
      </c>
      <c r="I339" s="4" t="s">
        <v>21</v>
      </c>
      <c r="J339" s="8" t="str" cm="1">
        <f t="array" ref="J339">_xlfn.IFS(Table3[[#This Row],[Age (Years)]] &lt; 40, "Young", Table3[[#This Row],[Age (Years)]] &gt;= 40, "Middle", Table3[[#This Row],[Age (Years)]] &gt; 60, "Senior")</f>
        <v>Middle</v>
      </c>
      <c r="K339" s="8" t="str" cm="1">
        <f t="array" ref="K339">_xlfn.IFS(Table3[[#This Row],[Drug_Cost_GBP]] &gt; 1200, "High Cost", Table3[[#This Row],[Drug_Cost_GBP]] &lt; 1200, "Normal")</f>
        <v>High Cost</v>
      </c>
      <c r="L339" s="8" t="str" cm="1">
        <f t="array" ref="L339">IFERROR(_xlfn.IFS(Table3[[#This Row],[Age (Years)]]  &gt; 75, "YES", Table3[[#This Row],[Age (Years)]] &lt; 75, "NO"), "UNKNOWN")</f>
        <v>NO</v>
      </c>
      <c r="M339" s="8" t="str">
        <f>IF(Table3[[#This Row],[Drug_Cost_GBP]] &gt; Analysis_Sheet!$B$21, "Above Average", "Within Average")</f>
        <v>Above Average</v>
      </c>
      <c r="N339" s="39" t="str">
        <f t="shared" si="5"/>
        <v>May 2024</v>
      </c>
    </row>
    <row r="340" spans="1:14" x14ac:dyDescent="0.3">
      <c r="A340" s="5" t="s">
        <v>317</v>
      </c>
      <c r="B340" s="18">
        <v>57</v>
      </c>
      <c r="C340" s="6" t="s">
        <v>899</v>
      </c>
      <c r="D340" s="6" t="s">
        <v>14</v>
      </c>
      <c r="E340" s="6" t="s">
        <v>23</v>
      </c>
      <c r="F340" s="7">
        <v>45316</v>
      </c>
      <c r="G340" s="6">
        <v>12</v>
      </c>
      <c r="H340" s="14">
        <v>1002.0675517241378</v>
      </c>
      <c r="I340" s="8" t="s">
        <v>26</v>
      </c>
      <c r="J340" s="8" t="str" cm="1">
        <f t="array" ref="J340">_xlfn.IFS(Table3[[#This Row],[Age (Years)]] &lt; 40, "Young", Table3[[#This Row],[Age (Years)]] &gt;= 40, "Middle", Table3[[#This Row],[Age (Years)]] &gt; 60, "Senior")</f>
        <v>Middle</v>
      </c>
      <c r="K340" s="8" t="str" cm="1">
        <f t="array" ref="K340">_xlfn.IFS(Table3[[#This Row],[Drug_Cost_GBP]] &gt; 1200, "High Cost", Table3[[#This Row],[Drug_Cost_GBP]] &lt; 1200, "Normal")</f>
        <v>Normal</v>
      </c>
      <c r="L340" s="8" t="str" cm="1">
        <f t="array" ref="L340">IFERROR(_xlfn.IFS(Table3[[#This Row],[Age (Years)]]  &gt; 75, "YES", Table3[[#This Row],[Age (Years)]] &lt; 75, "NO"), "UNKNOWN")</f>
        <v>NO</v>
      </c>
      <c r="M340" s="8" t="str">
        <f>IF(Table3[[#This Row],[Drug_Cost_GBP]] &gt; Analysis_Sheet!$B$21, "Above Average", "Within Average")</f>
        <v>Within Average</v>
      </c>
      <c r="N340" s="39" t="str">
        <f t="shared" si="5"/>
        <v>January 2024</v>
      </c>
    </row>
    <row r="341" spans="1:14" x14ac:dyDescent="0.3">
      <c r="A341" s="5" t="s">
        <v>319</v>
      </c>
      <c r="B341" s="18">
        <v>57</v>
      </c>
      <c r="C341" s="6" t="s">
        <v>899</v>
      </c>
      <c r="D341" s="6" t="s">
        <v>51</v>
      </c>
      <c r="E341" s="6" t="s">
        <v>43</v>
      </c>
      <c r="F341" s="7" t="s">
        <v>900</v>
      </c>
      <c r="G341" s="6">
        <v>19</v>
      </c>
      <c r="H341" s="14">
        <v>1366.3</v>
      </c>
      <c r="I341" s="8" t="s">
        <v>21</v>
      </c>
      <c r="J341" s="4" t="str" cm="1">
        <f t="array" ref="J341">_xlfn.IFS(Table3[[#This Row],[Age (Years)]] &lt; 40, "Young", Table3[[#This Row],[Age (Years)]] &gt;= 40, "Middle", Table3[[#This Row],[Age (Years)]] &gt; 60, "Senior")</f>
        <v>Middle</v>
      </c>
      <c r="K341" s="4" t="str" cm="1">
        <f t="array" ref="K341">_xlfn.IFS(Table3[[#This Row],[Drug_Cost_GBP]] &gt; 1200, "High Cost", Table3[[#This Row],[Drug_Cost_GBP]] &lt; 1200, "Normal")</f>
        <v>High Cost</v>
      </c>
      <c r="L341" s="4" t="str" cm="1">
        <f t="array" ref="L341">IFERROR(_xlfn.IFS(Table3[[#This Row],[Age (Years)]]  &gt; 75, "YES", Table3[[#This Row],[Age (Years)]] &lt; 75, "NO"), "UNKNOWN")</f>
        <v>NO</v>
      </c>
      <c r="M341" s="4" t="str">
        <f>IF(Table3[[#This Row],[Drug_Cost_GBP]] &gt; Analysis_Sheet!$B$21, "Above Average", "Within Average")</f>
        <v>Above Average</v>
      </c>
      <c r="N341" s="39" t="str">
        <f t="shared" si="5"/>
        <v>Unknown</v>
      </c>
    </row>
    <row r="342" spans="1:14" x14ac:dyDescent="0.3">
      <c r="A342" s="1" t="s">
        <v>320</v>
      </c>
      <c r="B342" s="17">
        <v>57</v>
      </c>
      <c r="C342" s="2" t="s">
        <v>899</v>
      </c>
      <c r="D342" s="2" t="s">
        <v>10</v>
      </c>
      <c r="E342" s="2" t="s">
        <v>43</v>
      </c>
      <c r="F342" s="3">
        <v>45470</v>
      </c>
      <c r="G342" s="2">
        <v>18</v>
      </c>
      <c r="H342" s="13">
        <v>1002.0675517241378</v>
      </c>
      <c r="I342" s="4" t="s">
        <v>900</v>
      </c>
      <c r="J342" s="8" t="str" cm="1">
        <f t="array" ref="J342">_xlfn.IFS(Table3[[#This Row],[Age (Years)]] &lt; 40, "Young", Table3[[#This Row],[Age (Years)]] &gt;= 40, "Middle", Table3[[#This Row],[Age (Years)]] &gt; 60, "Senior")</f>
        <v>Middle</v>
      </c>
      <c r="K342" s="8" t="str" cm="1">
        <f t="array" ref="K342">_xlfn.IFS(Table3[[#This Row],[Drug_Cost_GBP]] &gt; 1200, "High Cost", Table3[[#This Row],[Drug_Cost_GBP]] &lt; 1200, "Normal")</f>
        <v>Normal</v>
      </c>
      <c r="L342" s="8" t="str" cm="1">
        <f t="array" ref="L342">IFERROR(_xlfn.IFS(Table3[[#This Row],[Age (Years)]]  &gt; 75, "YES", Table3[[#This Row],[Age (Years)]] &lt; 75, "NO"), "UNKNOWN")</f>
        <v>NO</v>
      </c>
      <c r="M342" s="8" t="str">
        <f>IF(Table3[[#This Row],[Drug_Cost_GBP]] &gt; Analysis_Sheet!$B$21, "Above Average", "Within Average")</f>
        <v>Within Average</v>
      </c>
      <c r="N342" s="39" t="str">
        <f t="shared" si="5"/>
        <v>June 2024</v>
      </c>
    </row>
    <row r="343" spans="1:14" x14ac:dyDescent="0.3">
      <c r="A343" s="5" t="s">
        <v>321</v>
      </c>
      <c r="B343" s="18">
        <v>57</v>
      </c>
      <c r="C343" s="6" t="s">
        <v>899</v>
      </c>
      <c r="D343" s="6" t="s">
        <v>10</v>
      </c>
      <c r="E343" s="6" t="s">
        <v>43</v>
      </c>
      <c r="F343" s="7">
        <v>45606</v>
      </c>
      <c r="G343" s="6">
        <v>12</v>
      </c>
      <c r="H343" s="14">
        <v>757.19</v>
      </c>
      <c r="I343" s="8" t="s">
        <v>21</v>
      </c>
      <c r="J343" s="4" t="str" cm="1">
        <f t="array" ref="J343">_xlfn.IFS(Table3[[#This Row],[Age (Years)]] &lt; 40, "Young", Table3[[#This Row],[Age (Years)]] &gt;= 40, "Middle", Table3[[#This Row],[Age (Years)]] &gt; 60, "Senior")</f>
        <v>Middle</v>
      </c>
      <c r="K343" s="4" t="str" cm="1">
        <f t="array" ref="K343">_xlfn.IFS(Table3[[#This Row],[Drug_Cost_GBP]] &gt; 1200, "High Cost", Table3[[#This Row],[Drug_Cost_GBP]] &lt; 1200, "Normal")</f>
        <v>Normal</v>
      </c>
      <c r="L343" s="4" t="str" cm="1">
        <f t="array" ref="L343">IFERROR(_xlfn.IFS(Table3[[#This Row],[Age (Years)]]  &gt; 75, "YES", Table3[[#This Row],[Age (Years)]] &lt; 75, "NO"), "UNKNOWN")</f>
        <v>NO</v>
      </c>
      <c r="M343" s="4" t="str">
        <f>IF(Table3[[#This Row],[Drug_Cost_GBP]] &gt; Analysis_Sheet!$B$21, "Above Average", "Within Average")</f>
        <v>Within Average</v>
      </c>
      <c r="N343" s="39" t="str">
        <f t="shared" si="5"/>
        <v>November 2024</v>
      </c>
    </row>
    <row r="344" spans="1:14" x14ac:dyDescent="0.3">
      <c r="A344" s="1" t="s">
        <v>322</v>
      </c>
      <c r="B344" s="17">
        <v>57</v>
      </c>
      <c r="C344" s="2" t="s">
        <v>899</v>
      </c>
      <c r="D344" s="2" t="s">
        <v>48</v>
      </c>
      <c r="E344" s="2" t="s">
        <v>43</v>
      </c>
      <c r="F344" s="3">
        <v>45599</v>
      </c>
      <c r="G344" s="2">
        <v>12</v>
      </c>
      <c r="H344" s="13">
        <v>1002.0675517241378</v>
      </c>
      <c r="I344" s="4" t="s">
        <v>21</v>
      </c>
      <c r="J344" s="8" t="str" cm="1">
        <f t="array" ref="J344">_xlfn.IFS(Table3[[#This Row],[Age (Years)]] &lt; 40, "Young", Table3[[#This Row],[Age (Years)]] &gt;= 40, "Middle", Table3[[#This Row],[Age (Years)]] &gt; 60, "Senior")</f>
        <v>Middle</v>
      </c>
      <c r="K344" s="8" t="str" cm="1">
        <f t="array" ref="K344">_xlfn.IFS(Table3[[#This Row],[Drug_Cost_GBP]] &gt; 1200, "High Cost", Table3[[#This Row],[Drug_Cost_GBP]] &lt; 1200, "Normal")</f>
        <v>Normal</v>
      </c>
      <c r="L344" s="8" t="str" cm="1">
        <f t="array" ref="L344">IFERROR(_xlfn.IFS(Table3[[#This Row],[Age (Years)]]  &gt; 75, "YES", Table3[[#This Row],[Age (Years)]] &lt; 75, "NO"), "UNKNOWN")</f>
        <v>NO</v>
      </c>
      <c r="M344" s="8" t="str">
        <f>IF(Table3[[#This Row],[Drug_Cost_GBP]] &gt; Analysis_Sheet!$B$21, "Above Average", "Within Average")</f>
        <v>Within Average</v>
      </c>
      <c r="N344" s="39" t="str">
        <f t="shared" si="5"/>
        <v>November 2024</v>
      </c>
    </row>
    <row r="345" spans="1:14" x14ac:dyDescent="0.3">
      <c r="A345" s="5" t="s">
        <v>323</v>
      </c>
      <c r="B345" s="18">
        <v>57</v>
      </c>
      <c r="C345" s="6" t="s">
        <v>38</v>
      </c>
      <c r="D345" s="6" t="s">
        <v>898</v>
      </c>
      <c r="E345" s="6" t="s">
        <v>23</v>
      </c>
      <c r="F345" s="7">
        <v>45586</v>
      </c>
      <c r="G345" s="6">
        <v>12</v>
      </c>
      <c r="H345" s="14">
        <v>1002.0675517241378</v>
      </c>
      <c r="I345" s="8" t="s">
        <v>16</v>
      </c>
      <c r="J345" s="4" t="str" cm="1">
        <f t="array" ref="J345">_xlfn.IFS(Table3[[#This Row],[Age (Years)]] &lt; 40, "Young", Table3[[#This Row],[Age (Years)]] &gt;= 40, "Middle", Table3[[#This Row],[Age (Years)]] &gt; 60, "Senior")</f>
        <v>Middle</v>
      </c>
      <c r="K345" s="4" t="str" cm="1">
        <f t="array" ref="K345">_xlfn.IFS(Table3[[#This Row],[Drug_Cost_GBP]] &gt; 1200, "High Cost", Table3[[#This Row],[Drug_Cost_GBP]] &lt; 1200, "Normal")</f>
        <v>Normal</v>
      </c>
      <c r="L345" s="4" t="str" cm="1">
        <f t="array" ref="L345">IFERROR(_xlfn.IFS(Table3[[#This Row],[Age (Years)]]  &gt; 75, "YES", Table3[[#This Row],[Age (Years)]] &lt; 75, "NO"), "UNKNOWN")</f>
        <v>NO</v>
      </c>
      <c r="M345" s="4" t="str">
        <f>IF(Table3[[#This Row],[Drug_Cost_GBP]] &gt; Analysis_Sheet!$B$21, "Above Average", "Within Average")</f>
        <v>Within Average</v>
      </c>
      <c r="N345" s="39" t="str">
        <f t="shared" si="5"/>
        <v>October 2024</v>
      </c>
    </row>
    <row r="346" spans="1:14" x14ac:dyDescent="0.3">
      <c r="A346" s="1" t="s">
        <v>324</v>
      </c>
      <c r="B346" s="17">
        <v>57</v>
      </c>
      <c r="C346" s="2" t="s">
        <v>38</v>
      </c>
      <c r="D346" s="2" t="s">
        <v>48</v>
      </c>
      <c r="E346" s="2" t="s">
        <v>43</v>
      </c>
      <c r="F346" s="3">
        <v>45341</v>
      </c>
      <c r="G346" s="2">
        <v>12</v>
      </c>
      <c r="H346" s="13">
        <v>1002.0675517241378</v>
      </c>
      <c r="I346" s="4" t="s">
        <v>12</v>
      </c>
      <c r="J346" s="8" t="str" cm="1">
        <f t="array" ref="J346">_xlfn.IFS(Table3[[#This Row],[Age (Years)]] &lt; 40, "Young", Table3[[#This Row],[Age (Years)]] &gt;= 40, "Middle", Table3[[#This Row],[Age (Years)]] &gt; 60, "Senior")</f>
        <v>Middle</v>
      </c>
      <c r="K346" s="8" t="str" cm="1">
        <f t="array" ref="K346">_xlfn.IFS(Table3[[#This Row],[Drug_Cost_GBP]] &gt; 1200, "High Cost", Table3[[#This Row],[Drug_Cost_GBP]] &lt; 1200, "Normal")</f>
        <v>Normal</v>
      </c>
      <c r="L346" s="8" t="str" cm="1">
        <f t="array" ref="L346">IFERROR(_xlfn.IFS(Table3[[#This Row],[Age (Years)]]  &gt; 75, "YES", Table3[[#This Row],[Age (Years)]] &lt; 75, "NO"), "UNKNOWN")</f>
        <v>NO</v>
      </c>
      <c r="M346" s="8" t="str">
        <f>IF(Table3[[#This Row],[Drug_Cost_GBP]] &gt; Analysis_Sheet!$B$21, "Above Average", "Within Average")</f>
        <v>Within Average</v>
      </c>
      <c r="N346" s="39" t="str">
        <f t="shared" si="5"/>
        <v>February 2024</v>
      </c>
    </row>
    <row r="347" spans="1:14" x14ac:dyDescent="0.3">
      <c r="A347" s="5" t="s">
        <v>325</v>
      </c>
      <c r="B347" s="18">
        <v>57</v>
      </c>
      <c r="C347" s="6" t="s">
        <v>38</v>
      </c>
      <c r="D347" s="6" t="s">
        <v>51</v>
      </c>
      <c r="E347" s="6" t="s">
        <v>34</v>
      </c>
      <c r="F347" s="7">
        <v>45322</v>
      </c>
      <c r="G347" s="6">
        <v>12</v>
      </c>
      <c r="H347" s="14">
        <v>1002.0675517241378</v>
      </c>
      <c r="I347" s="8" t="s">
        <v>26</v>
      </c>
      <c r="J347" s="8" t="str" cm="1">
        <f t="array" ref="J347">_xlfn.IFS(Table3[[#This Row],[Age (Years)]] &lt; 40, "Young", Table3[[#This Row],[Age (Years)]] &gt;= 40, "Middle", Table3[[#This Row],[Age (Years)]] &gt; 60, "Senior")</f>
        <v>Middle</v>
      </c>
      <c r="K347" s="8" t="str" cm="1">
        <f t="array" ref="K347">_xlfn.IFS(Table3[[#This Row],[Drug_Cost_GBP]] &gt; 1200, "High Cost", Table3[[#This Row],[Drug_Cost_GBP]] &lt; 1200, "Normal")</f>
        <v>Normal</v>
      </c>
      <c r="L347" s="8" t="str" cm="1">
        <f t="array" ref="L347">IFERROR(_xlfn.IFS(Table3[[#This Row],[Age (Years)]]  &gt; 75, "YES", Table3[[#This Row],[Age (Years)]] &lt; 75, "NO"), "UNKNOWN")</f>
        <v>NO</v>
      </c>
      <c r="M347" s="8" t="str">
        <f>IF(Table3[[#This Row],[Drug_Cost_GBP]] &gt; Analysis_Sheet!$B$21, "Above Average", "Within Average")</f>
        <v>Within Average</v>
      </c>
      <c r="N347" s="39" t="str">
        <f t="shared" si="5"/>
        <v>January 2024</v>
      </c>
    </row>
    <row r="348" spans="1:14" x14ac:dyDescent="0.3">
      <c r="A348" s="5" t="s">
        <v>327</v>
      </c>
      <c r="B348" s="18">
        <v>57</v>
      </c>
      <c r="C348" s="6" t="s">
        <v>899</v>
      </c>
      <c r="D348" s="6" t="s">
        <v>51</v>
      </c>
      <c r="E348" s="6" t="s">
        <v>29</v>
      </c>
      <c r="F348" s="7">
        <v>45294</v>
      </c>
      <c r="G348" s="6">
        <v>12</v>
      </c>
      <c r="H348" s="14">
        <v>1002.0675517241378</v>
      </c>
      <c r="I348" s="8" t="s">
        <v>12</v>
      </c>
      <c r="J348" s="4" t="str" cm="1">
        <f t="array" ref="J348">_xlfn.IFS(Table3[[#This Row],[Age (Years)]] &lt; 40, "Young", Table3[[#This Row],[Age (Years)]] &gt;= 40, "Middle", Table3[[#This Row],[Age (Years)]] &gt; 60, "Senior")</f>
        <v>Middle</v>
      </c>
      <c r="K348" s="4" t="str" cm="1">
        <f t="array" ref="K348">_xlfn.IFS(Table3[[#This Row],[Drug_Cost_GBP]] &gt; 1200, "High Cost", Table3[[#This Row],[Drug_Cost_GBP]] &lt; 1200, "Normal")</f>
        <v>Normal</v>
      </c>
      <c r="L348" s="4" t="str" cm="1">
        <f t="array" ref="L348">IFERROR(_xlfn.IFS(Table3[[#This Row],[Age (Years)]]  &gt; 75, "YES", Table3[[#This Row],[Age (Years)]] &lt; 75, "NO"), "UNKNOWN")</f>
        <v>NO</v>
      </c>
      <c r="M348" s="4" t="str">
        <f>IF(Table3[[#This Row],[Drug_Cost_GBP]] &gt; Analysis_Sheet!$B$21, "Above Average", "Within Average")</f>
        <v>Within Average</v>
      </c>
      <c r="N348" s="39" t="str">
        <f t="shared" si="5"/>
        <v>January 2024</v>
      </c>
    </row>
    <row r="349" spans="1:14" x14ac:dyDescent="0.3">
      <c r="A349" s="1" t="s">
        <v>328</v>
      </c>
      <c r="B349" s="17">
        <v>57</v>
      </c>
      <c r="C349" s="2" t="s">
        <v>899</v>
      </c>
      <c r="D349" s="2" t="s">
        <v>51</v>
      </c>
      <c r="E349" s="2" t="s">
        <v>23</v>
      </c>
      <c r="F349" s="3" t="s">
        <v>900</v>
      </c>
      <c r="G349" s="2">
        <v>12</v>
      </c>
      <c r="H349" s="13">
        <v>572.48</v>
      </c>
      <c r="I349" s="4" t="s">
        <v>900</v>
      </c>
      <c r="J349" s="8" t="str" cm="1">
        <f t="array" ref="J349">_xlfn.IFS(Table3[[#This Row],[Age (Years)]] &lt; 40, "Young", Table3[[#This Row],[Age (Years)]] &gt;= 40, "Middle", Table3[[#This Row],[Age (Years)]] &gt; 60, "Senior")</f>
        <v>Middle</v>
      </c>
      <c r="K349" s="8" t="str" cm="1">
        <f t="array" ref="K349">_xlfn.IFS(Table3[[#This Row],[Drug_Cost_GBP]] &gt; 1200, "High Cost", Table3[[#This Row],[Drug_Cost_GBP]] &lt; 1200, "Normal")</f>
        <v>Normal</v>
      </c>
      <c r="L349" s="8" t="str" cm="1">
        <f t="array" ref="L349">IFERROR(_xlfn.IFS(Table3[[#This Row],[Age (Years)]]  &gt; 75, "YES", Table3[[#This Row],[Age (Years)]] &lt; 75, "NO"), "UNKNOWN")</f>
        <v>NO</v>
      </c>
      <c r="M349" s="8" t="str">
        <f>IF(Table3[[#This Row],[Drug_Cost_GBP]] &gt; Analysis_Sheet!$B$21, "Above Average", "Within Average")</f>
        <v>Within Average</v>
      </c>
      <c r="N349" s="39" t="str">
        <f t="shared" si="5"/>
        <v>Unknown</v>
      </c>
    </row>
    <row r="350" spans="1:14" x14ac:dyDescent="0.3">
      <c r="A350" s="5" t="s">
        <v>329</v>
      </c>
      <c r="B350" s="18">
        <v>57</v>
      </c>
      <c r="C350" s="6" t="s">
        <v>38</v>
      </c>
      <c r="D350" s="6" t="s">
        <v>14</v>
      </c>
      <c r="E350" s="6" t="s">
        <v>43</v>
      </c>
      <c r="F350" s="7" t="s">
        <v>900</v>
      </c>
      <c r="G350" s="6">
        <v>12</v>
      </c>
      <c r="H350" s="14">
        <v>640.65</v>
      </c>
      <c r="I350" s="8" t="s">
        <v>900</v>
      </c>
      <c r="J350" s="4" t="str" cm="1">
        <f t="array" ref="J350">_xlfn.IFS(Table3[[#This Row],[Age (Years)]] &lt; 40, "Young", Table3[[#This Row],[Age (Years)]] &gt;= 40, "Middle", Table3[[#This Row],[Age (Years)]] &gt; 60, "Senior")</f>
        <v>Middle</v>
      </c>
      <c r="K350" s="4" t="str" cm="1">
        <f t="array" ref="K350">_xlfn.IFS(Table3[[#This Row],[Drug_Cost_GBP]] &gt; 1200, "High Cost", Table3[[#This Row],[Drug_Cost_GBP]] &lt; 1200, "Normal")</f>
        <v>Normal</v>
      </c>
      <c r="L350" s="4" t="str" cm="1">
        <f t="array" ref="L350">IFERROR(_xlfn.IFS(Table3[[#This Row],[Age (Years)]]  &gt; 75, "YES", Table3[[#This Row],[Age (Years)]] &lt; 75, "NO"), "UNKNOWN")</f>
        <v>NO</v>
      </c>
      <c r="M350" s="4" t="str">
        <f>IF(Table3[[#This Row],[Drug_Cost_GBP]] &gt; Analysis_Sheet!$B$21, "Above Average", "Within Average")</f>
        <v>Within Average</v>
      </c>
      <c r="N350" s="39" t="str">
        <f t="shared" si="5"/>
        <v>Unknown</v>
      </c>
    </row>
    <row r="351" spans="1:14" x14ac:dyDescent="0.3">
      <c r="A351" s="1" t="s">
        <v>332</v>
      </c>
      <c r="B351" s="17">
        <v>57</v>
      </c>
      <c r="C351" s="2" t="s">
        <v>900</v>
      </c>
      <c r="D351" s="2" t="s">
        <v>900</v>
      </c>
      <c r="E351" s="2" t="s">
        <v>29</v>
      </c>
      <c r="F351" s="3">
        <v>45342</v>
      </c>
      <c r="G351" s="2">
        <v>4</v>
      </c>
      <c r="H351" s="13">
        <v>1002.0675517241378</v>
      </c>
      <c r="I351" s="4" t="s">
        <v>26</v>
      </c>
      <c r="J351" s="4" t="str" cm="1">
        <f t="array" ref="J351">_xlfn.IFS(Table3[[#This Row],[Age (Years)]] &lt; 40, "Young", Table3[[#This Row],[Age (Years)]] &gt;= 40, "Middle", Table3[[#This Row],[Age (Years)]] &gt; 60, "Senior")</f>
        <v>Middle</v>
      </c>
      <c r="K351" s="4" t="str" cm="1">
        <f t="array" ref="K351">_xlfn.IFS(Table3[[#This Row],[Drug_Cost_GBP]] &gt; 1200, "High Cost", Table3[[#This Row],[Drug_Cost_GBP]] &lt; 1200, "Normal")</f>
        <v>Normal</v>
      </c>
      <c r="L351" s="4" t="str" cm="1">
        <f t="array" ref="L351">IFERROR(_xlfn.IFS(Table3[[#This Row],[Age (Years)]]  &gt; 75, "YES", Table3[[#This Row],[Age (Years)]] &lt; 75, "NO"), "UNKNOWN")</f>
        <v>NO</v>
      </c>
      <c r="M351" s="4" t="str">
        <f>IF(Table3[[#This Row],[Drug_Cost_GBP]] &gt; Analysis_Sheet!$B$21, "Above Average", "Within Average")</f>
        <v>Within Average</v>
      </c>
      <c r="N351" s="39" t="str">
        <f t="shared" si="5"/>
        <v>February 2024</v>
      </c>
    </row>
    <row r="352" spans="1:14" x14ac:dyDescent="0.3">
      <c r="A352" s="1" t="s">
        <v>336</v>
      </c>
      <c r="B352" s="17">
        <v>57</v>
      </c>
      <c r="C352" s="2" t="s">
        <v>900</v>
      </c>
      <c r="D352" s="2" t="s">
        <v>900</v>
      </c>
      <c r="E352" s="2" t="s">
        <v>11</v>
      </c>
      <c r="F352" s="3">
        <v>45432</v>
      </c>
      <c r="G352" s="2">
        <v>12</v>
      </c>
      <c r="H352" s="13">
        <v>1002.0675517241378</v>
      </c>
      <c r="I352" s="4" t="s">
        <v>900</v>
      </c>
      <c r="J352" s="8" t="str" cm="1">
        <f t="array" ref="J352">_xlfn.IFS(Table3[[#This Row],[Age (Years)]] &lt; 40, "Young", Table3[[#This Row],[Age (Years)]] &gt;= 40, "Middle", Table3[[#This Row],[Age (Years)]] &gt; 60, "Senior")</f>
        <v>Middle</v>
      </c>
      <c r="K352" s="8" t="str" cm="1">
        <f t="array" ref="K352">_xlfn.IFS(Table3[[#This Row],[Drug_Cost_GBP]] &gt; 1200, "High Cost", Table3[[#This Row],[Drug_Cost_GBP]] &lt; 1200, "Normal")</f>
        <v>Normal</v>
      </c>
      <c r="L352" s="8" t="str" cm="1">
        <f t="array" ref="L352">IFERROR(_xlfn.IFS(Table3[[#This Row],[Age (Years)]]  &gt; 75, "YES", Table3[[#This Row],[Age (Years)]] &lt; 75, "NO"), "UNKNOWN")</f>
        <v>NO</v>
      </c>
      <c r="M352" s="8" t="str">
        <f>IF(Table3[[#This Row],[Drug_Cost_GBP]] &gt; Analysis_Sheet!$B$21, "Above Average", "Within Average")</f>
        <v>Within Average</v>
      </c>
      <c r="N352" s="39" t="str">
        <f t="shared" si="5"/>
        <v>May 2024</v>
      </c>
    </row>
    <row r="353" spans="1:14" x14ac:dyDescent="0.3">
      <c r="A353" s="5" t="s">
        <v>337</v>
      </c>
      <c r="B353" s="18">
        <v>57</v>
      </c>
      <c r="C353" s="6" t="s">
        <v>38</v>
      </c>
      <c r="D353" s="6" t="s">
        <v>10</v>
      </c>
      <c r="E353" s="6" t="s">
        <v>43</v>
      </c>
      <c r="F353" s="7">
        <v>45325</v>
      </c>
      <c r="G353" s="6">
        <v>12</v>
      </c>
      <c r="H353" s="14">
        <v>980.68</v>
      </c>
      <c r="I353" s="8" t="s">
        <v>21</v>
      </c>
      <c r="J353" s="8" t="str" cm="1">
        <f t="array" ref="J353">_xlfn.IFS(Table3[[#This Row],[Age (Years)]] &lt; 40, "Young", Table3[[#This Row],[Age (Years)]] &gt;= 40, "Middle", Table3[[#This Row],[Age (Years)]] &gt; 60, "Senior")</f>
        <v>Middle</v>
      </c>
      <c r="K353" s="8" t="str" cm="1">
        <f t="array" ref="K353">_xlfn.IFS(Table3[[#This Row],[Drug_Cost_GBP]] &gt; 1200, "High Cost", Table3[[#This Row],[Drug_Cost_GBP]] &lt; 1200, "Normal")</f>
        <v>Normal</v>
      </c>
      <c r="L353" s="8" t="str" cm="1">
        <f t="array" ref="L353">IFERROR(_xlfn.IFS(Table3[[#This Row],[Age (Years)]]  &gt; 75, "YES", Table3[[#This Row],[Age (Years)]] &lt; 75, "NO"), "UNKNOWN")</f>
        <v>NO</v>
      </c>
      <c r="M353" s="8" t="str">
        <f>IF(Table3[[#This Row],[Drug_Cost_GBP]] &gt; Analysis_Sheet!$B$21, "Above Average", "Within Average")</f>
        <v>Within Average</v>
      </c>
      <c r="N353" s="39" t="str">
        <f t="shared" si="5"/>
        <v>February 2024</v>
      </c>
    </row>
    <row r="354" spans="1:14" x14ac:dyDescent="0.3">
      <c r="A354" s="5" t="s">
        <v>339</v>
      </c>
      <c r="B354" s="18">
        <v>57</v>
      </c>
      <c r="C354" s="6" t="s">
        <v>900</v>
      </c>
      <c r="D354" s="6" t="s">
        <v>900</v>
      </c>
      <c r="E354" s="6" t="s">
        <v>23</v>
      </c>
      <c r="F354" s="7" t="s">
        <v>900</v>
      </c>
      <c r="G354" s="6">
        <v>12</v>
      </c>
      <c r="H354" s="14">
        <v>1002.0675517241378</v>
      </c>
      <c r="I354" s="8" t="s">
        <v>12</v>
      </c>
      <c r="J354" s="4" t="str" cm="1">
        <f t="array" ref="J354">_xlfn.IFS(Table3[[#This Row],[Age (Years)]] &lt; 40, "Young", Table3[[#This Row],[Age (Years)]] &gt;= 40, "Middle", Table3[[#This Row],[Age (Years)]] &gt; 60, "Senior")</f>
        <v>Middle</v>
      </c>
      <c r="K354" s="4" t="str" cm="1">
        <f t="array" ref="K354">_xlfn.IFS(Table3[[#This Row],[Drug_Cost_GBP]] &gt; 1200, "High Cost", Table3[[#This Row],[Drug_Cost_GBP]] &lt; 1200, "Normal")</f>
        <v>Normal</v>
      </c>
      <c r="L354" s="4" t="str" cm="1">
        <f t="array" ref="L354">IFERROR(_xlfn.IFS(Table3[[#This Row],[Age (Years)]]  &gt; 75, "YES", Table3[[#This Row],[Age (Years)]] &lt; 75, "NO"), "UNKNOWN")</f>
        <v>NO</v>
      </c>
      <c r="M354" s="4" t="str">
        <f>IF(Table3[[#This Row],[Drug_Cost_GBP]] &gt; Analysis_Sheet!$B$21, "Above Average", "Within Average")</f>
        <v>Within Average</v>
      </c>
      <c r="N354" s="39" t="str">
        <f t="shared" si="5"/>
        <v>Unknown</v>
      </c>
    </row>
    <row r="355" spans="1:14" x14ac:dyDescent="0.3">
      <c r="A355" s="1" t="s">
        <v>340</v>
      </c>
      <c r="B355" s="17">
        <v>57</v>
      </c>
      <c r="C355" s="2" t="s">
        <v>38</v>
      </c>
      <c r="D355" s="2" t="s">
        <v>900</v>
      </c>
      <c r="E355" s="2" t="s">
        <v>43</v>
      </c>
      <c r="F355" s="3">
        <v>45512</v>
      </c>
      <c r="G355" s="2">
        <v>12</v>
      </c>
      <c r="H355" s="13">
        <v>170.27</v>
      </c>
      <c r="I355" s="4" t="s">
        <v>900</v>
      </c>
      <c r="J355" s="4" t="str" cm="1">
        <f t="array" ref="J355">_xlfn.IFS(Table3[[#This Row],[Age (Years)]] &lt; 40, "Young", Table3[[#This Row],[Age (Years)]] &gt;= 40, "Middle", Table3[[#This Row],[Age (Years)]] &gt; 60, "Senior")</f>
        <v>Middle</v>
      </c>
      <c r="K355" s="4" t="str" cm="1">
        <f t="array" ref="K355">_xlfn.IFS(Table3[[#This Row],[Drug_Cost_GBP]] &gt; 1200, "High Cost", Table3[[#This Row],[Drug_Cost_GBP]] &lt; 1200, "Normal")</f>
        <v>Normal</v>
      </c>
      <c r="L355" s="4" t="str" cm="1">
        <f t="array" ref="L355">IFERROR(_xlfn.IFS(Table3[[#This Row],[Age (Years)]]  &gt; 75, "YES", Table3[[#This Row],[Age (Years)]] &lt; 75, "NO"), "UNKNOWN")</f>
        <v>NO</v>
      </c>
      <c r="M355" s="4" t="str">
        <f>IF(Table3[[#This Row],[Drug_Cost_GBP]] &gt; Analysis_Sheet!$B$21, "Above Average", "Within Average")</f>
        <v>Within Average</v>
      </c>
      <c r="N355" s="39" t="str">
        <f t="shared" si="5"/>
        <v>August 2024</v>
      </c>
    </row>
    <row r="356" spans="1:14" x14ac:dyDescent="0.3">
      <c r="A356" s="1" t="s">
        <v>342</v>
      </c>
      <c r="B356" s="17">
        <v>57</v>
      </c>
      <c r="C356" s="2" t="s">
        <v>899</v>
      </c>
      <c r="D356" s="2" t="s">
        <v>25</v>
      </c>
      <c r="E356" s="2" t="s">
        <v>34</v>
      </c>
      <c r="F356" s="3">
        <v>45387</v>
      </c>
      <c r="G356" s="2">
        <v>12</v>
      </c>
      <c r="H356" s="13">
        <v>1002.0675517241378</v>
      </c>
      <c r="I356" s="4" t="s">
        <v>16</v>
      </c>
      <c r="J356" s="8" t="str" cm="1">
        <f t="array" ref="J356">_xlfn.IFS(Table3[[#This Row],[Age (Years)]] &lt; 40, "Young", Table3[[#This Row],[Age (Years)]] &gt;= 40, "Middle", Table3[[#This Row],[Age (Years)]] &gt; 60, "Senior")</f>
        <v>Middle</v>
      </c>
      <c r="K356" s="8" t="str" cm="1">
        <f t="array" ref="K356">_xlfn.IFS(Table3[[#This Row],[Drug_Cost_GBP]] &gt; 1200, "High Cost", Table3[[#This Row],[Drug_Cost_GBP]] &lt; 1200, "Normal")</f>
        <v>Normal</v>
      </c>
      <c r="L356" s="8" t="str" cm="1">
        <f t="array" ref="L356">IFERROR(_xlfn.IFS(Table3[[#This Row],[Age (Years)]]  &gt; 75, "YES", Table3[[#This Row],[Age (Years)]] &lt; 75, "NO"), "UNKNOWN")</f>
        <v>NO</v>
      </c>
      <c r="M356" s="8" t="str">
        <f>IF(Table3[[#This Row],[Drug_Cost_GBP]] &gt; Analysis_Sheet!$B$21, "Above Average", "Within Average")</f>
        <v>Within Average</v>
      </c>
      <c r="N356" s="39" t="str">
        <f t="shared" si="5"/>
        <v>April 2024</v>
      </c>
    </row>
    <row r="357" spans="1:14" x14ac:dyDescent="0.3">
      <c r="A357" s="5" t="s">
        <v>345</v>
      </c>
      <c r="B357" s="18">
        <v>57</v>
      </c>
      <c r="C357" s="6" t="s">
        <v>900</v>
      </c>
      <c r="D357" s="6" t="s">
        <v>19</v>
      </c>
      <c r="E357" s="6" t="s">
        <v>23</v>
      </c>
      <c r="F357" s="7">
        <v>45377</v>
      </c>
      <c r="G357" s="6">
        <v>1</v>
      </c>
      <c r="H357" s="14">
        <v>1002.0675517241378</v>
      </c>
      <c r="I357" s="8" t="s">
        <v>900</v>
      </c>
      <c r="J357" s="4" t="str" cm="1">
        <f t="array" ref="J357">_xlfn.IFS(Table3[[#This Row],[Age (Years)]] &lt; 40, "Young", Table3[[#This Row],[Age (Years)]] &gt;= 40, "Middle", Table3[[#This Row],[Age (Years)]] &gt; 60, "Senior")</f>
        <v>Middle</v>
      </c>
      <c r="K357" s="4" t="str" cm="1">
        <f t="array" ref="K357">_xlfn.IFS(Table3[[#This Row],[Drug_Cost_GBP]] &gt; 1200, "High Cost", Table3[[#This Row],[Drug_Cost_GBP]] &lt; 1200, "Normal")</f>
        <v>Normal</v>
      </c>
      <c r="L357" s="4" t="str" cm="1">
        <f t="array" ref="L357">IFERROR(_xlfn.IFS(Table3[[#This Row],[Age (Years)]]  &gt; 75, "YES", Table3[[#This Row],[Age (Years)]] &lt; 75, "NO"), "UNKNOWN")</f>
        <v>NO</v>
      </c>
      <c r="M357" s="4" t="str">
        <f>IF(Table3[[#This Row],[Drug_Cost_GBP]] &gt; Analysis_Sheet!$B$21, "Above Average", "Within Average")</f>
        <v>Within Average</v>
      </c>
      <c r="N357" s="39" t="str">
        <f t="shared" si="5"/>
        <v>March 2024</v>
      </c>
    </row>
    <row r="358" spans="1:14" x14ac:dyDescent="0.3">
      <c r="A358" s="1" t="s">
        <v>346</v>
      </c>
      <c r="B358" s="17">
        <v>57</v>
      </c>
      <c r="C358" s="2" t="s">
        <v>38</v>
      </c>
      <c r="D358" s="2" t="s">
        <v>900</v>
      </c>
      <c r="E358" s="2" t="s">
        <v>57</v>
      </c>
      <c r="F358" s="3">
        <v>45591</v>
      </c>
      <c r="G358" s="2">
        <v>12</v>
      </c>
      <c r="H358" s="13">
        <v>1002.0675517241378</v>
      </c>
      <c r="I358" s="4" t="s">
        <v>21</v>
      </c>
      <c r="J358" s="8" t="str" cm="1">
        <f t="array" ref="J358">_xlfn.IFS(Table3[[#This Row],[Age (Years)]] &lt; 40, "Young", Table3[[#This Row],[Age (Years)]] &gt;= 40, "Middle", Table3[[#This Row],[Age (Years)]] &gt; 60, "Senior")</f>
        <v>Middle</v>
      </c>
      <c r="K358" s="8" t="str" cm="1">
        <f t="array" ref="K358">_xlfn.IFS(Table3[[#This Row],[Drug_Cost_GBP]] &gt; 1200, "High Cost", Table3[[#This Row],[Drug_Cost_GBP]] &lt; 1200, "Normal")</f>
        <v>Normal</v>
      </c>
      <c r="L358" s="8" t="str" cm="1">
        <f t="array" ref="L358">IFERROR(_xlfn.IFS(Table3[[#This Row],[Age (Years)]]  &gt; 75, "YES", Table3[[#This Row],[Age (Years)]] &lt; 75, "NO"), "UNKNOWN")</f>
        <v>NO</v>
      </c>
      <c r="M358" s="8" t="str">
        <f>IF(Table3[[#This Row],[Drug_Cost_GBP]] &gt; Analysis_Sheet!$B$21, "Above Average", "Within Average")</f>
        <v>Within Average</v>
      </c>
      <c r="N358" s="39" t="str">
        <f t="shared" si="5"/>
        <v>October 2024</v>
      </c>
    </row>
    <row r="359" spans="1:14" x14ac:dyDescent="0.3">
      <c r="A359" s="5" t="s">
        <v>347</v>
      </c>
      <c r="B359" s="18">
        <v>57</v>
      </c>
      <c r="C359" s="6" t="s">
        <v>899</v>
      </c>
      <c r="D359" s="6" t="s">
        <v>898</v>
      </c>
      <c r="E359" s="6" t="s">
        <v>29</v>
      </c>
      <c r="F359" s="7">
        <v>45591</v>
      </c>
      <c r="G359" s="6">
        <v>12</v>
      </c>
      <c r="H359" s="14">
        <v>1518.23</v>
      </c>
      <c r="I359" s="8" t="s">
        <v>900</v>
      </c>
      <c r="J359" s="4" t="str" cm="1">
        <f t="array" ref="J359">_xlfn.IFS(Table3[[#This Row],[Age (Years)]] &lt; 40, "Young", Table3[[#This Row],[Age (Years)]] &gt;= 40, "Middle", Table3[[#This Row],[Age (Years)]] &gt; 60, "Senior")</f>
        <v>Middle</v>
      </c>
      <c r="K359" s="4" t="str" cm="1">
        <f t="array" ref="K359">_xlfn.IFS(Table3[[#This Row],[Drug_Cost_GBP]] &gt; 1200, "High Cost", Table3[[#This Row],[Drug_Cost_GBP]] &lt; 1200, "Normal")</f>
        <v>High Cost</v>
      </c>
      <c r="L359" s="4" t="str" cm="1">
        <f t="array" ref="L359">IFERROR(_xlfn.IFS(Table3[[#This Row],[Age (Years)]]  &gt; 75, "YES", Table3[[#This Row],[Age (Years)]] &lt; 75, "NO"), "UNKNOWN")</f>
        <v>NO</v>
      </c>
      <c r="M359" s="4" t="str">
        <f>IF(Table3[[#This Row],[Drug_Cost_GBP]] &gt; Analysis_Sheet!$B$21, "Above Average", "Within Average")</f>
        <v>Above Average</v>
      </c>
      <c r="N359" s="39" t="str">
        <f t="shared" si="5"/>
        <v>October 2024</v>
      </c>
    </row>
    <row r="360" spans="1:14" x14ac:dyDescent="0.3">
      <c r="A360" s="1" t="s">
        <v>348</v>
      </c>
      <c r="B360" s="17">
        <v>57</v>
      </c>
      <c r="C360" s="2" t="s">
        <v>899</v>
      </c>
      <c r="D360" s="2" t="s">
        <v>900</v>
      </c>
      <c r="E360" s="2" t="s">
        <v>34</v>
      </c>
      <c r="F360" s="3" t="s">
        <v>900</v>
      </c>
      <c r="G360" s="2">
        <v>12</v>
      </c>
      <c r="H360" s="13">
        <v>1002.0675517241378</v>
      </c>
      <c r="I360" s="4" t="s">
        <v>900</v>
      </c>
      <c r="J360" s="4" t="str" cm="1">
        <f t="array" ref="J360">_xlfn.IFS(Table3[[#This Row],[Age (Years)]] &lt; 40, "Young", Table3[[#This Row],[Age (Years)]] &gt;= 40, "Middle", Table3[[#This Row],[Age (Years)]] &gt; 60, "Senior")</f>
        <v>Middle</v>
      </c>
      <c r="K360" s="4" t="str" cm="1">
        <f t="array" ref="K360">_xlfn.IFS(Table3[[#This Row],[Drug_Cost_GBP]] &gt; 1200, "High Cost", Table3[[#This Row],[Drug_Cost_GBP]] &lt; 1200, "Normal")</f>
        <v>Normal</v>
      </c>
      <c r="L360" s="4" t="str" cm="1">
        <f t="array" ref="L360">IFERROR(_xlfn.IFS(Table3[[#This Row],[Age (Years)]]  &gt; 75, "YES", Table3[[#This Row],[Age (Years)]] &lt; 75, "NO"), "UNKNOWN")</f>
        <v>NO</v>
      </c>
      <c r="M360" s="4" t="str">
        <f>IF(Table3[[#This Row],[Drug_Cost_GBP]] &gt; Analysis_Sheet!$B$21, "Above Average", "Within Average")</f>
        <v>Within Average</v>
      </c>
      <c r="N360" s="39" t="str">
        <f t="shared" si="5"/>
        <v>Unknown</v>
      </c>
    </row>
    <row r="361" spans="1:14" x14ac:dyDescent="0.3">
      <c r="A361" s="1" t="s">
        <v>352</v>
      </c>
      <c r="B361" s="17">
        <v>57</v>
      </c>
      <c r="C361" s="2" t="s">
        <v>900</v>
      </c>
      <c r="D361" s="2" t="s">
        <v>19</v>
      </c>
      <c r="E361" s="2" t="s">
        <v>43</v>
      </c>
      <c r="F361" s="3">
        <v>45544</v>
      </c>
      <c r="G361" s="2">
        <v>8</v>
      </c>
      <c r="H361" s="13">
        <v>1002.0675517241378</v>
      </c>
      <c r="I361" s="4" t="s">
        <v>26</v>
      </c>
      <c r="J361" s="4" t="str" cm="1">
        <f t="array" ref="J361">_xlfn.IFS(Table3[[#This Row],[Age (Years)]] &lt; 40, "Young", Table3[[#This Row],[Age (Years)]] &gt;= 40, "Middle", Table3[[#This Row],[Age (Years)]] &gt; 60, "Senior")</f>
        <v>Middle</v>
      </c>
      <c r="K361" s="4" t="str" cm="1">
        <f t="array" ref="K361">_xlfn.IFS(Table3[[#This Row],[Drug_Cost_GBP]] &gt; 1200, "High Cost", Table3[[#This Row],[Drug_Cost_GBP]] &lt; 1200, "Normal")</f>
        <v>Normal</v>
      </c>
      <c r="L361" s="4" t="str" cm="1">
        <f t="array" ref="L361">IFERROR(_xlfn.IFS(Table3[[#This Row],[Age (Years)]]  &gt; 75, "YES", Table3[[#This Row],[Age (Years)]] &lt; 75, "NO"), "UNKNOWN")</f>
        <v>NO</v>
      </c>
      <c r="M361" s="4" t="str">
        <f>IF(Table3[[#This Row],[Drug_Cost_GBP]] &gt; Analysis_Sheet!$B$21, "Above Average", "Within Average")</f>
        <v>Within Average</v>
      </c>
      <c r="N361" s="39" t="str">
        <f t="shared" si="5"/>
        <v>September 2024</v>
      </c>
    </row>
    <row r="362" spans="1:14" x14ac:dyDescent="0.3">
      <c r="A362" s="1" t="s">
        <v>354</v>
      </c>
      <c r="B362" s="17">
        <v>57</v>
      </c>
      <c r="C362" s="2" t="s">
        <v>900</v>
      </c>
      <c r="D362" s="2" t="s">
        <v>900</v>
      </c>
      <c r="E362" s="2" t="s">
        <v>29</v>
      </c>
      <c r="F362" s="3">
        <v>45603</v>
      </c>
      <c r="G362" s="2">
        <v>12</v>
      </c>
      <c r="H362" s="13">
        <v>1002.0675517241378</v>
      </c>
      <c r="I362" s="4" t="s">
        <v>16</v>
      </c>
      <c r="J362" s="8" t="str" cm="1">
        <f t="array" ref="J362">_xlfn.IFS(Table3[[#This Row],[Age (Years)]] &lt; 40, "Young", Table3[[#This Row],[Age (Years)]] &gt;= 40, "Middle", Table3[[#This Row],[Age (Years)]] &gt; 60, "Senior")</f>
        <v>Middle</v>
      </c>
      <c r="K362" s="8" t="str" cm="1">
        <f t="array" ref="K362">_xlfn.IFS(Table3[[#This Row],[Drug_Cost_GBP]] &gt; 1200, "High Cost", Table3[[#This Row],[Drug_Cost_GBP]] &lt; 1200, "Normal")</f>
        <v>Normal</v>
      </c>
      <c r="L362" s="8" t="str" cm="1">
        <f t="array" ref="L362">IFERROR(_xlfn.IFS(Table3[[#This Row],[Age (Years)]]  &gt; 75, "YES", Table3[[#This Row],[Age (Years)]] &lt; 75, "NO"), "UNKNOWN")</f>
        <v>NO</v>
      </c>
      <c r="M362" s="8" t="str">
        <f>IF(Table3[[#This Row],[Drug_Cost_GBP]] &gt; Analysis_Sheet!$B$21, "Above Average", "Within Average")</f>
        <v>Within Average</v>
      </c>
      <c r="N362" s="39" t="str">
        <f t="shared" si="5"/>
        <v>November 2024</v>
      </c>
    </row>
    <row r="363" spans="1:14" x14ac:dyDescent="0.3">
      <c r="A363" s="5" t="s">
        <v>355</v>
      </c>
      <c r="B363" s="18">
        <v>57</v>
      </c>
      <c r="C363" s="6" t="s">
        <v>38</v>
      </c>
      <c r="D363" s="6" t="s">
        <v>10</v>
      </c>
      <c r="E363" s="6" t="s">
        <v>23</v>
      </c>
      <c r="F363" s="7">
        <v>45391</v>
      </c>
      <c r="G363" s="6">
        <v>4</v>
      </c>
      <c r="H363" s="14">
        <v>1002.0675517241378</v>
      </c>
      <c r="I363" s="8" t="s">
        <v>21</v>
      </c>
      <c r="J363" s="4" t="str" cm="1">
        <f t="array" ref="J363">_xlfn.IFS(Table3[[#This Row],[Age (Years)]] &lt; 40, "Young", Table3[[#This Row],[Age (Years)]] &gt;= 40, "Middle", Table3[[#This Row],[Age (Years)]] &gt; 60, "Senior")</f>
        <v>Middle</v>
      </c>
      <c r="K363" s="4" t="str" cm="1">
        <f t="array" ref="K363">_xlfn.IFS(Table3[[#This Row],[Drug_Cost_GBP]] &gt; 1200, "High Cost", Table3[[#This Row],[Drug_Cost_GBP]] &lt; 1200, "Normal")</f>
        <v>Normal</v>
      </c>
      <c r="L363" s="4" t="str" cm="1">
        <f t="array" ref="L363">IFERROR(_xlfn.IFS(Table3[[#This Row],[Age (Years)]]  &gt; 75, "YES", Table3[[#This Row],[Age (Years)]] &lt; 75, "NO"), "UNKNOWN")</f>
        <v>NO</v>
      </c>
      <c r="M363" s="4" t="str">
        <f>IF(Table3[[#This Row],[Drug_Cost_GBP]] &gt; Analysis_Sheet!$B$21, "Above Average", "Within Average")</f>
        <v>Within Average</v>
      </c>
      <c r="N363" s="39" t="str">
        <f t="shared" si="5"/>
        <v>April 2024</v>
      </c>
    </row>
    <row r="364" spans="1:14" x14ac:dyDescent="0.3">
      <c r="A364" s="1" t="s">
        <v>356</v>
      </c>
      <c r="B364" s="17">
        <v>57</v>
      </c>
      <c r="C364" s="2" t="s">
        <v>38</v>
      </c>
      <c r="D364" s="2" t="s">
        <v>25</v>
      </c>
      <c r="E364" s="2" t="s">
        <v>11</v>
      </c>
      <c r="F364" s="3">
        <v>45535</v>
      </c>
      <c r="G364" s="2">
        <v>12</v>
      </c>
      <c r="H364" s="13">
        <v>1002.0675517241378</v>
      </c>
      <c r="I364" s="4" t="s">
        <v>26</v>
      </c>
      <c r="J364" s="8" t="str" cm="1">
        <f t="array" ref="J364">_xlfn.IFS(Table3[[#This Row],[Age (Years)]] &lt; 40, "Young", Table3[[#This Row],[Age (Years)]] &gt;= 40, "Middle", Table3[[#This Row],[Age (Years)]] &gt; 60, "Senior")</f>
        <v>Middle</v>
      </c>
      <c r="K364" s="8" t="str" cm="1">
        <f t="array" ref="K364">_xlfn.IFS(Table3[[#This Row],[Drug_Cost_GBP]] &gt; 1200, "High Cost", Table3[[#This Row],[Drug_Cost_GBP]] &lt; 1200, "Normal")</f>
        <v>Normal</v>
      </c>
      <c r="L364" s="8" t="str" cm="1">
        <f t="array" ref="L364">IFERROR(_xlfn.IFS(Table3[[#This Row],[Age (Years)]]  &gt; 75, "YES", Table3[[#This Row],[Age (Years)]] &lt; 75, "NO"), "UNKNOWN")</f>
        <v>NO</v>
      </c>
      <c r="M364" s="8" t="str">
        <f>IF(Table3[[#This Row],[Drug_Cost_GBP]] &gt; Analysis_Sheet!$B$21, "Above Average", "Within Average")</f>
        <v>Within Average</v>
      </c>
      <c r="N364" s="39" t="str">
        <f t="shared" si="5"/>
        <v>August 2024</v>
      </c>
    </row>
    <row r="365" spans="1:14" x14ac:dyDescent="0.3">
      <c r="A365" s="5" t="s">
        <v>357</v>
      </c>
      <c r="B365" s="18">
        <v>57</v>
      </c>
      <c r="C365" s="6" t="s">
        <v>899</v>
      </c>
      <c r="D365" s="6" t="s">
        <v>900</v>
      </c>
      <c r="E365" s="6" t="s">
        <v>29</v>
      </c>
      <c r="F365" s="7">
        <v>45431</v>
      </c>
      <c r="G365" s="6">
        <v>2</v>
      </c>
      <c r="H365" s="14">
        <v>1242.6600000000001</v>
      </c>
      <c r="I365" s="8" t="s">
        <v>16</v>
      </c>
      <c r="J365" s="4" t="str" cm="1">
        <f t="array" ref="J365">_xlfn.IFS(Table3[[#This Row],[Age (Years)]] &lt; 40, "Young", Table3[[#This Row],[Age (Years)]] &gt;= 40, "Middle", Table3[[#This Row],[Age (Years)]] &gt; 60, "Senior")</f>
        <v>Middle</v>
      </c>
      <c r="K365" s="4" t="str" cm="1">
        <f t="array" ref="K365">_xlfn.IFS(Table3[[#This Row],[Drug_Cost_GBP]] &gt; 1200, "High Cost", Table3[[#This Row],[Drug_Cost_GBP]] &lt; 1200, "Normal")</f>
        <v>High Cost</v>
      </c>
      <c r="L365" s="4" t="str" cm="1">
        <f t="array" ref="L365">IFERROR(_xlfn.IFS(Table3[[#This Row],[Age (Years)]]  &gt; 75, "YES", Table3[[#This Row],[Age (Years)]] &lt; 75, "NO"), "UNKNOWN")</f>
        <v>NO</v>
      </c>
      <c r="M365" s="4" t="str">
        <f>IF(Table3[[#This Row],[Drug_Cost_GBP]] &gt; Analysis_Sheet!$B$21, "Above Average", "Within Average")</f>
        <v>Above Average</v>
      </c>
      <c r="N365" s="39" t="str">
        <f t="shared" si="5"/>
        <v>May 2024</v>
      </c>
    </row>
    <row r="366" spans="1:14" x14ac:dyDescent="0.3">
      <c r="A366" s="1" t="s">
        <v>358</v>
      </c>
      <c r="B366" s="17">
        <v>57</v>
      </c>
      <c r="C366" s="2" t="s">
        <v>38</v>
      </c>
      <c r="D366" s="2" t="s">
        <v>900</v>
      </c>
      <c r="E366" s="2" t="s">
        <v>11</v>
      </c>
      <c r="F366" s="3">
        <v>45297</v>
      </c>
      <c r="G366" s="2">
        <v>12</v>
      </c>
      <c r="H366" s="13">
        <v>1002.0675517241378</v>
      </c>
      <c r="I366" s="4" t="s">
        <v>21</v>
      </c>
      <c r="J366" s="4" t="str" cm="1">
        <f t="array" ref="J366">_xlfn.IFS(Table3[[#This Row],[Age (Years)]] &lt; 40, "Young", Table3[[#This Row],[Age (Years)]] &gt;= 40, "Middle", Table3[[#This Row],[Age (Years)]] &gt; 60, "Senior")</f>
        <v>Middle</v>
      </c>
      <c r="K366" s="4" t="str" cm="1">
        <f t="array" ref="K366">_xlfn.IFS(Table3[[#This Row],[Drug_Cost_GBP]] &gt; 1200, "High Cost", Table3[[#This Row],[Drug_Cost_GBP]] &lt; 1200, "Normal")</f>
        <v>Normal</v>
      </c>
      <c r="L366" s="4" t="str" cm="1">
        <f t="array" ref="L366">IFERROR(_xlfn.IFS(Table3[[#This Row],[Age (Years)]]  &gt; 75, "YES", Table3[[#This Row],[Age (Years)]] &lt; 75, "NO"), "UNKNOWN")</f>
        <v>NO</v>
      </c>
      <c r="M366" s="4" t="str">
        <f>IF(Table3[[#This Row],[Drug_Cost_GBP]] &gt; Analysis_Sheet!$B$21, "Above Average", "Within Average")</f>
        <v>Within Average</v>
      </c>
      <c r="N366" s="39" t="str">
        <f t="shared" si="5"/>
        <v>January 2024</v>
      </c>
    </row>
    <row r="367" spans="1:14" x14ac:dyDescent="0.3">
      <c r="A367" s="1" t="s">
        <v>360</v>
      </c>
      <c r="B367" s="17">
        <v>57</v>
      </c>
      <c r="C367" s="2" t="s">
        <v>38</v>
      </c>
      <c r="D367" s="2" t="s">
        <v>14</v>
      </c>
      <c r="E367" s="2" t="s">
        <v>23</v>
      </c>
      <c r="F367" s="3">
        <v>45610</v>
      </c>
      <c r="G367" s="2">
        <v>18</v>
      </c>
      <c r="H367" s="13">
        <v>1002.0675517241378</v>
      </c>
      <c r="I367" s="4" t="s">
        <v>21</v>
      </c>
      <c r="J367" s="4" t="str" cm="1">
        <f t="array" ref="J367">_xlfn.IFS(Table3[[#This Row],[Age (Years)]] &lt; 40, "Young", Table3[[#This Row],[Age (Years)]] &gt;= 40, "Middle", Table3[[#This Row],[Age (Years)]] &gt; 60, "Senior")</f>
        <v>Middle</v>
      </c>
      <c r="K367" s="4" t="str" cm="1">
        <f t="array" ref="K367">_xlfn.IFS(Table3[[#This Row],[Drug_Cost_GBP]] &gt; 1200, "High Cost", Table3[[#This Row],[Drug_Cost_GBP]] &lt; 1200, "Normal")</f>
        <v>Normal</v>
      </c>
      <c r="L367" s="4" t="str" cm="1">
        <f t="array" ref="L367">IFERROR(_xlfn.IFS(Table3[[#This Row],[Age (Years)]]  &gt; 75, "YES", Table3[[#This Row],[Age (Years)]] &lt; 75, "NO"), "UNKNOWN")</f>
        <v>NO</v>
      </c>
      <c r="M367" s="4" t="str">
        <f>IF(Table3[[#This Row],[Drug_Cost_GBP]] &gt; Analysis_Sheet!$B$21, "Above Average", "Within Average")</f>
        <v>Within Average</v>
      </c>
      <c r="N367" s="39" t="str">
        <f t="shared" si="5"/>
        <v>November 2024</v>
      </c>
    </row>
    <row r="368" spans="1:14" x14ac:dyDescent="0.3">
      <c r="A368" s="1" t="s">
        <v>362</v>
      </c>
      <c r="B368" s="17">
        <v>57</v>
      </c>
      <c r="C368" s="2" t="s">
        <v>899</v>
      </c>
      <c r="D368" s="2" t="s">
        <v>48</v>
      </c>
      <c r="E368" s="2" t="s">
        <v>23</v>
      </c>
      <c r="F368" s="3">
        <v>45473</v>
      </c>
      <c r="G368" s="2">
        <v>12</v>
      </c>
      <c r="H368" s="13">
        <v>1002.0675517241378</v>
      </c>
      <c r="I368" s="4" t="s">
        <v>900</v>
      </c>
      <c r="J368" s="8" t="str" cm="1">
        <f t="array" ref="J368">_xlfn.IFS(Table3[[#This Row],[Age (Years)]] &lt; 40, "Young", Table3[[#This Row],[Age (Years)]] &gt;= 40, "Middle", Table3[[#This Row],[Age (Years)]] &gt; 60, "Senior")</f>
        <v>Middle</v>
      </c>
      <c r="K368" s="8" t="str" cm="1">
        <f t="array" ref="K368">_xlfn.IFS(Table3[[#This Row],[Drug_Cost_GBP]] &gt; 1200, "High Cost", Table3[[#This Row],[Drug_Cost_GBP]] &lt; 1200, "Normal")</f>
        <v>Normal</v>
      </c>
      <c r="L368" s="8" t="str" cm="1">
        <f t="array" ref="L368">IFERROR(_xlfn.IFS(Table3[[#This Row],[Age (Years)]]  &gt; 75, "YES", Table3[[#This Row],[Age (Years)]] &lt; 75, "NO"), "UNKNOWN")</f>
        <v>NO</v>
      </c>
      <c r="M368" s="8" t="str">
        <f>IF(Table3[[#This Row],[Drug_Cost_GBP]] &gt; Analysis_Sheet!$B$21, "Above Average", "Within Average")</f>
        <v>Within Average</v>
      </c>
      <c r="N368" s="39" t="str">
        <f t="shared" si="5"/>
        <v>June 2024</v>
      </c>
    </row>
    <row r="369" spans="1:14" x14ac:dyDescent="0.3">
      <c r="A369" s="5" t="s">
        <v>363</v>
      </c>
      <c r="B369" s="18">
        <v>57</v>
      </c>
      <c r="C369" s="6" t="s">
        <v>899</v>
      </c>
      <c r="D369" s="6" t="s">
        <v>10</v>
      </c>
      <c r="E369" s="6" t="s">
        <v>43</v>
      </c>
      <c r="F369" s="7">
        <v>45558</v>
      </c>
      <c r="G369" s="6">
        <v>12</v>
      </c>
      <c r="H369" s="14">
        <v>1002.0675517241378</v>
      </c>
      <c r="I369" s="8" t="s">
        <v>12</v>
      </c>
      <c r="J369" s="4" t="str" cm="1">
        <f t="array" ref="J369">_xlfn.IFS(Table3[[#This Row],[Age (Years)]] &lt; 40, "Young", Table3[[#This Row],[Age (Years)]] &gt;= 40, "Middle", Table3[[#This Row],[Age (Years)]] &gt; 60, "Senior")</f>
        <v>Middle</v>
      </c>
      <c r="K369" s="4" t="str" cm="1">
        <f t="array" ref="K369">_xlfn.IFS(Table3[[#This Row],[Drug_Cost_GBP]] &gt; 1200, "High Cost", Table3[[#This Row],[Drug_Cost_GBP]] &lt; 1200, "Normal")</f>
        <v>Normal</v>
      </c>
      <c r="L369" s="4" t="str" cm="1">
        <f t="array" ref="L369">IFERROR(_xlfn.IFS(Table3[[#This Row],[Age (Years)]]  &gt; 75, "YES", Table3[[#This Row],[Age (Years)]] &lt; 75, "NO"), "UNKNOWN")</f>
        <v>NO</v>
      </c>
      <c r="M369" s="4" t="str">
        <f>IF(Table3[[#This Row],[Drug_Cost_GBP]] &gt; Analysis_Sheet!$B$21, "Above Average", "Within Average")</f>
        <v>Within Average</v>
      </c>
      <c r="N369" s="39" t="str">
        <f t="shared" si="5"/>
        <v>September 2024</v>
      </c>
    </row>
    <row r="370" spans="1:14" x14ac:dyDescent="0.3">
      <c r="A370" s="1" t="s">
        <v>364</v>
      </c>
      <c r="B370" s="17">
        <v>57</v>
      </c>
      <c r="C370" s="2" t="s">
        <v>38</v>
      </c>
      <c r="D370" s="2" t="s">
        <v>25</v>
      </c>
      <c r="E370" s="2" t="s">
        <v>11</v>
      </c>
      <c r="F370" s="3">
        <v>45511</v>
      </c>
      <c r="G370" s="2">
        <v>12</v>
      </c>
      <c r="H370" s="13">
        <v>1002.0675517241378</v>
      </c>
      <c r="I370" s="4" t="s">
        <v>16</v>
      </c>
      <c r="J370" s="8" t="str" cm="1">
        <f t="array" ref="J370">_xlfn.IFS(Table3[[#This Row],[Age (Years)]] &lt; 40, "Young", Table3[[#This Row],[Age (Years)]] &gt;= 40, "Middle", Table3[[#This Row],[Age (Years)]] &gt; 60, "Senior")</f>
        <v>Middle</v>
      </c>
      <c r="K370" s="8" t="str" cm="1">
        <f t="array" ref="K370">_xlfn.IFS(Table3[[#This Row],[Drug_Cost_GBP]] &gt; 1200, "High Cost", Table3[[#This Row],[Drug_Cost_GBP]] &lt; 1200, "Normal")</f>
        <v>Normal</v>
      </c>
      <c r="L370" s="8" t="str" cm="1">
        <f t="array" ref="L370">IFERROR(_xlfn.IFS(Table3[[#This Row],[Age (Years)]]  &gt; 75, "YES", Table3[[#This Row],[Age (Years)]] &lt; 75, "NO"), "UNKNOWN")</f>
        <v>NO</v>
      </c>
      <c r="M370" s="8" t="str">
        <f>IF(Table3[[#This Row],[Drug_Cost_GBP]] &gt; Analysis_Sheet!$B$21, "Above Average", "Within Average")</f>
        <v>Within Average</v>
      </c>
      <c r="N370" s="39" t="str">
        <f t="shared" si="5"/>
        <v>August 2024</v>
      </c>
    </row>
    <row r="371" spans="1:14" x14ac:dyDescent="0.3">
      <c r="A371" s="5" t="s">
        <v>365</v>
      </c>
      <c r="B371" s="18">
        <v>57</v>
      </c>
      <c r="C371" s="6" t="s">
        <v>900</v>
      </c>
      <c r="D371" s="6" t="s">
        <v>10</v>
      </c>
      <c r="E371" s="6" t="s">
        <v>23</v>
      </c>
      <c r="F371" s="7">
        <v>45577</v>
      </c>
      <c r="G371" s="6">
        <v>12</v>
      </c>
      <c r="H371" s="14">
        <v>1011.68</v>
      </c>
      <c r="I371" s="8" t="s">
        <v>21</v>
      </c>
      <c r="J371" s="4" t="str" cm="1">
        <f t="array" ref="J371">_xlfn.IFS(Table3[[#This Row],[Age (Years)]] &lt; 40, "Young", Table3[[#This Row],[Age (Years)]] &gt;= 40, "Middle", Table3[[#This Row],[Age (Years)]] &gt; 60, "Senior")</f>
        <v>Middle</v>
      </c>
      <c r="K371" s="4" t="str" cm="1">
        <f t="array" ref="K371">_xlfn.IFS(Table3[[#This Row],[Drug_Cost_GBP]] &gt; 1200, "High Cost", Table3[[#This Row],[Drug_Cost_GBP]] &lt; 1200, "Normal")</f>
        <v>Normal</v>
      </c>
      <c r="L371" s="4" t="str" cm="1">
        <f t="array" ref="L371">IFERROR(_xlfn.IFS(Table3[[#This Row],[Age (Years)]]  &gt; 75, "YES", Table3[[#This Row],[Age (Years)]] &lt; 75, "NO"), "UNKNOWN")</f>
        <v>NO</v>
      </c>
      <c r="M371" s="4" t="str">
        <f>IF(Table3[[#This Row],[Drug_Cost_GBP]] &gt; Analysis_Sheet!$B$21, "Above Average", "Within Average")</f>
        <v>Above Average</v>
      </c>
      <c r="N371" s="39" t="str">
        <f t="shared" si="5"/>
        <v>October 2024</v>
      </c>
    </row>
    <row r="372" spans="1:14" x14ac:dyDescent="0.3">
      <c r="A372" s="1" t="s">
        <v>366</v>
      </c>
      <c r="B372" s="17">
        <v>57</v>
      </c>
      <c r="C372" s="2" t="s">
        <v>900</v>
      </c>
      <c r="D372" s="2" t="s">
        <v>900</v>
      </c>
      <c r="E372" s="2" t="s">
        <v>11</v>
      </c>
      <c r="F372" s="3">
        <v>45550</v>
      </c>
      <c r="G372" s="2">
        <v>17</v>
      </c>
      <c r="H372" s="13">
        <v>1002.0675517241378</v>
      </c>
      <c r="I372" s="4" t="s">
        <v>16</v>
      </c>
      <c r="J372" s="4" t="str" cm="1">
        <f t="array" ref="J372">_xlfn.IFS(Table3[[#This Row],[Age (Years)]] &lt; 40, "Young", Table3[[#This Row],[Age (Years)]] &gt;= 40, "Middle", Table3[[#This Row],[Age (Years)]] &gt; 60, "Senior")</f>
        <v>Middle</v>
      </c>
      <c r="K372" s="4" t="str" cm="1">
        <f t="array" ref="K372">_xlfn.IFS(Table3[[#This Row],[Drug_Cost_GBP]] &gt; 1200, "High Cost", Table3[[#This Row],[Drug_Cost_GBP]] &lt; 1200, "Normal")</f>
        <v>Normal</v>
      </c>
      <c r="L372" s="4" t="str" cm="1">
        <f t="array" ref="L372">IFERROR(_xlfn.IFS(Table3[[#This Row],[Age (Years)]]  &gt; 75, "YES", Table3[[#This Row],[Age (Years)]] &lt; 75, "NO"), "UNKNOWN")</f>
        <v>NO</v>
      </c>
      <c r="M372" s="4" t="str">
        <f>IF(Table3[[#This Row],[Drug_Cost_GBP]] &gt; Analysis_Sheet!$B$21, "Above Average", "Within Average")</f>
        <v>Within Average</v>
      </c>
      <c r="N372" s="39" t="str">
        <f t="shared" si="5"/>
        <v>September 2024</v>
      </c>
    </row>
    <row r="373" spans="1:14" x14ac:dyDescent="0.3">
      <c r="A373" s="1" t="s">
        <v>368</v>
      </c>
      <c r="B373" s="17">
        <v>57</v>
      </c>
      <c r="C373" s="2" t="s">
        <v>899</v>
      </c>
      <c r="D373" s="2" t="s">
        <v>19</v>
      </c>
      <c r="E373" s="2" t="s">
        <v>23</v>
      </c>
      <c r="F373" s="3">
        <v>45452</v>
      </c>
      <c r="G373" s="2">
        <v>14</v>
      </c>
      <c r="H373" s="13">
        <v>1002.0675517241378</v>
      </c>
      <c r="I373" s="4" t="s">
        <v>26</v>
      </c>
      <c r="J373" s="4" t="str" cm="1">
        <f t="array" ref="J373">_xlfn.IFS(Table3[[#This Row],[Age (Years)]] &lt; 40, "Young", Table3[[#This Row],[Age (Years)]] &gt;= 40, "Middle", Table3[[#This Row],[Age (Years)]] &gt; 60, "Senior")</f>
        <v>Middle</v>
      </c>
      <c r="K373" s="4" t="str" cm="1">
        <f t="array" ref="K373">_xlfn.IFS(Table3[[#This Row],[Drug_Cost_GBP]] &gt; 1200, "High Cost", Table3[[#This Row],[Drug_Cost_GBP]] &lt; 1200, "Normal")</f>
        <v>Normal</v>
      </c>
      <c r="L373" s="4" t="str" cm="1">
        <f t="array" ref="L373">IFERROR(_xlfn.IFS(Table3[[#This Row],[Age (Years)]]  &gt; 75, "YES", Table3[[#This Row],[Age (Years)]] &lt; 75, "NO"), "UNKNOWN")</f>
        <v>NO</v>
      </c>
      <c r="M373" s="4" t="str">
        <f>IF(Table3[[#This Row],[Drug_Cost_GBP]] &gt; Analysis_Sheet!$B$21, "Above Average", "Within Average")</f>
        <v>Within Average</v>
      </c>
      <c r="N373" s="39" t="str">
        <f t="shared" si="5"/>
        <v>June 2024</v>
      </c>
    </row>
    <row r="374" spans="1:14" x14ac:dyDescent="0.3">
      <c r="A374" s="1" t="s">
        <v>370</v>
      </c>
      <c r="B374" s="17">
        <v>57</v>
      </c>
      <c r="C374" s="2" t="s">
        <v>900</v>
      </c>
      <c r="D374" s="2" t="s">
        <v>51</v>
      </c>
      <c r="E374" s="2" t="s">
        <v>34</v>
      </c>
      <c r="F374" s="3">
        <v>45600</v>
      </c>
      <c r="G374" s="2">
        <v>12</v>
      </c>
      <c r="H374" s="13">
        <v>1002.0675517241378</v>
      </c>
      <c r="I374" s="4" t="s">
        <v>21</v>
      </c>
      <c r="J374" s="8" t="str" cm="1">
        <f t="array" ref="J374">_xlfn.IFS(Table3[[#This Row],[Age (Years)]] &lt; 40, "Young", Table3[[#This Row],[Age (Years)]] &gt;= 40, "Middle", Table3[[#This Row],[Age (Years)]] &gt; 60, "Senior")</f>
        <v>Middle</v>
      </c>
      <c r="K374" s="8" t="str" cm="1">
        <f t="array" ref="K374">_xlfn.IFS(Table3[[#This Row],[Drug_Cost_GBP]] &gt; 1200, "High Cost", Table3[[#This Row],[Drug_Cost_GBP]] &lt; 1200, "Normal")</f>
        <v>Normal</v>
      </c>
      <c r="L374" s="8" t="str" cm="1">
        <f t="array" ref="L374">IFERROR(_xlfn.IFS(Table3[[#This Row],[Age (Years)]]  &gt; 75, "YES", Table3[[#This Row],[Age (Years)]] &lt; 75, "NO"), "UNKNOWN")</f>
        <v>NO</v>
      </c>
      <c r="M374" s="8" t="str">
        <f>IF(Table3[[#This Row],[Drug_Cost_GBP]] &gt; Analysis_Sheet!$B$21, "Above Average", "Within Average")</f>
        <v>Within Average</v>
      </c>
      <c r="N374" s="39" t="str">
        <f t="shared" si="5"/>
        <v>November 2024</v>
      </c>
    </row>
    <row r="375" spans="1:14" x14ac:dyDescent="0.3">
      <c r="A375" s="5" t="s">
        <v>371</v>
      </c>
      <c r="B375" s="18">
        <v>57</v>
      </c>
      <c r="C375" s="6" t="s">
        <v>900</v>
      </c>
      <c r="D375" s="6" t="s">
        <v>48</v>
      </c>
      <c r="E375" s="6" t="s">
        <v>11</v>
      </c>
      <c r="F375" s="7">
        <v>45428</v>
      </c>
      <c r="G375" s="6">
        <v>16</v>
      </c>
      <c r="H375" s="14">
        <v>1002.0675517241378</v>
      </c>
      <c r="I375" s="8" t="s">
        <v>16</v>
      </c>
      <c r="J375" s="4" t="str" cm="1">
        <f t="array" ref="J375">_xlfn.IFS(Table3[[#This Row],[Age (Years)]] &lt; 40, "Young", Table3[[#This Row],[Age (Years)]] &gt;= 40, "Middle", Table3[[#This Row],[Age (Years)]] &gt; 60, "Senior")</f>
        <v>Middle</v>
      </c>
      <c r="K375" s="4" t="str" cm="1">
        <f t="array" ref="K375">_xlfn.IFS(Table3[[#This Row],[Drug_Cost_GBP]] &gt; 1200, "High Cost", Table3[[#This Row],[Drug_Cost_GBP]] &lt; 1200, "Normal")</f>
        <v>Normal</v>
      </c>
      <c r="L375" s="4" t="str" cm="1">
        <f t="array" ref="L375">IFERROR(_xlfn.IFS(Table3[[#This Row],[Age (Years)]]  &gt; 75, "YES", Table3[[#This Row],[Age (Years)]] &lt; 75, "NO"), "UNKNOWN")</f>
        <v>NO</v>
      </c>
      <c r="M375" s="4" t="str">
        <f>IF(Table3[[#This Row],[Drug_Cost_GBP]] &gt; Analysis_Sheet!$B$21, "Above Average", "Within Average")</f>
        <v>Within Average</v>
      </c>
      <c r="N375" s="39" t="str">
        <f t="shared" si="5"/>
        <v>May 2024</v>
      </c>
    </row>
    <row r="376" spans="1:14" x14ac:dyDescent="0.3">
      <c r="A376" s="1" t="s">
        <v>374</v>
      </c>
      <c r="B376" s="17">
        <v>57</v>
      </c>
      <c r="C376" s="2" t="s">
        <v>899</v>
      </c>
      <c r="D376" s="2" t="s">
        <v>898</v>
      </c>
      <c r="E376" s="2" t="s">
        <v>34</v>
      </c>
      <c r="F376" s="3">
        <v>45463</v>
      </c>
      <c r="G376" s="2">
        <v>8</v>
      </c>
      <c r="H376" s="13">
        <v>1002.0675517241378</v>
      </c>
      <c r="I376" s="4" t="s">
        <v>26</v>
      </c>
      <c r="J376" s="8" t="str" cm="1">
        <f t="array" ref="J376">_xlfn.IFS(Table3[[#This Row],[Age (Years)]] &lt; 40, "Young", Table3[[#This Row],[Age (Years)]] &gt;= 40, "Middle", Table3[[#This Row],[Age (Years)]] &gt; 60, "Senior")</f>
        <v>Middle</v>
      </c>
      <c r="K376" s="8" t="str" cm="1">
        <f t="array" ref="K376">_xlfn.IFS(Table3[[#This Row],[Drug_Cost_GBP]] &gt; 1200, "High Cost", Table3[[#This Row],[Drug_Cost_GBP]] &lt; 1200, "Normal")</f>
        <v>Normal</v>
      </c>
      <c r="L376" s="8" t="str" cm="1">
        <f t="array" ref="L376">IFERROR(_xlfn.IFS(Table3[[#This Row],[Age (Years)]]  &gt; 75, "YES", Table3[[#This Row],[Age (Years)]] &lt; 75, "NO"), "UNKNOWN")</f>
        <v>NO</v>
      </c>
      <c r="M376" s="8" t="str">
        <f>IF(Table3[[#This Row],[Drug_Cost_GBP]] &gt; Analysis_Sheet!$B$21, "Above Average", "Within Average")</f>
        <v>Within Average</v>
      </c>
      <c r="N376" s="39" t="str">
        <f t="shared" si="5"/>
        <v>June 2024</v>
      </c>
    </row>
    <row r="377" spans="1:14" x14ac:dyDescent="0.3">
      <c r="A377" s="5" t="s">
        <v>375</v>
      </c>
      <c r="B377" s="18">
        <v>57</v>
      </c>
      <c r="C377" s="6" t="s">
        <v>38</v>
      </c>
      <c r="D377" s="6" t="s">
        <v>10</v>
      </c>
      <c r="E377" s="6" t="s">
        <v>23</v>
      </c>
      <c r="F377" s="7" t="s">
        <v>900</v>
      </c>
      <c r="G377" s="6">
        <v>12</v>
      </c>
      <c r="H377" s="14">
        <v>1002.0675517241378</v>
      </c>
      <c r="I377" s="8" t="s">
        <v>900</v>
      </c>
      <c r="J377" s="4" t="str" cm="1">
        <f t="array" ref="J377">_xlfn.IFS(Table3[[#This Row],[Age (Years)]] &lt; 40, "Young", Table3[[#This Row],[Age (Years)]] &gt;= 40, "Middle", Table3[[#This Row],[Age (Years)]] &gt; 60, "Senior")</f>
        <v>Middle</v>
      </c>
      <c r="K377" s="4" t="str" cm="1">
        <f t="array" ref="K377">_xlfn.IFS(Table3[[#This Row],[Drug_Cost_GBP]] &gt; 1200, "High Cost", Table3[[#This Row],[Drug_Cost_GBP]] &lt; 1200, "Normal")</f>
        <v>Normal</v>
      </c>
      <c r="L377" s="4" t="str" cm="1">
        <f t="array" ref="L377">IFERROR(_xlfn.IFS(Table3[[#This Row],[Age (Years)]]  &gt; 75, "YES", Table3[[#This Row],[Age (Years)]] &lt; 75, "NO"), "UNKNOWN")</f>
        <v>NO</v>
      </c>
      <c r="M377" s="4" t="str">
        <f>IF(Table3[[#This Row],[Drug_Cost_GBP]] &gt; Analysis_Sheet!$B$21, "Above Average", "Within Average")</f>
        <v>Within Average</v>
      </c>
      <c r="N377" s="39" t="str">
        <f t="shared" si="5"/>
        <v>Unknown</v>
      </c>
    </row>
    <row r="378" spans="1:14" x14ac:dyDescent="0.3">
      <c r="A378" s="1" t="s">
        <v>376</v>
      </c>
      <c r="B378" s="17">
        <v>57</v>
      </c>
      <c r="C378" s="2" t="s">
        <v>38</v>
      </c>
      <c r="D378" s="2" t="s">
        <v>14</v>
      </c>
      <c r="E378" s="2" t="s">
        <v>43</v>
      </c>
      <c r="F378" s="3">
        <v>45459</v>
      </c>
      <c r="G378" s="2">
        <v>12</v>
      </c>
      <c r="H378" s="13">
        <v>1002.0675517241378</v>
      </c>
      <c r="I378" s="4" t="s">
        <v>21</v>
      </c>
      <c r="J378" s="8" t="str" cm="1">
        <f t="array" ref="J378">_xlfn.IFS(Table3[[#This Row],[Age (Years)]] &lt; 40, "Young", Table3[[#This Row],[Age (Years)]] &gt;= 40, "Middle", Table3[[#This Row],[Age (Years)]] &gt; 60, "Senior")</f>
        <v>Middle</v>
      </c>
      <c r="K378" s="8" t="str" cm="1">
        <f t="array" ref="K378">_xlfn.IFS(Table3[[#This Row],[Drug_Cost_GBP]] &gt; 1200, "High Cost", Table3[[#This Row],[Drug_Cost_GBP]] &lt; 1200, "Normal")</f>
        <v>Normal</v>
      </c>
      <c r="L378" s="8" t="str" cm="1">
        <f t="array" ref="L378">IFERROR(_xlfn.IFS(Table3[[#This Row],[Age (Years)]]  &gt; 75, "YES", Table3[[#This Row],[Age (Years)]] &lt; 75, "NO"), "UNKNOWN")</f>
        <v>NO</v>
      </c>
      <c r="M378" s="8" t="str">
        <f>IF(Table3[[#This Row],[Drug_Cost_GBP]] &gt; Analysis_Sheet!$B$21, "Above Average", "Within Average")</f>
        <v>Within Average</v>
      </c>
      <c r="N378" s="39" t="str">
        <f t="shared" si="5"/>
        <v>June 2024</v>
      </c>
    </row>
    <row r="379" spans="1:14" x14ac:dyDescent="0.3">
      <c r="A379" s="5" t="s">
        <v>377</v>
      </c>
      <c r="B379" s="18">
        <v>57</v>
      </c>
      <c r="C379" s="6" t="s">
        <v>899</v>
      </c>
      <c r="D379" s="6" t="s">
        <v>10</v>
      </c>
      <c r="E379" s="6" t="s">
        <v>23</v>
      </c>
      <c r="F379" s="7">
        <v>45462</v>
      </c>
      <c r="G379" s="6">
        <v>8</v>
      </c>
      <c r="H379" s="14">
        <v>1002.0675517241378</v>
      </c>
      <c r="I379" s="8" t="s">
        <v>16</v>
      </c>
      <c r="J379" s="8" t="str" cm="1">
        <f t="array" ref="J379">_xlfn.IFS(Table3[[#This Row],[Age (Years)]] &lt; 40, "Young", Table3[[#This Row],[Age (Years)]] &gt;= 40, "Middle", Table3[[#This Row],[Age (Years)]] &gt; 60, "Senior")</f>
        <v>Middle</v>
      </c>
      <c r="K379" s="8" t="str" cm="1">
        <f t="array" ref="K379">_xlfn.IFS(Table3[[#This Row],[Drug_Cost_GBP]] &gt; 1200, "High Cost", Table3[[#This Row],[Drug_Cost_GBP]] &lt; 1200, "Normal")</f>
        <v>Normal</v>
      </c>
      <c r="L379" s="8" t="str" cm="1">
        <f t="array" ref="L379">IFERROR(_xlfn.IFS(Table3[[#This Row],[Age (Years)]]  &gt; 75, "YES", Table3[[#This Row],[Age (Years)]] &lt; 75, "NO"), "UNKNOWN")</f>
        <v>NO</v>
      </c>
      <c r="M379" s="8" t="str">
        <f>IF(Table3[[#This Row],[Drug_Cost_GBP]] &gt; Analysis_Sheet!$B$21, "Above Average", "Within Average")</f>
        <v>Within Average</v>
      </c>
      <c r="N379" s="39" t="str">
        <f t="shared" si="5"/>
        <v>June 2024</v>
      </c>
    </row>
    <row r="380" spans="1:14" x14ac:dyDescent="0.3">
      <c r="A380" s="5" t="s">
        <v>379</v>
      </c>
      <c r="B380" s="18">
        <v>57</v>
      </c>
      <c r="C380" s="6" t="s">
        <v>900</v>
      </c>
      <c r="D380" s="6" t="s">
        <v>14</v>
      </c>
      <c r="E380" s="6" t="s">
        <v>23</v>
      </c>
      <c r="F380" s="7">
        <v>45599</v>
      </c>
      <c r="G380" s="6">
        <v>4</v>
      </c>
      <c r="H380" s="14">
        <v>1002.0675517241378</v>
      </c>
      <c r="I380" s="8" t="s">
        <v>21</v>
      </c>
      <c r="J380" s="4" t="str" cm="1">
        <f t="array" ref="J380">_xlfn.IFS(Table3[[#This Row],[Age (Years)]] &lt; 40, "Young", Table3[[#This Row],[Age (Years)]] &gt;= 40, "Middle", Table3[[#This Row],[Age (Years)]] &gt; 60, "Senior")</f>
        <v>Middle</v>
      </c>
      <c r="K380" s="4" t="str" cm="1">
        <f t="array" ref="K380">_xlfn.IFS(Table3[[#This Row],[Drug_Cost_GBP]] &gt; 1200, "High Cost", Table3[[#This Row],[Drug_Cost_GBP]] &lt; 1200, "Normal")</f>
        <v>Normal</v>
      </c>
      <c r="L380" s="4" t="str" cm="1">
        <f t="array" ref="L380">IFERROR(_xlfn.IFS(Table3[[#This Row],[Age (Years)]]  &gt; 75, "YES", Table3[[#This Row],[Age (Years)]] &lt; 75, "NO"), "UNKNOWN")</f>
        <v>NO</v>
      </c>
      <c r="M380" s="4" t="str">
        <f>IF(Table3[[#This Row],[Drug_Cost_GBP]] &gt; Analysis_Sheet!$B$21, "Above Average", "Within Average")</f>
        <v>Within Average</v>
      </c>
      <c r="N380" s="39" t="str">
        <f t="shared" si="5"/>
        <v>November 2024</v>
      </c>
    </row>
    <row r="381" spans="1:14" x14ac:dyDescent="0.3">
      <c r="A381" s="1" t="s">
        <v>380</v>
      </c>
      <c r="B381" s="17">
        <v>57</v>
      </c>
      <c r="C381" s="2" t="s">
        <v>899</v>
      </c>
      <c r="D381" s="2" t="s">
        <v>48</v>
      </c>
      <c r="E381" s="2" t="s">
        <v>43</v>
      </c>
      <c r="F381" s="3" t="s">
        <v>900</v>
      </c>
      <c r="G381" s="2">
        <v>10</v>
      </c>
      <c r="H381" s="13">
        <v>1002.0675517241378</v>
      </c>
      <c r="I381" s="4" t="s">
        <v>21</v>
      </c>
      <c r="J381" s="8" t="str" cm="1">
        <f t="array" ref="J381">_xlfn.IFS(Table3[[#This Row],[Age (Years)]] &lt; 40, "Young", Table3[[#This Row],[Age (Years)]] &gt;= 40, "Middle", Table3[[#This Row],[Age (Years)]] &gt; 60, "Senior")</f>
        <v>Middle</v>
      </c>
      <c r="K381" s="8" t="str" cm="1">
        <f t="array" ref="K381">_xlfn.IFS(Table3[[#This Row],[Drug_Cost_GBP]] &gt; 1200, "High Cost", Table3[[#This Row],[Drug_Cost_GBP]] &lt; 1200, "Normal")</f>
        <v>Normal</v>
      </c>
      <c r="L381" s="8" t="str" cm="1">
        <f t="array" ref="L381">IFERROR(_xlfn.IFS(Table3[[#This Row],[Age (Years)]]  &gt; 75, "YES", Table3[[#This Row],[Age (Years)]] &lt; 75, "NO"), "UNKNOWN")</f>
        <v>NO</v>
      </c>
      <c r="M381" s="8" t="str">
        <f>IF(Table3[[#This Row],[Drug_Cost_GBP]] &gt; Analysis_Sheet!$B$21, "Above Average", "Within Average")</f>
        <v>Within Average</v>
      </c>
      <c r="N381" s="39" t="str">
        <f t="shared" si="5"/>
        <v>Unknown</v>
      </c>
    </row>
    <row r="382" spans="1:14" x14ac:dyDescent="0.3">
      <c r="A382" s="5" t="s">
        <v>381</v>
      </c>
      <c r="B382" s="18">
        <v>57</v>
      </c>
      <c r="C382" s="6" t="s">
        <v>900</v>
      </c>
      <c r="D382" s="6" t="s">
        <v>51</v>
      </c>
      <c r="E382" s="6" t="s">
        <v>43</v>
      </c>
      <c r="F382" s="7">
        <v>45522</v>
      </c>
      <c r="G382" s="6">
        <v>12</v>
      </c>
      <c r="H382" s="14">
        <v>496.34</v>
      </c>
      <c r="I382" s="8" t="s">
        <v>900</v>
      </c>
      <c r="J382" s="4" t="str" cm="1">
        <f t="array" ref="J382">_xlfn.IFS(Table3[[#This Row],[Age (Years)]] &lt; 40, "Young", Table3[[#This Row],[Age (Years)]] &gt;= 40, "Middle", Table3[[#This Row],[Age (Years)]] &gt; 60, "Senior")</f>
        <v>Middle</v>
      </c>
      <c r="K382" s="4" t="str" cm="1">
        <f t="array" ref="K382">_xlfn.IFS(Table3[[#This Row],[Drug_Cost_GBP]] &gt; 1200, "High Cost", Table3[[#This Row],[Drug_Cost_GBP]] &lt; 1200, "Normal")</f>
        <v>Normal</v>
      </c>
      <c r="L382" s="4" t="str" cm="1">
        <f t="array" ref="L382">IFERROR(_xlfn.IFS(Table3[[#This Row],[Age (Years)]]  &gt; 75, "YES", Table3[[#This Row],[Age (Years)]] &lt; 75, "NO"), "UNKNOWN")</f>
        <v>NO</v>
      </c>
      <c r="M382" s="4" t="str">
        <f>IF(Table3[[#This Row],[Drug_Cost_GBP]] &gt; Analysis_Sheet!$B$21, "Above Average", "Within Average")</f>
        <v>Within Average</v>
      </c>
      <c r="N382" s="39" t="str">
        <f t="shared" si="5"/>
        <v>August 2024</v>
      </c>
    </row>
    <row r="383" spans="1:14" x14ac:dyDescent="0.3">
      <c r="A383" s="1" t="s">
        <v>382</v>
      </c>
      <c r="B383" s="17">
        <v>57</v>
      </c>
      <c r="C383" s="2" t="s">
        <v>38</v>
      </c>
      <c r="D383" s="2" t="s">
        <v>51</v>
      </c>
      <c r="E383" s="2" t="s">
        <v>34</v>
      </c>
      <c r="F383" s="3">
        <v>45461</v>
      </c>
      <c r="G383" s="2">
        <v>12</v>
      </c>
      <c r="H383" s="13">
        <v>1002.0675517241378</v>
      </c>
      <c r="I383" s="4" t="s">
        <v>16</v>
      </c>
      <c r="J383" s="8" t="str" cm="1">
        <f t="array" ref="J383">_xlfn.IFS(Table3[[#This Row],[Age (Years)]] &lt; 40, "Young", Table3[[#This Row],[Age (Years)]] &gt;= 40, "Middle", Table3[[#This Row],[Age (Years)]] &gt; 60, "Senior")</f>
        <v>Middle</v>
      </c>
      <c r="K383" s="8" t="str" cm="1">
        <f t="array" ref="K383">_xlfn.IFS(Table3[[#This Row],[Drug_Cost_GBP]] &gt; 1200, "High Cost", Table3[[#This Row],[Drug_Cost_GBP]] &lt; 1200, "Normal")</f>
        <v>Normal</v>
      </c>
      <c r="L383" s="8" t="str" cm="1">
        <f t="array" ref="L383">IFERROR(_xlfn.IFS(Table3[[#This Row],[Age (Years)]]  &gt; 75, "YES", Table3[[#This Row],[Age (Years)]] &lt; 75, "NO"), "UNKNOWN")</f>
        <v>NO</v>
      </c>
      <c r="M383" s="8" t="str">
        <f>IF(Table3[[#This Row],[Drug_Cost_GBP]] &gt; Analysis_Sheet!$B$21, "Above Average", "Within Average")</f>
        <v>Within Average</v>
      </c>
      <c r="N383" s="39" t="str">
        <f t="shared" si="5"/>
        <v>June 2024</v>
      </c>
    </row>
    <row r="384" spans="1:14" x14ac:dyDescent="0.3">
      <c r="A384" s="5" t="s">
        <v>383</v>
      </c>
      <c r="B384" s="18">
        <v>57</v>
      </c>
      <c r="C384" s="6" t="s">
        <v>899</v>
      </c>
      <c r="D384" s="6" t="s">
        <v>900</v>
      </c>
      <c r="E384" s="6" t="s">
        <v>23</v>
      </c>
      <c r="F384" s="7">
        <v>45334</v>
      </c>
      <c r="G384" s="6">
        <v>15</v>
      </c>
      <c r="H384" s="14">
        <v>1766.72</v>
      </c>
      <c r="I384" s="8" t="s">
        <v>16</v>
      </c>
      <c r="J384" s="4" t="str" cm="1">
        <f t="array" ref="J384">_xlfn.IFS(Table3[[#This Row],[Age (Years)]] &lt; 40, "Young", Table3[[#This Row],[Age (Years)]] &gt;= 40, "Middle", Table3[[#This Row],[Age (Years)]] &gt; 60, "Senior")</f>
        <v>Middle</v>
      </c>
      <c r="K384" s="4" t="str" cm="1">
        <f t="array" ref="K384">_xlfn.IFS(Table3[[#This Row],[Drug_Cost_GBP]] &gt; 1200, "High Cost", Table3[[#This Row],[Drug_Cost_GBP]] &lt; 1200, "Normal")</f>
        <v>High Cost</v>
      </c>
      <c r="L384" s="4" t="str" cm="1">
        <f t="array" ref="L384">IFERROR(_xlfn.IFS(Table3[[#This Row],[Age (Years)]]  &gt; 75, "YES", Table3[[#This Row],[Age (Years)]] &lt; 75, "NO"), "UNKNOWN")</f>
        <v>NO</v>
      </c>
      <c r="M384" s="4" t="str">
        <f>IF(Table3[[#This Row],[Drug_Cost_GBP]] &gt; Analysis_Sheet!$B$21, "Above Average", "Within Average")</f>
        <v>Above Average</v>
      </c>
      <c r="N384" s="39" t="str">
        <f t="shared" si="5"/>
        <v>February 2024</v>
      </c>
    </row>
    <row r="385" spans="1:14" x14ac:dyDescent="0.3">
      <c r="A385" s="1" t="s">
        <v>384</v>
      </c>
      <c r="B385" s="17">
        <v>57</v>
      </c>
      <c r="C385" s="2" t="s">
        <v>38</v>
      </c>
      <c r="D385" s="2" t="s">
        <v>10</v>
      </c>
      <c r="E385" s="2" t="s">
        <v>23</v>
      </c>
      <c r="F385" s="3" t="s">
        <v>900</v>
      </c>
      <c r="G385" s="2">
        <v>17</v>
      </c>
      <c r="H385" s="13">
        <v>1002.0675517241378</v>
      </c>
      <c r="I385" s="4" t="s">
        <v>900</v>
      </c>
      <c r="J385" s="4" t="str" cm="1">
        <f t="array" ref="J385">_xlfn.IFS(Table3[[#This Row],[Age (Years)]] &lt; 40, "Young", Table3[[#This Row],[Age (Years)]] &gt;= 40, "Middle", Table3[[#This Row],[Age (Years)]] &gt; 60, "Senior")</f>
        <v>Middle</v>
      </c>
      <c r="K385" s="4" t="str" cm="1">
        <f t="array" ref="K385">_xlfn.IFS(Table3[[#This Row],[Drug_Cost_GBP]] &gt; 1200, "High Cost", Table3[[#This Row],[Drug_Cost_GBP]] &lt; 1200, "Normal")</f>
        <v>Normal</v>
      </c>
      <c r="L385" s="4" t="str" cm="1">
        <f t="array" ref="L385">IFERROR(_xlfn.IFS(Table3[[#This Row],[Age (Years)]]  &gt; 75, "YES", Table3[[#This Row],[Age (Years)]] &lt; 75, "NO"), "UNKNOWN")</f>
        <v>NO</v>
      </c>
      <c r="M385" s="4" t="str">
        <f>IF(Table3[[#This Row],[Drug_Cost_GBP]] &gt; Analysis_Sheet!$B$21, "Above Average", "Within Average")</f>
        <v>Within Average</v>
      </c>
      <c r="N385" s="39" t="str">
        <f t="shared" si="5"/>
        <v>Unknown</v>
      </c>
    </row>
    <row r="386" spans="1:14" x14ac:dyDescent="0.3">
      <c r="A386" s="1" t="s">
        <v>386</v>
      </c>
      <c r="B386" s="17">
        <v>57</v>
      </c>
      <c r="C386" s="2" t="s">
        <v>899</v>
      </c>
      <c r="D386" s="2" t="s">
        <v>19</v>
      </c>
      <c r="E386" s="2" t="s">
        <v>23</v>
      </c>
      <c r="F386" s="3">
        <v>45633</v>
      </c>
      <c r="G386" s="2">
        <v>5</v>
      </c>
      <c r="H386" s="13">
        <v>1002.0675517241378</v>
      </c>
      <c r="I386" s="4" t="s">
        <v>900</v>
      </c>
      <c r="J386" s="4" t="str" cm="1">
        <f t="array" ref="J386">_xlfn.IFS(Table3[[#This Row],[Age (Years)]] &lt; 40, "Young", Table3[[#This Row],[Age (Years)]] &gt;= 40, "Middle", Table3[[#This Row],[Age (Years)]] &gt; 60, "Senior")</f>
        <v>Middle</v>
      </c>
      <c r="K386" s="4" t="str" cm="1">
        <f t="array" ref="K386">_xlfn.IFS(Table3[[#This Row],[Drug_Cost_GBP]] &gt; 1200, "High Cost", Table3[[#This Row],[Drug_Cost_GBP]] &lt; 1200, "Normal")</f>
        <v>Normal</v>
      </c>
      <c r="L386" s="4" t="str" cm="1">
        <f t="array" ref="L386">IFERROR(_xlfn.IFS(Table3[[#This Row],[Age (Years)]]  &gt; 75, "YES", Table3[[#This Row],[Age (Years)]] &lt; 75, "NO"), "UNKNOWN")</f>
        <v>NO</v>
      </c>
      <c r="M386" s="4" t="str">
        <f>IF(Table3[[#This Row],[Drug_Cost_GBP]] &gt; Analysis_Sheet!$B$21, "Above Average", "Within Average")</f>
        <v>Within Average</v>
      </c>
      <c r="N386" s="39" t="str">
        <f t="shared" si="5"/>
        <v>December 2024</v>
      </c>
    </row>
    <row r="387" spans="1:14" x14ac:dyDescent="0.3">
      <c r="A387" s="1" t="s">
        <v>388</v>
      </c>
      <c r="B387" s="17">
        <v>57</v>
      </c>
      <c r="C387" s="2" t="s">
        <v>899</v>
      </c>
      <c r="D387" s="2" t="s">
        <v>19</v>
      </c>
      <c r="E387" s="2" t="s">
        <v>23</v>
      </c>
      <c r="F387" s="3">
        <v>45310</v>
      </c>
      <c r="G387" s="2">
        <v>12</v>
      </c>
      <c r="H387" s="13">
        <v>565.28</v>
      </c>
      <c r="I387" s="4" t="s">
        <v>21</v>
      </c>
      <c r="J387" s="8" t="str" cm="1">
        <f t="array" ref="J387">_xlfn.IFS(Table3[[#This Row],[Age (Years)]] &lt; 40, "Young", Table3[[#This Row],[Age (Years)]] &gt;= 40, "Middle", Table3[[#This Row],[Age (Years)]] &gt; 60, "Senior")</f>
        <v>Middle</v>
      </c>
      <c r="K387" s="8" t="str" cm="1">
        <f t="array" ref="K387">_xlfn.IFS(Table3[[#This Row],[Drug_Cost_GBP]] &gt; 1200, "High Cost", Table3[[#This Row],[Drug_Cost_GBP]] &lt; 1200, "Normal")</f>
        <v>Normal</v>
      </c>
      <c r="L387" s="8" t="str" cm="1">
        <f t="array" ref="L387">IFERROR(_xlfn.IFS(Table3[[#This Row],[Age (Years)]]  &gt; 75, "YES", Table3[[#This Row],[Age (Years)]] &lt; 75, "NO"), "UNKNOWN")</f>
        <v>NO</v>
      </c>
      <c r="M387" s="8" t="str">
        <f>IF(Table3[[#This Row],[Drug_Cost_GBP]] &gt; Analysis_Sheet!$B$21, "Above Average", "Within Average")</f>
        <v>Within Average</v>
      </c>
      <c r="N387" s="39" t="str">
        <f t="shared" ref="N387:N450" si="6">IF(ISNUMBER(F387),TEXT(F387,"MMMM YYYY"),"Unknown")</f>
        <v>January 2024</v>
      </c>
    </row>
    <row r="388" spans="1:14" x14ac:dyDescent="0.3">
      <c r="A388" s="5" t="s">
        <v>389</v>
      </c>
      <c r="B388" s="18">
        <v>57</v>
      </c>
      <c r="C388" s="6" t="s">
        <v>38</v>
      </c>
      <c r="D388" s="6" t="s">
        <v>51</v>
      </c>
      <c r="E388" s="6" t="s">
        <v>43</v>
      </c>
      <c r="F388" s="7">
        <v>45586</v>
      </c>
      <c r="G388" s="6">
        <v>12</v>
      </c>
      <c r="H388" s="14">
        <v>1002.0675517241378</v>
      </c>
      <c r="I388" s="8" t="s">
        <v>16</v>
      </c>
      <c r="J388" s="4" t="str" cm="1">
        <f t="array" ref="J388">_xlfn.IFS(Table3[[#This Row],[Age (Years)]] &lt; 40, "Young", Table3[[#This Row],[Age (Years)]] &gt;= 40, "Middle", Table3[[#This Row],[Age (Years)]] &gt; 60, "Senior")</f>
        <v>Middle</v>
      </c>
      <c r="K388" s="4" t="str" cm="1">
        <f t="array" ref="K388">_xlfn.IFS(Table3[[#This Row],[Drug_Cost_GBP]] &gt; 1200, "High Cost", Table3[[#This Row],[Drug_Cost_GBP]] &lt; 1200, "Normal")</f>
        <v>Normal</v>
      </c>
      <c r="L388" s="4" t="str" cm="1">
        <f t="array" ref="L388">IFERROR(_xlfn.IFS(Table3[[#This Row],[Age (Years)]]  &gt; 75, "YES", Table3[[#This Row],[Age (Years)]] &lt; 75, "NO"), "UNKNOWN")</f>
        <v>NO</v>
      </c>
      <c r="M388" s="4" t="str">
        <f>IF(Table3[[#This Row],[Drug_Cost_GBP]] &gt; Analysis_Sheet!$B$21, "Above Average", "Within Average")</f>
        <v>Within Average</v>
      </c>
      <c r="N388" s="39" t="str">
        <f t="shared" si="6"/>
        <v>October 2024</v>
      </c>
    </row>
    <row r="389" spans="1:14" x14ac:dyDescent="0.3">
      <c r="A389" s="1" t="s">
        <v>390</v>
      </c>
      <c r="B389" s="17">
        <v>57</v>
      </c>
      <c r="C389" s="2" t="s">
        <v>900</v>
      </c>
      <c r="D389" s="2" t="s">
        <v>25</v>
      </c>
      <c r="E389" s="2" t="s">
        <v>11</v>
      </c>
      <c r="F389" s="3">
        <v>45431</v>
      </c>
      <c r="G389" s="2">
        <v>12</v>
      </c>
      <c r="H389" s="13">
        <v>1002.0675517241378</v>
      </c>
      <c r="I389" s="4" t="s">
        <v>26</v>
      </c>
      <c r="J389" s="8" t="str" cm="1">
        <f t="array" ref="J389">_xlfn.IFS(Table3[[#This Row],[Age (Years)]] &lt; 40, "Young", Table3[[#This Row],[Age (Years)]] &gt;= 40, "Middle", Table3[[#This Row],[Age (Years)]] &gt; 60, "Senior")</f>
        <v>Middle</v>
      </c>
      <c r="K389" s="8" t="str" cm="1">
        <f t="array" ref="K389">_xlfn.IFS(Table3[[#This Row],[Drug_Cost_GBP]] &gt; 1200, "High Cost", Table3[[#This Row],[Drug_Cost_GBP]] &lt; 1200, "Normal")</f>
        <v>Normal</v>
      </c>
      <c r="L389" s="8" t="str" cm="1">
        <f t="array" ref="L389">IFERROR(_xlfn.IFS(Table3[[#This Row],[Age (Years)]]  &gt; 75, "YES", Table3[[#This Row],[Age (Years)]] &lt; 75, "NO"), "UNKNOWN")</f>
        <v>NO</v>
      </c>
      <c r="M389" s="8" t="str">
        <f>IF(Table3[[#This Row],[Drug_Cost_GBP]] &gt; Analysis_Sheet!$B$21, "Above Average", "Within Average")</f>
        <v>Within Average</v>
      </c>
      <c r="N389" s="39" t="str">
        <f t="shared" si="6"/>
        <v>May 2024</v>
      </c>
    </row>
    <row r="390" spans="1:14" x14ac:dyDescent="0.3">
      <c r="A390" s="5" t="s">
        <v>391</v>
      </c>
      <c r="B390" s="18">
        <v>57</v>
      </c>
      <c r="C390" s="6" t="s">
        <v>38</v>
      </c>
      <c r="D390" s="6" t="s">
        <v>900</v>
      </c>
      <c r="E390" s="6" t="s">
        <v>57</v>
      </c>
      <c r="F390" s="7">
        <v>45416</v>
      </c>
      <c r="G390" s="6">
        <v>12</v>
      </c>
      <c r="H390" s="14">
        <v>1002.0675517241378</v>
      </c>
      <c r="I390" s="8" t="s">
        <v>21</v>
      </c>
      <c r="J390" s="8" t="str" cm="1">
        <f t="array" ref="J390">_xlfn.IFS(Table3[[#This Row],[Age (Years)]] &lt; 40, "Young", Table3[[#This Row],[Age (Years)]] &gt;= 40, "Middle", Table3[[#This Row],[Age (Years)]] &gt; 60, "Senior")</f>
        <v>Middle</v>
      </c>
      <c r="K390" s="8" t="str" cm="1">
        <f t="array" ref="K390">_xlfn.IFS(Table3[[#This Row],[Drug_Cost_GBP]] &gt; 1200, "High Cost", Table3[[#This Row],[Drug_Cost_GBP]] &lt; 1200, "Normal")</f>
        <v>Normal</v>
      </c>
      <c r="L390" s="8" t="str" cm="1">
        <f t="array" ref="L390">IFERROR(_xlfn.IFS(Table3[[#This Row],[Age (Years)]]  &gt; 75, "YES", Table3[[#This Row],[Age (Years)]] &lt; 75, "NO"), "UNKNOWN")</f>
        <v>NO</v>
      </c>
      <c r="M390" s="8" t="str">
        <f>IF(Table3[[#This Row],[Drug_Cost_GBP]] &gt; Analysis_Sheet!$B$21, "Above Average", "Within Average")</f>
        <v>Within Average</v>
      </c>
      <c r="N390" s="39" t="str">
        <f t="shared" si="6"/>
        <v>May 2024</v>
      </c>
    </row>
    <row r="391" spans="1:14" x14ac:dyDescent="0.3">
      <c r="A391" s="5" t="s">
        <v>393</v>
      </c>
      <c r="B391" s="18">
        <v>57</v>
      </c>
      <c r="C391" s="6" t="s">
        <v>38</v>
      </c>
      <c r="D391" s="6" t="s">
        <v>14</v>
      </c>
      <c r="E391" s="6" t="s">
        <v>23</v>
      </c>
      <c r="F391" s="7" t="s">
        <v>900</v>
      </c>
      <c r="G391" s="6">
        <v>12</v>
      </c>
      <c r="H391" s="14">
        <v>1002.0675517241378</v>
      </c>
      <c r="I391" s="8" t="s">
        <v>26</v>
      </c>
      <c r="J391" s="4" t="str" cm="1">
        <f t="array" ref="J391">_xlfn.IFS(Table3[[#This Row],[Age (Years)]] &lt; 40, "Young", Table3[[#This Row],[Age (Years)]] &gt;= 40, "Middle", Table3[[#This Row],[Age (Years)]] &gt; 60, "Senior")</f>
        <v>Middle</v>
      </c>
      <c r="K391" s="4" t="str" cm="1">
        <f t="array" ref="K391">_xlfn.IFS(Table3[[#This Row],[Drug_Cost_GBP]] &gt; 1200, "High Cost", Table3[[#This Row],[Drug_Cost_GBP]] &lt; 1200, "Normal")</f>
        <v>Normal</v>
      </c>
      <c r="L391" s="4" t="str" cm="1">
        <f t="array" ref="L391">IFERROR(_xlfn.IFS(Table3[[#This Row],[Age (Years)]]  &gt; 75, "YES", Table3[[#This Row],[Age (Years)]] &lt; 75, "NO"), "UNKNOWN")</f>
        <v>NO</v>
      </c>
      <c r="M391" s="4" t="str">
        <f>IF(Table3[[#This Row],[Drug_Cost_GBP]] &gt; Analysis_Sheet!$B$21, "Above Average", "Within Average")</f>
        <v>Within Average</v>
      </c>
      <c r="N391" s="39" t="str">
        <f t="shared" si="6"/>
        <v>Unknown</v>
      </c>
    </row>
    <row r="392" spans="1:14" x14ac:dyDescent="0.3">
      <c r="A392" s="1" t="s">
        <v>394</v>
      </c>
      <c r="B392" s="17">
        <v>57</v>
      </c>
      <c r="C392" s="2" t="s">
        <v>38</v>
      </c>
      <c r="D392" s="2" t="s">
        <v>48</v>
      </c>
      <c r="E392" s="2" t="s">
        <v>43</v>
      </c>
      <c r="F392" s="3" t="s">
        <v>900</v>
      </c>
      <c r="G392" s="2">
        <v>12</v>
      </c>
      <c r="H392" s="13">
        <v>1002.0675517241378</v>
      </c>
      <c r="I392" s="4" t="s">
        <v>900</v>
      </c>
      <c r="J392" s="8" t="str" cm="1">
        <f t="array" ref="J392">_xlfn.IFS(Table3[[#This Row],[Age (Years)]] &lt; 40, "Young", Table3[[#This Row],[Age (Years)]] &gt;= 40, "Middle", Table3[[#This Row],[Age (Years)]] &gt; 60, "Senior")</f>
        <v>Middle</v>
      </c>
      <c r="K392" s="8" t="str" cm="1">
        <f t="array" ref="K392">_xlfn.IFS(Table3[[#This Row],[Drug_Cost_GBP]] &gt; 1200, "High Cost", Table3[[#This Row],[Drug_Cost_GBP]] &lt; 1200, "Normal")</f>
        <v>Normal</v>
      </c>
      <c r="L392" s="8" t="str" cm="1">
        <f t="array" ref="L392">IFERROR(_xlfn.IFS(Table3[[#This Row],[Age (Years)]]  &gt; 75, "YES", Table3[[#This Row],[Age (Years)]] &lt; 75, "NO"), "UNKNOWN")</f>
        <v>NO</v>
      </c>
      <c r="M392" s="8" t="str">
        <f>IF(Table3[[#This Row],[Drug_Cost_GBP]] &gt; Analysis_Sheet!$B$21, "Above Average", "Within Average")</f>
        <v>Within Average</v>
      </c>
      <c r="N392" s="39" t="str">
        <f t="shared" si="6"/>
        <v>Unknown</v>
      </c>
    </row>
    <row r="393" spans="1:14" x14ac:dyDescent="0.3">
      <c r="A393" s="5" t="s">
        <v>395</v>
      </c>
      <c r="B393" s="18">
        <v>57</v>
      </c>
      <c r="C393" s="6" t="s">
        <v>38</v>
      </c>
      <c r="D393" s="6" t="s">
        <v>10</v>
      </c>
      <c r="E393" s="6" t="s">
        <v>34</v>
      </c>
      <c r="F393" s="7">
        <v>45474</v>
      </c>
      <c r="G393" s="6">
        <v>12</v>
      </c>
      <c r="H393" s="14">
        <v>1002.0675517241378</v>
      </c>
      <c r="I393" s="8" t="s">
        <v>21</v>
      </c>
      <c r="J393" s="4" t="str" cm="1">
        <f t="array" ref="J393">_xlfn.IFS(Table3[[#This Row],[Age (Years)]] &lt; 40, "Young", Table3[[#This Row],[Age (Years)]] &gt;= 40, "Middle", Table3[[#This Row],[Age (Years)]] &gt; 60, "Senior")</f>
        <v>Middle</v>
      </c>
      <c r="K393" s="4" t="str" cm="1">
        <f t="array" ref="K393">_xlfn.IFS(Table3[[#This Row],[Drug_Cost_GBP]] &gt; 1200, "High Cost", Table3[[#This Row],[Drug_Cost_GBP]] &lt; 1200, "Normal")</f>
        <v>Normal</v>
      </c>
      <c r="L393" s="4" t="str" cm="1">
        <f t="array" ref="L393">IFERROR(_xlfn.IFS(Table3[[#This Row],[Age (Years)]]  &gt; 75, "YES", Table3[[#This Row],[Age (Years)]] &lt; 75, "NO"), "UNKNOWN")</f>
        <v>NO</v>
      </c>
      <c r="M393" s="4" t="str">
        <f>IF(Table3[[#This Row],[Drug_Cost_GBP]] &gt; Analysis_Sheet!$B$21, "Above Average", "Within Average")</f>
        <v>Within Average</v>
      </c>
      <c r="N393" s="39" t="str">
        <f t="shared" si="6"/>
        <v>July 2024</v>
      </c>
    </row>
    <row r="394" spans="1:14" x14ac:dyDescent="0.3">
      <c r="A394" s="1" t="s">
        <v>396</v>
      </c>
      <c r="B394" s="17">
        <v>57</v>
      </c>
      <c r="C394" s="2" t="s">
        <v>899</v>
      </c>
      <c r="D394" s="2" t="s">
        <v>48</v>
      </c>
      <c r="E394" s="2" t="s">
        <v>57</v>
      </c>
      <c r="F394" s="3">
        <v>45538</v>
      </c>
      <c r="G394" s="2">
        <v>5</v>
      </c>
      <c r="H394" s="13">
        <v>1002.0675517241378</v>
      </c>
      <c r="I394" s="4" t="s">
        <v>21</v>
      </c>
      <c r="J394" s="4" t="str" cm="1">
        <f t="array" ref="J394">_xlfn.IFS(Table3[[#This Row],[Age (Years)]] &lt; 40, "Young", Table3[[#This Row],[Age (Years)]] &gt;= 40, "Middle", Table3[[#This Row],[Age (Years)]] &gt; 60, "Senior")</f>
        <v>Middle</v>
      </c>
      <c r="K394" s="4" t="str" cm="1">
        <f t="array" ref="K394">_xlfn.IFS(Table3[[#This Row],[Drug_Cost_GBP]] &gt; 1200, "High Cost", Table3[[#This Row],[Drug_Cost_GBP]] &lt; 1200, "Normal")</f>
        <v>Normal</v>
      </c>
      <c r="L394" s="4" t="str" cm="1">
        <f t="array" ref="L394">IFERROR(_xlfn.IFS(Table3[[#This Row],[Age (Years)]]  &gt; 75, "YES", Table3[[#This Row],[Age (Years)]] &lt; 75, "NO"), "UNKNOWN")</f>
        <v>NO</v>
      </c>
      <c r="M394" s="4" t="str">
        <f>IF(Table3[[#This Row],[Drug_Cost_GBP]] &gt; Analysis_Sheet!$B$21, "Above Average", "Within Average")</f>
        <v>Within Average</v>
      </c>
      <c r="N394" s="39" t="str">
        <f t="shared" si="6"/>
        <v>September 2024</v>
      </c>
    </row>
    <row r="395" spans="1:14" x14ac:dyDescent="0.3">
      <c r="A395" s="1" t="s">
        <v>398</v>
      </c>
      <c r="B395" s="17">
        <v>57</v>
      </c>
      <c r="C395" s="2" t="s">
        <v>900</v>
      </c>
      <c r="D395" s="2" t="s">
        <v>900</v>
      </c>
      <c r="E395" s="2" t="s">
        <v>34</v>
      </c>
      <c r="F395" s="3">
        <v>45598</v>
      </c>
      <c r="G395" s="2">
        <v>12</v>
      </c>
      <c r="H395" s="13">
        <v>1620.13</v>
      </c>
      <c r="I395" s="4" t="s">
        <v>16</v>
      </c>
      <c r="J395" s="4" t="str" cm="1">
        <f t="array" ref="J395">_xlfn.IFS(Table3[[#This Row],[Age (Years)]] &lt; 40, "Young", Table3[[#This Row],[Age (Years)]] &gt;= 40, "Middle", Table3[[#This Row],[Age (Years)]] &gt; 60, "Senior")</f>
        <v>Middle</v>
      </c>
      <c r="K395" s="4" t="str" cm="1">
        <f t="array" ref="K395">_xlfn.IFS(Table3[[#This Row],[Drug_Cost_GBP]] &gt; 1200, "High Cost", Table3[[#This Row],[Drug_Cost_GBP]] &lt; 1200, "Normal")</f>
        <v>High Cost</v>
      </c>
      <c r="L395" s="4" t="str" cm="1">
        <f t="array" ref="L395">IFERROR(_xlfn.IFS(Table3[[#This Row],[Age (Years)]]  &gt; 75, "YES", Table3[[#This Row],[Age (Years)]] &lt; 75, "NO"), "UNKNOWN")</f>
        <v>NO</v>
      </c>
      <c r="M395" s="4" t="str">
        <f>IF(Table3[[#This Row],[Drug_Cost_GBP]] &gt; Analysis_Sheet!$B$21, "Above Average", "Within Average")</f>
        <v>Above Average</v>
      </c>
      <c r="N395" s="39" t="str">
        <f t="shared" si="6"/>
        <v>November 2024</v>
      </c>
    </row>
    <row r="396" spans="1:14" x14ac:dyDescent="0.3">
      <c r="A396" s="1" t="s">
        <v>400</v>
      </c>
      <c r="B396" s="17">
        <v>57</v>
      </c>
      <c r="C396" s="2" t="s">
        <v>899</v>
      </c>
      <c r="D396" s="2" t="s">
        <v>10</v>
      </c>
      <c r="E396" s="2" t="s">
        <v>43</v>
      </c>
      <c r="F396" s="3">
        <v>45364</v>
      </c>
      <c r="G396" s="2">
        <v>12</v>
      </c>
      <c r="H396" s="13">
        <v>1002.0675517241378</v>
      </c>
      <c r="I396" s="4" t="s">
        <v>21</v>
      </c>
      <c r="J396" s="8" t="str" cm="1">
        <f t="array" ref="J396">_xlfn.IFS(Table3[[#This Row],[Age (Years)]] &lt; 40, "Young", Table3[[#This Row],[Age (Years)]] &gt;= 40, "Middle", Table3[[#This Row],[Age (Years)]] &gt; 60, "Senior")</f>
        <v>Middle</v>
      </c>
      <c r="K396" s="8" t="str" cm="1">
        <f t="array" ref="K396">_xlfn.IFS(Table3[[#This Row],[Drug_Cost_GBP]] &gt; 1200, "High Cost", Table3[[#This Row],[Drug_Cost_GBP]] &lt; 1200, "Normal")</f>
        <v>Normal</v>
      </c>
      <c r="L396" s="8" t="str" cm="1">
        <f t="array" ref="L396">IFERROR(_xlfn.IFS(Table3[[#This Row],[Age (Years)]]  &gt; 75, "YES", Table3[[#This Row],[Age (Years)]] &lt; 75, "NO"), "UNKNOWN")</f>
        <v>NO</v>
      </c>
      <c r="M396" s="8" t="str">
        <f>IF(Table3[[#This Row],[Drug_Cost_GBP]] &gt; Analysis_Sheet!$B$21, "Above Average", "Within Average")</f>
        <v>Within Average</v>
      </c>
      <c r="N396" s="39" t="str">
        <f t="shared" si="6"/>
        <v>March 2024</v>
      </c>
    </row>
    <row r="397" spans="1:14" x14ac:dyDescent="0.3">
      <c r="A397" s="5" t="s">
        <v>403</v>
      </c>
      <c r="B397" s="18">
        <v>57</v>
      </c>
      <c r="C397" s="6" t="s">
        <v>899</v>
      </c>
      <c r="D397" s="6" t="s">
        <v>14</v>
      </c>
      <c r="E397" s="6" t="s">
        <v>43</v>
      </c>
      <c r="F397" s="7">
        <v>45494</v>
      </c>
      <c r="G397" s="6">
        <v>12</v>
      </c>
      <c r="H397" s="14">
        <v>1002.0675517241378</v>
      </c>
      <c r="I397" s="8" t="s">
        <v>900</v>
      </c>
      <c r="J397" s="4" t="str" cm="1">
        <f t="array" ref="J397">_xlfn.IFS(Table3[[#This Row],[Age (Years)]] &lt; 40, "Young", Table3[[#This Row],[Age (Years)]] &gt;= 40, "Middle", Table3[[#This Row],[Age (Years)]] &gt; 60, "Senior")</f>
        <v>Middle</v>
      </c>
      <c r="K397" s="4" t="str" cm="1">
        <f t="array" ref="K397">_xlfn.IFS(Table3[[#This Row],[Drug_Cost_GBP]] &gt; 1200, "High Cost", Table3[[#This Row],[Drug_Cost_GBP]] &lt; 1200, "Normal")</f>
        <v>Normal</v>
      </c>
      <c r="L397" s="4" t="str" cm="1">
        <f t="array" ref="L397">IFERROR(_xlfn.IFS(Table3[[#This Row],[Age (Years)]]  &gt; 75, "YES", Table3[[#This Row],[Age (Years)]] &lt; 75, "NO"), "UNKNOWN")</f>
        <v>NO</v>
      </c>
      <c r="M397" s="4" t="str">
        <f>IF(Table3[[#This Row],[Drug_Cost_GBP]] &gt; Analysis_Sheet!$B$21, "Above Average", "Within Average")</f>
        <v>Within Average</v>
      </c>
      <c r="N397" s="39" t="str">
        <f t="shared" si="6"/>
        <v>July 2024</v>
      </c>
    </row>
    <row r="398" spans="1:14" x14ac:dyDescent="0.3">
      <c r="A398" s="1" t="s">
        <v>404</v>
      </c>
      <c r="B398" s="17">
        <v>57</v>
      </c>
      <c r="C398" s="2" t="s">
        <v>38</v>
      </c>
      <c r="D398" s="2" t="s">
        <v>14</v>
      </c>
      <c r="E398" s="2" t="s">
        <v>57</v>
      </c>
      <c r="F398" s="3" t="s">
        <v>900</v>
      </c>
      <c r="G398" s="2">
        <v>12</v>
      </c>
      <c r="H398" s="13">
        <v>1002.0675517241378</v>
      </c>
      <c r="I398" s="4" t="s">
        <v>26</v>
      </c>
      <c r="J398" s="8" t="str" cm="1">
        <f t="array" ref="J398">_xlfn.IFS(Table3[[#This Row],[Age (Years)]] &lt; 40, "Young", Table3[[#This Row],[Age (Years)]] &gt;= 40, "Middle", Table3[[#This Row],[Age (Years)]] &gt; 60, "Senior")</f>
        <v>Middle</v>
      </c>
      <c r="K398" s="8" t="str" cm="1">
        <f t="array" ref="K398">_xlfn.IFS(Table3[[#This Row],[Drug_Cost_GBP]] &gt; 1200, "High Cost", Table3[[#This Row],[Drug_Cost_GBP]] &lt; 1200, "Normal")</f>
        <v>Normal</v>
      </c>
      <c r="L398" s="8" t="str" cm="1">
        <f t="array" ref="L398">IFERROR(_xlfn.IFS(Table3[[#This Row],[Age (Years)]]  &gt; 75, "YES", Table3[[#This Row],[Age (Years)]] &lt; 75, "NO"), "UNKNOWN")</f>
        <v>NO</v>
      </c>
      <c r="M398" s="8" t="str">
        <f>IF(Table3[[#This Row],[Drug_Cost_GBP]] &gt; Analysis_Sheet!$B$21, "Above Average", "Within Average")</f>
        <v>Within Average</v>
      </c>
      <c r="N398" s="39" t="str">
        <f t="shared" si="6"/>
        <v>Unknown</v>
      </c>
    </row>
    <row r="399" spans="1:14" x14ac:dyDescent="0.3">
      <c r="A399" s="5" t="s">
        <v>405</v>
      </c>
      <c r="B399" s="18">
        <v>57</v>
      </c>
      <c r="C399" s="6" t="s">
        <v>899</v>
      </c>
      <c r="D399" s="6" t="s">
        <v>19</v>
      </c>
      <c r="E399" s="6" t="s">
        <v>34</v>
      </c>
      <c r="F399" s="7">
        <v>45541</v>
      </c>
      <c r="G399" s="6">
        <v>12</v>
      </c>
      <c r="H399" s="14">
        <v>1814.59</v>
      </c>
      <c r="I399" s="8" t="s">
        <v>12</v>
      </c>
      <c r="J399" s="8" t="str" cm="1">
        <f t="array" ref="J399">_xlfn.IFS(Table3[[#This Row],[Age (Years)]] &lt; 40, "Young", Table3[[#This Row],[Age (Years)]] &gt;= 40, "Middle", Table3[[#This Row],[Age (Years)]] &gt; 60, "Senior")</f>
        <v>Middle</v>
      </c>
      <c r="K399" s="8" t="str" cm="1">
        <f t="array" ref="K399">_xlfn.IFS(Table3[[#This Row],[Drug_Cost_GBP]] &gt; 1200, "High Cost", Table3[[#This Row],[Drug_Cost_GBP]] &lt; 1200, "Normal")</f>
        <v>High Cost</v>
      </c>
      <c r="L399" s="8" t="str" cm="1">
        <f t="array" ref="L399">IFERROR(_xlfn.IFS(Table3[[#This Row],[Age (Years)]]  &gt; 75, "YES", Table3[[#This Row],[Age (Years)]] &lt; 75, "NO"), "UNKNOWN")</f>
        <v>NO</v>
      </c>
      <c r="M399" s="8" t="str">
        <f>IF(Table3[[#This Row],[Drug_Cost_GBP]] &gt; Analysis_Sheet!$B$21, "Above Average", "Within Average")</f>
        <v>Above Average</v>
      </c>
      <c r="N399" s="39" t="str">
        <f t="shared" si="6"/>
        <v>September 2024</v>
      </c>
    </row>
    <row r="400" spans="1:14" x14ac:dyDescent="0.3">
      <c r="A400" s="5" t="s">
        <v>407</v>
      </c>
      <c r="B400" s="18">
        <v>57</v>
      </c>
      <c r="C400" s="6" t="s">
        <v>899</v>
      </c>
      <c r="D400" s="6" t="s">
        <v>900</v>
      </c>
      <c r="E400" s="6" t="s">
        <v>43</v>
      </c>
      <c r="F400" s="7" t="s">
        <v>900</v>
      </c>
      <c r="G400" s="6">
        <v>12</v>
      </c>
      <c r="H400" s="14">
        <v>1002.0675517241378</v>
      </c>
      <c r="I400" s="8" t="s">
        <v>900</v>
      </c>
      <c r="J400" s="4" t="str" cm="1">
        <f t="array" ref="J400">_xlfn.IFS(Table3[[#This Row],[Age (Years)]] &lt; 40, "Young", Table3[[#This Row],[Age (Years)]] &gt;= 40, "Middle", Table3[[#This Row],[Age (Years)]] &gt; 60, "Senior")</f>
        <v>Middle</v>
      </c>
      <c r="K400" s="4" t="str" cm="1">
        <f t="array" ref="K400">_xlfn.IFS(Table3[[#This Row],[Drug_Cost_GBP]] &gt; 1200, "High Cost", Table3[[#This Row],[Drug_Cost_GBP]] &lt; 1200, "Normal")</f>
        <v>Normal</v>
      </c>
      <c r="L400" s="4" t="str" cm="1">
        <f t="array" ref="L400">IFERROR(_xlfn.IFS(Table3[[#This Row],[Age (Years)]]  &gt; 75, "YES", Table3[[#This Row],[Age (Years)]] &lt; 75, "NO"), "UNKNOWN")</f>
        <v>NO</v>
      </c>
      <c r="M400" s="4" t="str">
        <f>IF(Table3[[#This Row],[Drug_Cost_GBP]] &gt; Analysis_Sheet!$B$21, "Above Average", "Within Average")</f>
        <v>Within Average</v>
      </c>
      <c r="N400" s="39" t="str">
        <f t="shared" si="6"/>
        <v>Unknown</v>
      </c>
    </row>
    <row r="401" spans="1:14" x14ac:dyDescent="0.3">
      <c r="A401" s="1" t="s">
        <v>410</v>
      </c>
      <c r="B401" s="17">
        <v>57</v>
      </c>
      <c r="C401" s="2" t="s">
        <v>899</v>
      </c>
      <c r="D401" s="2" t="s">
        <v>19</v>
      </c>
      <c r="E401" s="2" t="s">
        <v>57</v>
      </c>
      <c r="F401" s="3">
        <v>45406</v>
      </c>
      <c r="G401" s="2">
        <v>12</v>
      </c>
      <c r="H401" s="13">
        <v>1002.0675517241378</v>
      </c>
      <c r="I401" s="4" t="s">
        <v>21</v>
      </c>
      <c r="J401" s="8" t="str" cm="1">
        <f t="array" ref="J401">_xlfn.IFS(Table3[[#This Row],[Age (Years)]] &lt; 40, "Young", Table3[[#This Row],[Age (Years)]] &gt;= 40, "Middle", Table3[[#This Row],[Age (Years)]] &gt; 60, "Senior")</f>
        <v>Middle</v>
      </c>
      <c r="K401" s="8" t="str" cm="1">
        <f t="array" ref="K401">_xlfn.IFS(Table3[[#This Row],[Drug_Cost_GBP]] &gt; 1200, "High Cost", Table3[[#This Row],[Drug_Cost_GBP]] &lt; 1200, "Normal")</f>
        <v>Normal</v>
      </c>
      <c r="L401" s="8" t="str" cm="1">
        <f t="array" ref="L401">IFERROR(_xlfn.IFS(Table3[[#This Row],[Age (Years)]]  &gt; 75, "YES", Table3[[#This Row],[Age (Years)]] &lt; 75, "NO"), "UNKNOWN")</f>
        <v>NO</v>
      </c>
      <c r="M401" s="8" t="str">
        <f>IF(Table3[[#This Row],[Drug_Cost_GBP]] &gt; Analysis_Sheet!$B$21, "Above Average", "Within Average")</f>
        <v>Within Average</v>
      </c>
      <c r="N401" s="39" t="str">
        <f t="shared" si="6"/>
        <v>April 2024</v>
      </c>
    </row>
    <row r="402" spans="1:14" x14ac:dyDescent="0.3">
      <c r="A402" s="5" t="s">
        <v>411</v>
      </c>
      <c r="B402" s="18">
        <v>57</v>
      </c>
      <c r="C402" s="6" t="s">
        <v>899</v>
      </c>
      <c r="D402" s="6" t="s">
        <v>25</v>
      </c>
      <c r="E402" s="6" t="s">
        <v>23</v>
      </c>
      <c r="F402" s="7" t="s">
        <v>900</v>
      </c>
      <c r="G402" s="6">
        <v>12</v>
      </c>
      <c r="H402" s="14">
        <v>1002.0675517241378</v>
      </c>
      <c r="I402" s="8" t="s">
        <v>26</v>
      </c>
      <c r="J402" s="4" t="str" cm="1">
        <f t="array" ref="J402">_xlfn.IFS(Table3[[#This Row],[Age (Years)]] &lt; 40, "Young", Table3[[#This Row],[Age (Years)]] &gt;= 40, "Middle", Table3[[#This Row],[Age (Years)]] &gt; 60, "Senior")</f>
        <v>Middle</v>
      </c>
      <c r="K402" s="4" t="str" cm="1">
        <f t="array" ref="K402">_xlfn.IFS(Table3[[#This Row],[Drug_Cost_GBP]] &gt; 1200, "High Cost", Table3[[#This Row],[Drug_Cost_GBP]] &lt; 1200, "Normal")</f>
        <v>Normal</v>
      </c>
      <c r="L402" s="4" t="str" cm="1">
        <f t="array" ref="L402">IFERROR(_xlfn.IFS(Table3[[#This Row],[Age (Years)]]  &gt; 75, "YES", Table3[[#This Row],[Age (Years)]] &lt; 75, "NO"), "UNKNOWN")</f>
        <v>NO</v>
      </c>
      <c r="M402" s="4" t="str">
        <f>IF(Table3[[#This Row],[Drug_Cost_GBP]] &gt; Analysis_Sheet!$B$21, "Above Average", "Within Average")</f>
        <v>Within Average</v>
      </c>
      <c r="N402" s="39" t="str">
        <f t="shared" si="6"/>
        <v>Unknown</v>
      </c>
    </row>
    <row r="403" spans="1:14" x14ac:dyDescent="0.3">
      <c r="A403" s="1" t="s">
        <v>412</v>
      </c>
      <c r="B403" s="17">
        <v>57</v>
      </c>
      <c r="C403" s="2" t="s">
        <v>38</v>
      </c>
      <c r="D403" s="2" t="s">
        <v>19</v>
      </c>
      <c r="E403" s="2" t="s">
        <v>23</v>
      </c>
      <c r="F403" s="3">
        <v>45538</v>
      </c>
      <c r="G403" s="2">
        <v>12</v>
      </c>
      <c r="H403" s="13">
        <v>1002.0675517241378</v>
      </c>
      <c r="I403" s="4" t="s">
        <v>16</v>
      </c>
      <c r="J403" s="8" t="str" cm="1">
        <f t="array" ref="J403">_xlfn.IFS(Table3[[#This Row],[Age (Years)]] &lt; 40, "Young", Table3[[#This Row],[Age (Years)]] &gt;= 40, "Middle", Table3[[#This Row],[Age (Years)]] &gt; 60, "Senior")</f>
        <v>Middle</v>
      </c>
      <c r="K403" s="8" t="str" cm="1">
        <f t="array" ref="K403">_xlfn.IFS(Table3[[#This Row],[Drug_Cost_GBP]] &gt; 1200, "High Cost", Table3[[#This Row],[Drug_Cost_GBP]] &lt; 1200, "Normal")</f>
        <v>Normal</v>
      </c>
      <c r="L403" s="8" t="str" cm="1">
        <f t="array" ref="L403">IFERROR(_xlfn.IFS(Table3[[#This Row],[Age (Years)]]  &gt; 75, "YES", Table3[[#This Row],[Age (Years)]] &lt; 75, "NO"), "UNKNOWN")</f>
        <v>NO</v>
      </c>
      <c r="M403" s="8" t="str">
        <f>IF(Table3[[#This Row],[Drug_Cost_GBP]] &gt; Analysis_Sheet!$B$21, "Above Average", "Within Average")</f>
        <v>Within Average</v>
      </c>
      <c r="N403" s="39" t="str">
        <f t="shared" si="6"/>
        <v>September 2024</v>
      </c>
    </row>
    <row r="404" spans="1:14" x14ac:dyDescent="0.3">
      <c r="A404" s="5" t="s">
        <v>413</v>
      </c>
      <c r="B404" s="18">
        <v>57</v>
      </c>
      <c r="C404" s="6" t="s">
        <v>38</v>
      </c>
      <c r="D404" s="6" t="s">
        <v>14</v>
      </c>
      <c r="E404" s="6" t="s">
        <v>57</v>
      </c>
      <c r="F404" s="7">
        <v>45421</v>
      </c>
      <c r="G404" s="6">
        <v>12</v>
      </c>
      <c r="H404" s="14">
        <v>1002.0675517241378</v>
      </c>
      <c r="I404" s="8" t="s">
        <v>12</v>
      </c>
      <c r="J404" s="8" t="str" cm="1">
        <f t="array" ref="J404">_xlfn.IFS(Table3[[#This Row],[Age (Years)]] &lt; 40, "Young", Table3[[#This Row],[Age (Years)]] &gt;= 40, "Middle", Table3[[#This Row],[Age (Years)]] &gt; 60, "Senior")</f>
        <v>Middle</v>
      </c>
      <c r="K404" s="8" t="str" cm="1">
        <f t="array" ref="K404">_xlfn.IFS(Table3[[#This Row],[Drug_Cost_GBP]] &gt; 1200, "High Cost", Table3[[#This Row],[Drug_Cost_GBP]] &lt; 1200, "Normal")</f>
        <v>Normal</v>
      </c>
      <c r="L404" s="8" t="str" cm="1">
        <f t="array" ref="L404">IFERROR(_xlfn.IFS(Table3[[#This Row],[Age (Years)]]  &gt; 75, "YES", Table3[[#This Row],[Age (Years)]] &lt; 75, "NO"), "UNKNOWN")</f>
        <v>NO</v>
      </c>
      <c r="M404" s="8" t="str">
        <f>IF(Table3[[#This Row],[Drug_Cost_GBP]] &gt; Analysis_Sheet!$B$21, "Above Average", "Within Average")</f>
        <v>Within Average</v>
      </c>
      <c r="N404" s="39" t="str">
        <f t="shared" si="6"/>
        <v>May 2024</v>
      </c>
    </row>
    <row r="405" spans="1:14" x14ac:dyDescent="0.3">
      <c r="A405" s="5" t="s">
        <v>417</v>
      </c>
      <c r="B405" s="18">
        <v>57</v>
      </c>
      <c r="C405" s="6" t="s">
        <v>900</v>
      </c>
      <c r="D405" s="6" t="s">
        <v>14</v>
      </c>
      <c r="E405" s="6" t="s">
        <v>29</v>
      </c>
      <c r="F405" s="7">
        <v>45356</v>
      </c>
      <c r="G405" s="6">
        <v>12</v>
      </c>
      <c r="H405" s="14">
        <v>1002.0675517241378</v>
      </c>
      <c r="I405" s="8" t="s">
        <v>26</v>
      </c>
      <c r="J405" s="4" t="str" cm="1">
        <f t="array" ref="J405">_xlfn.IFS(Table3[[#This Row],[Age (Years)]] &lt; 40, "Young", Table3[[#This Row],[Age (Years)]] &gt;= 40, "Middle", Table3[[#This Row],[Age (Years)]] &gt; 60, "Senior")</f>
        <v>Middle</v>
      </c>
      <c r="K405" s="4" t="str" cm="1">
        <f t="array" ref="K405">_xlfn.IFS(Table3[[#This Row],[Drug_Cost_GBP]] &gt; 1200, "High Cost", Table3[[#This Row],[Drug_Cost_GBP]] &lt; 1200, "Normal")</f>
        <v>Normal</v>
      </c>
      <c r="L405" s="4" t="str" cm="1">
        <f t="array" ref="L405">IFERROR(_xlfn.IFS(Table3[[#This Row],[Age (Years)]]  &gt; 75, "YES", Table3[[#This Row],[Age (Years)]] &lt; 75, "NO"), "UNKNOWN")</f>
        <v>NO</v>
      </c>
      <c r="M405" s="4" t="str">
        <f>IF(Table3[[#This Row],[Drug_Cost_GBP]] &gt; Analysis_Sheet!$B$21, "Above Average", "Within Average")</f>
        <v>Within Average</v>
      </c>
      <c r="N405" s="39" t="str">
        <f t="shared" si="6"/>
        <v>March 2024</v>
      </c>
    </row>
    <row r="406" spans="1:14" x14ac:dyDescent="0.3">
      <c r="A406" s="1" t="s">
        <v>418</v>
      </c>
      <c r="B406" s="17">
        <v>57</v>
      </c>
      <c r="C406" s="2" t="s">
        <v>38</v>
      </c>
      <c r="D406" s="2" t="s">
        <v>25</v>
      </c>
      <c r="E406" s="2" t="s">
        <v>11</v>
      </c>
      <c r="F406" s="3">
        <v>45640</v>
      </c>
      <c r="G406" s="2">
        <v>12</v>
      </c>
      <c r="H406" s="13">
        <v>1002.0675517241378</v>
      </c>
      <c r="I406" s="4" t="s">
        <v>12</v>
      </c>
      <c r="J406" s="8" t="str" cm="1">
        <f t="array" ref="J406">_xlfn.IFS(Table3[[#This Row],[Age (Years)]] &lt; 40, "Young", Table3[[#This Row],[Age (Years)]] &gt;= 40, "Middle", Table3[[#This Row],[Age (Years)]] &gt; 60, "Senior")</f>
        <v>Middle</v>
      </c>
      <c r="K406" s="8" t="str" cm="1">
        <f t="array" ref="K406">_xlfn.IFS(Table3[[#This Row],[Drug_Cost_GBP]] &gt; 1200, "High Cost", Table3[[#This Row],[Drug_Cost_GBP]] &lt; 1200, "Normal")</f>
        <v>Normal</v>
      </c>
      <c r="L406" s="8" t="str" cm="1">
        <f t="array" ref="L406">IFERROR(_xlfn.IFS(Table3[[#This Row],[Age (Years)]]  &gt; 75, "YES", Table3[[#This Row],[Age (Years)]] &lt; 75, "NO"), "UNKNOWN")</f>
        <v>NO</v>
      </c>
      <c r="M406" s="8" t="str">
        <f>IF(Table3[[#This Row],[Drug_Cost_GBP]] &gt; Analysis_Sheet!$B$21, "Above Average", "Within Average")</f>
        <v>Within Average</v>
      </c>
      <c r="N406" s="39" t="str">
        <f t="shared" si="6"/>
        <v>December 2024</v>
      </c>
    </row>
    <row r="407" spans="1:14" x14ac:dyDescent="0.3">
      <c r="A407" s="5" t="s">
        <v>419</v>
      </c>
      <c r="B407" s="18">
        <v>57</v>
      </c>
      <c r="C407" s="6" t="s">
        <v>899</v>
      </c>
      <c r="D407" s="6" t="s">
        <v>19</v>
      </c>
      <c r="E407" s="6" t="s">
        <v>34</v>
      </c>
      <c r="F407" s="7">
        <v>45316</v>
      </c>
      <c r="G407" s="6">
        <v>12</v>
      </c>
      <c r="H407" s="14">
        <v>1002.0675517241378</v>
      </c>
      <c r="I407" s="8" t="s">
        <v>26</v>
      </c>
      <c r="J407" s="4" t="str" cm="1">
        <f t="array" ref="J407">_xlfn.IFS(Table3[[#This Row],[Age (Years)]] &lt; 40, "Young", Table3[[#This Row],[Age (Years)]] &gt;= 40, "Middle", Table3[[#This Row],[Age (Years)]] &gt; 60, "Senior")</f>
        <v>Middle</v>
      </c>
      <c r="K407" s="4" t="str" cm="1">
        <f t="array" ref="K407">_xlfn.IFS(Table3[[#This Row],[Drug_Cost_GBP]] &gt; 1200, "High Cost", Table3[[#This Row],[Drug_Cost_GBP]] &lt; 1200, "Normal")</f>
        <v>Normal</v>
      </c>
      <c r="L407" s="4" t="str" cm="1">
        <f t="array" ref="L407">IFERROR(_xlfn.IFS(Table3[[#This Row],[Age (Years)]]  &gt; 75, "YES", Table3[[#This Row],[Age (Years)]] &lt; 75, "NO"), "UNKNOWN")</f>
        <v>NO</v>
      </c>
      <c r="M407" s="4" t="str">
        <f>IF(Table3[[#This Row],[Drug_Cost_GBP]] &gt; Analysis_Sheet!$B$21, "Above Average", "Within Average")</f>
        <v>Within Average</v>
      </c>
      <c r="N407" s="39" t="str">
        <f t="shared" si="6"/>
        <v>January 2024</v>
      </c>
    </row>
    <row r="408" spans="1:14" x14ac:dyDescent="0.3">
      <c r="A408" s="1" t="s">
        <v>420</v>
      </c>
      <c r="B408" s="17">
        <v>57</v>
      </c>
      <c r="C408" s="2" t="s">
        <v>38</v>
      </c>
      <c r="D408" s="2" t="s">
        <v>10</v>
      </c>
      <c r="E408" s="2" t="s">
        <v>34</v>
      </c>
      <c r="F408" s="3">
        <v>45510</v>
      </c>
      <c r="G408" s="2">
        <v>12</v>
      </c>
      <c r="H408" s="13">
        <v>1002.0675517241378</v>
      </c>
      <c r="I408" s="4" t="s">
        <v>900</v>
      </c>
      <c r="J408" s="8" t="str" cm="1">
        <f t="array" ref="J408">_xlfn.IFS(Table3[[#This Row],[Age (Years)]] &lt; 40, "Young", Table3[[#This Row],[Age (Years)]] &gt;= 40, "Middle", Table3[[#This Row],[Age (Years)]] &gt; 60, "Senior")</f>
        <v>Middle</v>
      </c>
      <c r="K408" s="8" t="str" cm="1">
        <f t="array" ref="K408">_xlfn.IFS(Table3[[#This Row],[Drug_Cost_GBP]] &gt; 1200, "High Cost", Table3[[#This Row],[Drug_Cost_GBP]] &lt; 1200, "Normal")</f>
        <v>Normal</v>
      </c>
      <c r="L408" s="8" t="str" cm="1">
        <f t="array" ref="L408">IFERROR(_xlfn.IFS(Table3[[#This Row],[Age (Years)]]  &gt; 75, "YES", Table3[[#This Row],[Age (Years)]] &lt; 75, "NO"), "UNKNOWN")</f>
        <v>NO</v>
      </c>
      <c r="M408" s="8" t="str">
        <f>IF(Table3[[#This Row],[Drug_Cost_GBP]] &gt; Analysis_Sheet!$B$21, "Above Average", "Within Average")</f>
        <v>Within Average</v>
      </c>
      <c r="N408" s="39" t="str">
        <f t="shared" si="6"/>
        <v>August 2024</v>
      </c>
    </row>
    <row r="409" spans="1:14" x14ac:dyDescent="0.3">
      <c r="A409" s="5" t="s">
        <v>421</v>
      </c>
      <c r="B409" s="18">
        <v>57</v>
      </c>
      <c r="C409" s="6" t="s">
        <v>38</v>
      </c>
      <c r="D409" s="6" t="s">
        <v>898</v>
      </c>
      <c r="E409" s="6" t="s">
        <v>43</v>
      </c>
      <c r="F409" s="7">
        <v>45332</v>
      </c>
      <c r="G409" s="6">
        <v>12</v>
      </c>
      <c r="H409" s="14">
        <v>1637.2</v>
      </c>
      <c r="I409" s="8" t="s">
        <v>900</v>
      </c>
      <c r="J409" s="4" t="str" cm="1">
        <f t="array" ref="J409">_xlfn.IFS(Table3[[#This Row],[Age (Years)]] &lt; 40, "Young", Table3[[#This Row],[Age (Years)]] &gt;= 40, "Middle", Table3[[#This Row],[Age (Years)]] &gt; 60, "Senior")</f>
        <v>Middle</v>
      </c>
      <c r="K409" s="4" t="str" cm="1">
        <f t="array" ref="K409">_xlfn.IFS(Table3[[#This Row],[Drug_Cost_GBP]] &gt; 1200, "High Cost", Table3[[#This Row],[Drug_Cost_GBP]] &lt; 1200, "Normal")</f>
        <v>High Cost</v>
      </c>
      <c r="L409" s="4" t="str" cm="1">
        <f t="array" ref="L409">IFERROR(_xlfn.IFS(Table3[[#This Row],[Age (Years)]]  &gt; 75, "YES", Table3[[#This Row],[Age (Years)]] &lt; 75, "NO"), "UNKNOWN")</f>
        <v>NO</v>
      </c>
      <c r="M409" s="4" t="str">
        <f>IF(Table3[[#This Row],[Drug_Cost_GBP]] &gt; Analysis_Sheet!$B$21, "Above Average", "Within Average")</f>
        <v>Above Average</v>
      </c>
      <c r="N409" s="39" t="str">
        <f t="shared" si="6"/>
        <v>February 2024</v>
      </c>
    </row>
    <row r="410" spans="1:14" x14ac:dyDescent="0.3">
      <c r="A410" s="1" t="s">
        <v>422</v>
      </c>
      <c r="B410" s="17">
        <v>57</v>
      </c>
      <c r="C410" s="2" t="s">
        <v>900</v>
      </c>
      <c r="D410" s="2" t="s">
        <v>51</v>
      </c>
      <c r="E410" s="2" t="s">
        <v>34</v>
      </c>
      <c r="F410" s="3">
        <v>45587</v>
      </c>
      <c r="G410" s="2">
        <v>12</v>
      </c>
      <c r="H410" s="13">
        <v>1639.19</v>
      </c>
      <c r="I410" s="4" t="s">
        <v>21</v>
      </c>
      <c r="J410" s="8" t="str" cm="1">
        <f t="array" ref="J410">_xlfn.IFS(Table3[[#This Row],[Age (Years)]] &lt; 40, "Young", Table3[[#This Row],[Age (Years)]] &gt;= 40, "Middle", Table3[[#This Row],[Age (Years)]] &gt; 60, "Senior")</f>
        <v>Middle</v>
      </c>
      <c r="K410" s="8" t="str" cm="1">
        <f t="array" ref="K410">_xlfn.IFS(Table3[[#This Row],[Drug_Cost_GBP]] &gt; 1200, "High Cost", Table3[[#This Row],[Drug_Cost_GBP]] &lt; 1200, "Normal")</f>
        <v>High Cost</v>
      </c>
      <c r="L410" s="8" t="str" cm="1">
        <f t="array" ref="L410">IFERROR(_xlfn.IFS(Table3[[#This Row],[Age (Years)]]  &gt; 75, "YES", Table3[[#This Row],[Age (Years)]] &lt; 75, "NO"), "UNKNOWN")</f>
        <v>NO</v>
      </c>
      <c r="M410" s="8" t="str">
        <f>IF(Table3[[#This Row],[Drug_Cost_GBP]] &gt; Analysis_Sheet!$B$21, "Above Average", "Within Average")</f>
        <v>Above Average</v>
      </c>
      <c r="N410" s="39" t="str">
        <f t="shared" si="6"/>
        <v>October 2024</v>
      </c>
    </row>
    <row r="411" spans="1:14" x14ac:dyDescent="0.3">
      <c r="A411" s="5" t="s">
        <v>423</v>
      </c>
      <c r="B411" s="18">
        <v>57</v>
      </c>
      <c r="C411" s="6" t="s">
        <v>38</v>
      </c>
      <c r="D411" s="6" t="s">
        <v>48</v>
      </c>
      <c r="E411" s="6" t="s">
        <v>43</v>
      </c>
      <c r="F411" s="7">
        <v>45336</v>
      </c>
      <c r="G411" s="6">
        <v>12</v>
      </c>
      <c r="H411" s="14">
        <v>898.94</v>
      </c>
      <c r="I411" s="8" t="s">
        <v>12</v>
      </c>
      <c r="J411" s="4" t="str" cm="1">
        <f t="array" ref="J411">_xlfn.IFS(Table3[[#This Row],[Age (Years)]] &lt; 40, "Young", Table3[[#This Row],[Age (Years)]] &gt;= 40, "Middle", Table3[[#This Row],[Age (Years)]] &gt; 60, "Senior")</f>
        <v>Middle</v>
      </c>
      <c r="K411" s="4" t="str" cm="1">
        <f t="array" ref="K411">_xlfn.IFS(Table3[[#This Row],[Drug_Cost_GBP]] &gt; 1200, "High Cost", Table3[[#This Row],[Drug_Cost_GBP]] &lt; 1200, "Normal")</f>
        <v>Normal</v>
      </c>
      <c r="L411" s="4" t="str" cm="1">
        <f t="array" ref="L411">IFERROR(_xlfn.IFS(Table3[[#This Row],[Age (Years)]]  &gt; 75, "YES", Table3[[#This Row],[Age (Years)]] &lt; 75, "NO"), "UNKNOWN")</f>
        <v>NO</v>
      </c>
      <c r="M411" s="4" t="str">
        <f>IF(Table3[[#This Row],[Drug_Cost_GBP]] &gt; Analysis_Sheet!$B$21, "Above Average", "Within Average")</f>
        <v>Within Average</v>
      </c>
      <c r="N411" s="39" t="str">
        <f t="shared" si="6"/>
        <v>February 2024</v>
      </c>
    </row>
    <row r="412" spans="1:14" x14ac:dyDescent="0.3">
      <c r="A412" s="1" t="s">
        <v>424</v>
      </c>
      <c r="B412" s="17">
        <v>57</v>
      </c>
      <c r="C412" s="2" t="s">
        <v>899</v>
      </c>
      <c r="D412" s="2" t="s">
        <v>900</v>
      </c>
      <c r="E412" s="2" t="s">
        <v>57</v>
      </c>
      <c r="F412" s="3">
        <v>45500</v>
      </c>
      <c r="G412" s="2">
        <v>4</v>
      </c>
      <c r="H412" s="13">
        <v>770.61</v>
      </c>
      <c r="I412" s="4" t="s">
        <v>21</v>
      </c>
      <c r="J412" s="4" t="str" cm="1">
        <f t="array" ref="J412">_xlfn.IFS(Table3[[#This Row],[Age (Years)]] &lt; 40, "Young", Table3[[#This Row],[Age (Years)]] &gt;= 40, "Middle", Table3[[#This Row],[Age (Years)]] &gt; 60, "Senior")</f>
        <v>Middle</v>
      </c>
      <c r="K412" s="4" t="str" cm="1">
        <f t="array" ref="K412">_xlfn.IFS(Table3[[#This Row],[Drug_Cost_GBP]] &gt; 1200, "High Cost", Table3[[#This Row],[Drug_Cost_GBP]] &lt; 1200, "Normal")</f>
        <v>Normal</v>
      </c>
      <c r="L412" s="4" t="str" cm="1">
        <f t="array" ref="L412">IFERROR(_xlfn.IFS(Table3[[#This Row],[Age (Years)]]  &gt; 75, "YES", Table3[[#This Row],[Age (Years)]] &lt; 75, "NO"), "UNKNOWN")</f>
        <v>NO</v>
      </c>
      <c r="M412" s="4" t="str">
        <f>IF(Table3[[#This Row],[Drug_Cost_GBP]] &gt; Analysis_Sheet!$B$21, "Above Average", "Within Average")</f>
        <v>Within Average</v>
      </c>
      <c r="N412" s="39" t="str">
        <f t="shared" si="6"/>
        <v>July 2024</v>
      </c>
    </row>
    <row r="413" spans="1:14" x14ac:dyDescent="0.3">
      <c r="A413" s="1" t="s">
        <v>426</v>
      </c>
      <c r="B413" s="17">
        <v>57</v>
      </c>
      <c r="C413" s="2" t="s">
        <v>900</v>
      </c>
      <c r="D413" s="2" t="s">
        <v>25</v>
      </c>
      <c r="E413" s="2" t="s">
        <v>23</v>
      </c>
      <c r="F413" s="3" t="s">
        <v>900</v>
      </c>
      <c r="G413" s="2">
        <v>12</v>
      </c>
      <c r="H413" s="13">
        <v>1002.0675517241378</v>
      </c>
      <c r="I413" s="4" t="s">
        <v>900</v>
      </c>
      <c r="J413" s="8" t="str" cm="1">
        <f t="array" ref="J413">_xlfn.IFS(Table3[[#This Row],[Age (Years)]] &lt; 40, "Young", Table3[[#This Row],[Age (Years)]] &gt;= 40, "Middle", Table3[[#This Row],[Age (Years)]] &gt; 60, "Senior")</f>
        <v>Middle</v>
      </c>
      <c r="K413" s="8" t="str" cm="1">
        <f t="array" ref="K413">_xlfn.IFS(Table3[[#This Row],[Drug_Cost_GBP]] &gt; 1200, "High Cost", Table3[[#This Row],[Drug_Cost_GBP]] &lt; 1200, "Normal")</f>
        <v>Normal</v>
      </c>
      <c r="L413" s="8" t="str" cm="1">
        <f t="array" ref="L413">IFERROR(_xlfn.IFS(Table3[[#This Row],[Age (Years)]]  &gt; 75, "YES", Table3[[#This Row],[Age (Years)]] &lt; 75, "NO"), "UNKNOWN")</f>
        <v>NO</v>
      </c>
      <c r="M413" s="8" t="str">
        <f>IF(Table3[[#This Row],[Drug_Cost_GBP]] &gt; Analysis_Sheet!$B$21, "Above Average", "Within Average")</f>
        <v>Within Average</v>
      </c>
      <c r="N413" s="39" t="str">
        <f t="shared" si="6"/>
        <v>Unknown</v>
      </c>
    </row>
    <row r="414" spans="1:14" x14ac:dyDescent="0.3">
      <c r="A414" s="5" t="s">
        <v>427</v>
      </c>
      <c r="B414" s="18">
        <v>57</v>
      </c>
      <c r="C414" s="6" t="s">
        <v>900</v>
      </c>
      <c r="D414" s="6" t="s">
        <v>898</v>
      </c>
      <c r="E414" s="6" t="s">
        <v>34</v>
      </c>
      <c r="F414" s="7">
        <v>45620</v>
      </c>
      <c r="G414" s="6">
        <v>11</v>
      </c>
      <c r="H414" s="14">
        <v>1920.08</v>
      </c>
      <c r="I414" s="8" t="s">
        <v>21</v>
      </c>
      <c r="J414" s="4" t="str" cm="1">
        <f t="array" ref="J414">_xlfn.IFS(Table3[[#This Row],[Age (Years)]] &lt; 40, "Young", Table3[[#This Row],[Age (Years)]] &gt;= 40, "Middle", Table3[[#This Row],[Age (Years)]] &gt; 60, "Senior")</f>
        <v>Middle</v>
      </c>
      <c r="K414" s="4" t="str" cm="1">
        <f t="array" ref="K414">_xlfn.IFS(Table3[[#This Row],[Drug_Cost_GBP]] &gt; 1200, "High Cost", Table3[[#This Row],[Drug_Cost_GBP]] &lt; 1200, "Normal")</f>
        <v>High Cost</v>
      </c>
      <c r="L414" s="4" t="str" cm="1">
        <f t="array" ref="L414">IFERROR(_xlfn.IFS(Table3[[#This Row],[Age (Years)]]  &gt; 75, "YES", Table3[[#This Row],[Age (Years)]] &lt; 75, "NO"), "UNKNOWN")</f>
        <v>NO</v>
      </c>
      <c r="M414" s="4" t="str">
        <f>IF(Table3[[#This Row],[Drug_Cost_GBP]] &gt; Analysis_Sheet!$B$21, "Above Average", "Within Average")</f>
        <v>Above Average</v>
      </c>
      <c r="N414" s="39" t="str">
        <f t="shared" si="6"/>
        <v>November 2024</v>
      </c>
    </row>
    <row r="415" spans="1:14" x14ac:dyDescent="0.3">
      <c r="A415" s="1" t="s">
        <v>428</v>
      </c>
      <c r="B415" s="17">
        <v>57</v>
      </c>
      <c r="C415" s="2" t="s">
        <v>899</v>
      </c>
      <c r="D415" s="2" t="s">
        <v>51</v>
      </c>
      <c r="E415" s="2" t="s">
        <v>34</v>
      </c>
      <c r="F415" s="3">
        <v>45332</v>
      </c>
      <c r="G415" s="2">
        <v>4</v>
      </c>
      <c r="H415" s="13">
        <v>1002.0675517241378</v>
      </c>
      <c r="I415" s="4" t="s">
        <v>12</v>
      </c>
      <c r="J415" s="4" t="str" cm="1">
        <f t="array" ref="J415">_xlfn.IFS(Table3[[#This Row],[Age (Years)]] &lt; 40, "Young", Table3[[#This Row],[Age (Years)]] &gt;= 40, "Middle", Table3[[#This Row],[Age (Years)]] &gt; 60, "Senior")</f>
        <v>Middle</v>
      </c>
      <c r="K415" s="4" t="str" cm="1">
        <f t="array" ref="K415">_xlfn.IFS(Table3[[#This Row],[Drug_Cost_GBP]] &gt; 1200, "High Cost", Table3[[#This Row],[Drug_Cost_GBP]] &lt; 1200, "Normal")</f>
        <v>Normal</v>
      </c>
      <c r="L415" s="4" t="str" cm="1">
        <f t="array" ref="L415">IFERROR(_xlfn.IFS(Table3[[#This Row],[Age (Years)]]  &gt; 75, "YES", Table3[[#This Row],[Age (Years)]] &lt; 75, "NO"), "UNKNOWN")</f>
        <v>NO</v>
      </c>
      <c r="M415" s="4" t="str">
        <f>IF(Table3[[#This Row],[Drug_Cost_GBP]] &gt; Analysis_Sheet!$B$21, "Above Average", "Within Average")</f>
        <v>Within Average</v>
      </c>
      <c r="N415" s="39" t="str">
        <f t="shared" si="6"/>
        <v>February 2024</v>
      </c>
    </row>
    <row r="416" spans="1:14" x14ac:dyDescent="0.3">
      <c r="A416" s="1" t="s">
        <v>430</v>
      </c>
      <c r="B416" s="17">
        <v>57</v>
      </c>
      <c r="C416" s="2" t="s">
        <v>900</v>
      </c>
      <c r="D416" s="2" t="s">
        <v>14</v>
      </c>
      <c r="E416" s="2" t="s">
        <v>23</v>
      </c>
      <c r="F416" s="3">
        <v>45634</v>
      </c>
      <c r="G416" s="2">
        <v>13</v>
      </c>
      <c r="H416" s="13">
        <v>1542.16</v>
      </c>
      <c r="I416" s="4" t="s">
        <v>21</v>
      </c>
      <c r="J416" s="4" t="str" cm="1">
        <f t="array" ref="J416">_xlfn.IFS(Table3[[#This Row],[Age (Years)]] &lt; 40, "Young", Table3[[#This Row],[Age (Years)]] &gt;= 40, "Middle", Table3[[#This Row],[Age (Years)]] &gt; 60, "Senior")</f>
        <v>Middle</v>
      </c>
      <c r="K416" s="4" t="str" cm="1">
        <f t="array" ref="K416">_xlfn.IFS(Table3[[#This Row],[Drug_Cost_GBP]] &gt; 1200, "High Cost", Table3[[#This Row],[Drug_Cost_GBP]] &lt; 1200, "Normal")</f>
        <v>High Cost</v>
      </c>
      <c r="L416" s="4" t="str" cm="1">
        <f t="array" ref="L416">IFERROR(_xlfn.IFS(Table3[[#This Row],[Age (Years)]]  &gt; 75, "YES", Table3[[#This Row],[Age (Years)]] &lt; 75, "NO"), "UNKNOWN")</f>
        <v>NO</v>
      </c>
      <c r="M416" s="4" t="str">
        <f>IF(Table3[[#This Row],[Drug_Cost_GBP]] &gt; Analysis_Sheet!$B$21, "Above Average", "Within Average")</f>
        <v>Above Average</v>
      </c>
      <c r="N416" s="39" t="str">
        <f t="shared" si="6"/>
        <v>December 2024</v>
      </c>
    </row>
    <row r="417" spans="1:14" x14ac:dyDescent="0.3">
      <c r="A417" s="1" t="s">
        <v>432</v>
      </c>
      <c r="B417" s="17">
        <v>57</v>
      </c>
      <c r="C417" s="2" t="s">
        <v>900</v>
      </c>
      <c r="D417" s="2" t="s">
        <v>898</v>
      </c>
      <c r="E417" s="2" t="s">
        <v>23</v>
      </c>
      <c r="F417" s="3">
        <v>45299</v>
      </c>
      <c r="G417" s="2">
        <v>12</v>
      </c>
      <c r="H417" s="13">
        <v>1002.0675517241378</v>
      </c>
      <c r="I417" s="4" t="s">
        <v>900</v>
      </c>
      <c r="J417" s="8" t="str" cm="1">
        <f t="array" ref="J417">_xlfn.IFS(Table3[[#This Row],[Age (Years)]] &lt; 40, "Young", Table3[[#This Row],[Age (Years)]] &gt;= 40, "Middle", Table3[[#This Row],[Age (Years)]] &gt; 60, "Senior")</f>
        <v>Middle</v>
      </c>
      <c r="K417" s="8" t="str" cm="1">
        <f t="array" ref="K417">_xlfn.IFS(Table3[[#This Row],[Drug_Cost_GBP]] &gt; 1200, "High Cost", Table3[[#This Row],[Drug_Cost_GBP]] &lt; 1200, "Normal")</f>
        <v>Normal</v>
      </c>
      <c r="L417" s="8" t="str" cm="1">
        <f t="array" ref="L417">IFERROR(_xlfn.IFS(Table3[[#This Row],[Age (Years)]]  &gt; 75, "YES", Table3[[#This Row],[Age (Years)]] &lt; 75, "NO"), "UNKNOWN")</f>
        <v>NO</v>
      </c>
      <c r="M417" s="8" t="str">
        <f>IF(Table3[[#This Row],[Drug_Cost_GBP]] &gt; Analysis_Sheet!$B$21, "Above Average", "Within Average")</f>
        <v>Within Average</v>
      </c>
      <c r="N417" s="39" t="str">
        <f t="shared" si="6"/>
        <v>January 2024</v>
      </c>
    </row>
    <row r="418" spans="1:14" x14ac:dyDescent="0.3">
      <c r="A418" s="5" t="s">
        <v>433</v>
      </c>
      <c r="B418" s="18">
        <v>57</v>
      </c>
      <c r="C418" s="6" t="s">
        <v>38</v>
      </c>
      <c r="D418" s="6" t="s">
        <v>19</v>
      </c>
      <c r="E418" s="6" t="s">
        <v>43</v>
      </c>
      <c r="F418" s="7">
        <v>45626</v>
      </c>
      <c r="G418" s="6">
        <v>12</v>
      </c>
      <c r="H418" s="14">
        <v>1160.73</v>
      </c>
      <c r="I418" s="8" t="s">
        <v>26</v>
      </c>
      <c r="J418" s="4" t="str" cm="1">
        <f t="array" ref="J418">_xlfn.IFS(Table3[[#This Row],[Age (Years)]] &lt; 40, "Young", Table3[[#This Row],[Age (Years)]] &gt;= 40, "Middle", Table3[[#This Row],[Age (Years)]] &gt; 60, "Senior")</f>
        <v>Middle</v>
      </c>
      <c r="K418" s="4" t="str" cm="1">
        <f t="array" ref="K418">_xlfn.IFS(Table3[[#This Row],[Drug_Cost_GBP]] &gt; 1200, "High Cost", Table3[[#This Row],[Drug_Cost_GBP]] &lt; 1200, "Normal")</f>
        <v>Normal</v>
      </c>
      <c r="L418" s="4" t="str" cm="1">
        <f t="array" ref="L418">IFERROR(_xlfn.IFS(Table3[[#This Row],[Age (Years)]]  &gt; 75, "YES", Table3[[#This Row],[Age (Years)]] &lt; 75, "NO"), "UNKNOWN")</f>
        <v>NO</v>
      </c>
      <c r="M418" s="4" t="str">
        <f>IF(Table3[[#This Row],[Drug_Cost_GBP]] &gt; Analysis_Sheet!$B$21, "Above Average", "Within Average")</f>
        <v>Above Average</v>
      </c>
      <c r="N418" s="39" t="str">
        <f t="shared" si="6"/>
        <v>November 2024</v>
      </c>
    </row>
    <row r="419" spans="1:14" x14ac:dyDescent="0.3">
      <c r="A419" s="1" t="s">
        <v>434</v>
      </c>
      <c r="B419" s="17">
        <v>57</v>
      </c>
      <c r="C419" s="2" t="s">
        <v>899</v>
      </c>
      <c r="D419" s="2" t="s">
        <v>898</v>
      </c>
      <c r="E419" s="2" t="s">
        <v>34</v>
      </c>
      <c r="F419" s="3">
        <v>45406</v>
      </c>
      <c r="G419" s="2">
        <v>12</v>
      </c>
      <c r="H419" s="13">
        <v>220.65</v>
      </c>
      <c r="I419" s="4" t="s">
        <v>16</v>
      </c>
      <c r="J419" s="8" t="str" cm="1">
        <f t="array" ref="J419">_xlfn.IFS(Table3[[#This Row],[Age (Years)]] &lt; 40, "Young", Table3[[#This Row],[Age (Years)]] &gt;= 40, "Middle", Table3[[#This Row],[Age (Years)]] &gt; 60, "Senior")</f>
        <v>Middle</v>
      </c>
      <c r="K419" s="8" t="str" cm="1">
        <f t="array" ref="K419">_xlfn.IFS(Table3[[#This Row],[Drug_Cost_GBP]] &gt; 1200, "High Cost", Table3[[#This Row],[Drug_Cost_GBP]] &lt; 1200, "Normal")</f>
        <v>Normal</v>
      </c>
      <c r="L419" s="8" t="str" cm="1">
        <f t="array" ref="L419">IFERROR(_xlfn.IFS(Table3[[#This Row],[Age (Years)]]  &gt; 75, "YES", Table3[[#This Row],[Age (Years)]] &lt; 75, "NO"), "UNKNOWN")</f>
        <v>NO</v>
      </c>
      <c r="M419" s="8" t="str">
        <f>IF(Table3[[#This Row],[Drug_Cost_GBP]] &gt; Analysis_Sheet!$B$21, "Above Average", "Within Average")</f>
        <v>Within Average</v>
      </c>
      <c r="N419" s="39" t="str">
        <f t="shared" si="6"/>
        <v>April 2024</v>
      </c>
    </row>
    <row r="420" spans="1:14" x14ac:dyDescent="0.3">
      <c r="A420" s="5" t="s">
        <v>435</v>
      </c>
      <c r="B420" s="18">
        <v>57</v>
      </c>
      <c r="C420" s="6" t="s">
        <v>899</v>
      </c>
      <c r="D420" s="6" t="s">
        <v>900</v>
      </c>
      <c r="E420" s="6" t="s">
        <v>43</v>
      </c>
      <c r="F420" s="7">
        <v>45624</v>
      </c>
      <c r="G420" s="6">
        <v>12</v>
      </c>
      <c r="H420" s="14">
        <v>1002.0675517241378</v>
      </c>
      <c r="I420" s="8" t="s">
        <v>900</v>
      </c>
      <c r="J420" s="4" t="str" cm="1">
        <f t="array" ref="J420">_xlfn.IFS(Table3[[#This Row],[Age (Years)]] &lt; 40, "Young", Table3[[#This Row],[Age (Years)]] &gt;= 40, "Middle", Table3[[#This Row],[Age (Years)]] &gt; 60, "Senior")</f>
        <v>Middle</v>
      </c>
      <c r="K420" s="4" t="str" cm="1">
        <f t="array" ref="K420">_xlfn.IFS(Table3[[#This Row],[Drug_Cost_GBP]] &gt; 1200, "High Cost", Table3[[#This Row],[Drug_Cost_GBP]] &lt; 1200, "Normal")</f>
        <v>Normal</v>
      </c>
      <c r="L420" s="4" t="str" cm="1">
        <f t="array" ref="L420">IFERROR(_xlfn.IFS(Table3[[#This Row],[Age (Years)]]  &gt; 75, "YES", Table3[[#This Row],[Age (Years)]] &lt; 75, "NO"), "UNKNOWN")</f>
        <v>NO</v>
      </c>
      <c r="M420" s="4" t="str">
        <f>IF(Table3[[#This Row],[Drug_Cost_GBP]] &gt; Analysis_Sheet!$B$21, "Above Average", "Within Average")</f>
        <v>Within Average</v>
      </c>
      <c r="N420" s="39" t="str">
        <f t="shared" si="6"/>
        <v>November 2024</v>
      </c>
    </row>
    <row r="421" spans="1:14" x14ac:dyDescent="0.3">
      <c r="A421" s="1" t="s">
        <v>436</v>
      </c>
      <c r="B421" s="17">
        <v>57</v>
      </c>
      <c r="C421" s="2" t="s">
        <v>38</v>
      </c>
      <c r="D421" s="2" t="s">
        <v>51</v>
      </c>
      <c r="E421" s="2" t="s">
        <v>43</v>
      </c>
      <c r="F421" s="3" t="s">
        <v>900</v>
      </c>
      <c r="G421" s="2">
        <v>6</v>
      </c>
      <c r="H421" s="13">
        <v>1002.0675517241378</v>
      </c>
      <c r="I421" s="4" t="s">
        <v>16</v>
      </c>
      <c r="J421" s="8" t="str" cm="1">
        <f t="array" ref="J421">_xlfn.IFS(Table3[[#This Row],[Age (Years)]] &lt; 40, "Young", Table3[[#This Row],[Age (Years)]] &gt;= 40, "Middle", Table3[[#This Row],[Age (Years)]] &gt; 60, "Senior")</f>
        <v>Middle</v>
      </c>
      <c r="K421" s="8" t="str" cm="1">
        <f t="array" ref="K421">_xlfn.IFS(Table3[[#This Row],[Drug_Cost_GBP]] &gt; 1200, "High Cost", Table3[[#This Row],[Drug_Cost_GBP]] &lt; 1200, "Normal")</f>
        <v>Normal</v>
      </c>
      <c r="L421" s="8" t="str" cm="1">
        <f t="array" ref="L421">IFERROR(_xlfn.IFS(Table3[[#This Row],[Age (Years)]]  &gt; 75, "YES", Table3[[#This Row],[Age (Years)]] &lt; 75, "NO"), "UNKNOWN")</f>
        <v>NO</v>
      </c>
      <c r="M421" s="8" t="str">
        <f>IF(Table3[[#This Row],[Drug_Cost_GBP]] &gt; Analysis_Sheet!$B$21, "Above Average", "Within Average")</f>
        <v>Within Average</v>
      </c>
      <c r="N421" s="39" t="str">
        <f t="shared" si="6"/>
        <v>Unknown</v>
      </c>
    </row>
    <row r="422" spans="1:14" x14ac:dyDescent="0.3">
      <c r="A422" s="5" t="s">
        <v>437</v>
      </c>
      <c r="B422" s="18">
        <v>57</v>
      </c>
      <c r="C422" s="6" t="s">
        <v>899</v>
      </c>
      <c r="D422" s="6" t="s">
        <v>14</v>
      </c>
      <c r="E422" s="6" t="s">
        <v>29</v>
      </c>
      <c r="F422" s="7">
        <v>45628</v>
      </c>
      <c r="G422" s="6">
        <v>12</v>
      </c>
      <c r="H422" s="14">
        <v>1819.53</v>
      </c>
      <c r="I422" s="8" t="s">
        <v>900</v>
      </c>
      <c r="J422" s="4" t="str" cm="1">
        <f t="array" ref="J422">_xlfn.IFS(Table3[[#This Row],[Age (Years)]] &lt; 40, "Young", Table3[[#This Row],[Age (Years)]] &gt;= 40, "Middle", Table3[[#This Row],[Age (Years)]] &gt; 60, "Senior")</f>
        <v>Middle</v>
      </c>
      <c r="K422" s="4" t="str" cm="1">
        <f t="array" ref="K422">_xlfn.IFS(Table3[[#This Row],[Drug_Cost_GBP]] &gt; 1200, "High Cost", Table3[[#This Row],[Drug_Cost_GBP]] &lt; 1200, "Normal")</f>
        <v>High Cost</v>
      </c>
      <c r="L422" s="4" t="str" cm="1">
        <f t="array" ref="L422">IFERROR(_xlfn.IFS(Table3[[#This Row],[Age (Years)]]  &gt; 75, "YES", Table3[[#This Row],[Age (Years)]] &lt; 75, "NO"), "UNKNOWN")</f>
        <v>NO</v>
      </c>
      <c r="M422" s="4" t="str">
        <f>IF(Table3[[#This Row],[Drug_Cost_GBP]] &gt; Analysis_Sheet!$B$21, "Above Average", "Within Average")</f>
        <v>Above Average</v>
      </c>
      <c r="N422" s="39" t="str">
        <f t="shared" si="6"/>
        <v>December 2024</v>
      </c>
    </row>
    <row r="423" spans="1:14" x14ac:dyDescent="0.3">
      <c r="A423" s="1" t="s">
        <v>438</v>
      </c>
      <c r="B423" s="17">
        <v>57</v>
      </c>
      <c r="C423" s="2" t="s">
        <v>900</v>
      </c>
      <c r="D423" s="2" t="s">
        <v>14</v>
      </c>
      <c r="E423" s="2" t="s">
        <v>23</v>
      </c>
      <c r="F423" s="3" t="s">
        <v>900</v>
      </c>
      <c r="G423" s="2">
        <v>14</v>
      </c>
      <c r="H423" s="13">
        <v>1853.75</v>
      </c>
      <c r="I423" s="4" t="s">
        <v>21</v>
      </c>
      <c r="J423" s="8" t="str" cm="1">
        <f t="array" ref="J423">_xlfn.IFS(Table3[[#This Row],[Age (Years)]] &lt; 40, "Young", Table3[[#This Row],[Age (Years)]] &gt;= 40, "Middle", Table3[[#This Row],[Age (Years)]] &gt; 60, "Senior")</f>
        <v>Middle</v>
      </c>
      <c r="K423" s="8" t="str" cm="1">
        <f t="array" ref="K423">_xlfn.IFS(Table3[[#This Row],[Drug_Cost_GBP]] &gt; 1200, "High Cost", Table3[[#This Row],[Drug_Cost_GBP]] &lt; 1200, "Normal")</f>
        <v>High Cost</v>
      </c>
      <c r="L423" s="8" t="str" cm="1">
        <f t="array" ref="L423">IFERROR(_xlfn.IFS(Table3[[#This Row],[Age (Years)]]  &gt; 75, "YES", Table3[[#This Row],[Age (Years)]] &lt; 75, "NO"), "UNKNOWN")</f>
        <v>NO</v>
      </c>
      <c r="M423" s="8" t="str">
        <f>IF(Table3[[#This Row],[Drug_Cost_GBP]] &gt; Analysis_Sheet!$B$21, "Above Average", "Within Average")</f>
        <v>Above Average</v>
      </c>
      <c r="N423" s="39" t="str">
        <f t="shared" si="6"/>
        <v>Unknown</v>
      </c>
    </row>
    <row r="424" spans="1:14" x14ac:dyDescent="0.3">
      <c r="A424" s="5" t="s">
        <v>439</v>
      </c>
      <c r="B424" s="18">
        <v>57</v>
      </c>
      <c r="C424" s="6" t="s">
        <v>899</v>
      </c>
      <c r="D424" s="6" t="s">
        <v>14</v>
      </c>
      <c r="E424" s="6" t="s">
        <v>43</v>
      </c>
      <c r="F424" s="7" t="s">
        <v>900</v>
      </c>
      <c r="G424" s="6">
        <v>14</v>
      </c>
      <c r="H424" s="14">
        <v>1002.0675517241378</v>
      </c>
      <c r="I424" s="8" t="s">
        <v>16</v>
      </c>
      <c r="J424" s="8" t="str" cm="1">
        <f t="array" ref="J424">_xlfn.IFS(Table3[[#This Row],[Age (Years)]] &lt; 40, "Young", Table3[[#This Row],[Age (Years)]] &gt;= 40, "Middle", Table3[[#This Row],[Age (Years)]] &gt; 60, "Senior")</f>
        <v>Middle</v>
      </c>
      <c r="K424" s="8" t="str" cm="1">
        <f t="array" ref="K424">_xlfn.IFS(Table3[[#This Row],[Drug_Cost_GBP]] &gt; 1200, "High Cost", Table3[[#This Row],[Drug_Cost_GBP]] &lt; 1200, "Normal")</f>
        <v>Normal</v>
      </c>
      <c r="L424" s="8" t="str" cm="1">
        <f t="array" ref="L424">IFERROR(_xlfn.IFS(Table3[[#This Row],[Age (Years)]]  &gt; 75, "YES", Table3[[#This Row],[Age (Years)]] &lt; 75, "NO"), "UNKNOWN")</f>
        <v>NO</v>
      </c>
      <c r="M424" s="8" t="str">
        <f>IF(Table3[[#This Row],[Drug_Cost_GBP]] &gt; Analysis_Sheet!$B$21, "Above Average", "Within Average")</f>
        <v>Within Average</v>
      </c>
      <c r="N424" s="39" t="str">
        <f t="shared" si="6"/>
        <v>Unknown</v>
      </c>
    </row>
    <row r="425" spans="1:14" x14ac:dyDescent="0.3">
      <c r="A425" s="5" t="s">
        <v>441</v>
      </c>
      <c r="B425" s="18">
        <v>57</v>
      </c>
      <c r="C425" s="6" t="s">
        <v>899</v>
      </c>
      <c r="D425" s="6" t="s">
        <v>900</v>
      </c>
      <c r="E425" s="6" t="s">
        <v>43</v>
      </c>
      <c r="F425" s="7">
        <v>45474</v>
      </c>
      <c r="G425" s="6">
        <v>3</v>
      </c>
      <c r="H425" s="14">
        <v>1002.0675517241378</v>
      </c>
      <c r="I425" s="8" t="s">
        <v>26</v>
      </c>
      <c r="J425" s="8" t="str" cm="1">
        <f t="array" ref="J425">_xlfn.IFS(Table3[[#This Row],[Age (Years)]] &lt; 40, "Young", Table3[[#This Row],[Age (Years)]] &gt;= 40, "Middle", Table3[[#This Row],[Age (Years)]] &gt; 60, "Senior")</f>
        <v>Middle</v>
      </c>
      <c r="K425" s="8" t="str" cm="1">
        <f t="array" ref="K425">_xlfn.IFS(Table3[[#This Row],[Drug_Cost_GBP]] &gt; 1200, "High Cost", Table3[[#This Row],[Drug_Cost_GBP]] &lt; 1200, "Normal")</f>
        <v>Normal</v>
      </c>
      <c r="L425" s="8" t="str" cm="1">
        <f t="array" ref="L425">IFERROR(_xlfn.IFS(Table3[[#This Row],[Age (Years)]]  &gt; 75, "YES", Table3[[#This Row],[Age (Years)]] &lt; 75, "NO"), "UNKNOWN")</f>
        <v>NO</v>
      </c>
      <c r="M425" s="8" t="str">
        <f>IF(Table3[[#This Row],[Drug_Cost_GBP]] &gt; Analysis_Sheet!$B$21, "Above Average", "Within Average")</f>
        <v>Within Average</v>
      </c>
      <c r="N425" s="39" t="str">
        <f t="shared" si="6"/>
        <v>July 2024</v>
      </c>
    </row>
    <row r="426" spans="1:14" x14ac:dyDescent="0.3">
      <c r="A426" s="5" t="s">
        <v>443</v>
      </c>
      <c r="B426" s="18">
        <v>57</v>
      </c>
      <c r="C426" s="6" t="s">
        <v>900</v>
      </c>
      <c r="D426" s="6" t="s">
        <v>25</v>
      </c>
      <c r="E426" s="6" t="s">
        <v>29</v>
      </c>
      <c r="F426" s="7">
        <v>45373</v>
      </c>
      <c r="G426" s="6">
        <v>12</v>
      </c>
      <c r="H426" s="14">
        <v>1002.0675517241378</v>
      </c>
      <c r="I426" s="8" t="s">
        <v>900</v>
      </c>
      <c r="J426" s="8" t="str" cm="1">
        <f t="array" ref="J426">_xlfn.IFS(Table3[[#This Row],[Age (Years)]] &lt; 40, "Young", Table3[[#This Row],[Age (Years)]] &gt;= 40, "Middle", Table3[[#This Row],[Age (Years)]] &gt; 60, "Senior")</f>
        <v>Middle</v>
      </c>
      <c r="K426" s="8" t="str" cm="1">
        <f t="array" ref="K426">_xlfn.IFS(Table3[[#This Row],[Drug_Cost_GBP]] &gt; 1200, "High Cost", Table3[[#This Row],[Drug_Cost_GBP]] &lt; 1200, "Normal")</f>
        <v>Normal</v>
      </c>
      <c r="L426" s="8" t="str" cm="1">
        <f t="array" ref="L426">IFERROR(_xlfn.IFS(Table3[[#This Row],[Age (Years)]]  &gt; 75, "YES", Table3[[#This Row],[Age (Years)]] &lt; 75, "NO"), "UNKNOWN")</f>
        <v>NO</v>
      </c>
      <c r="M426" s="8" t="str">
        <f>IF(Table3[[#This Row],[Drug_Cost_GBP]] &gt; Analysis_Sheet!$B$21, "Above Average", "Within Average")</f>
        <v>Within Average</v>
      </c>
      <c r="N426" s="39" t="str">
        <f t="shared" si="6"/>
        <v>March 2024</v>
      </c>
    </row>
    <row r="427" spans="1:14" x14ac:dyDescent="0.3">
      <c r="A427" s="5" t="s">
        <v>445</v>
      </c>
      <c r="B427" s="18">
        <v>57</v>
      </c>
      <c r="C427" s="6" t="s">
        <v>38</v>
      </c>
      <c r="D427" s="6" t="s">
        <v>10</v>
      </c>
      <c r="E427" s="6" t="s">
        <v>29</v>
      </c>
      <c r="F427" s="7">
        <v>45440</v>
      </c>
      <c r="G427" s="6">
        <v>12</v>
      </c>
      <c r="H427" s="14">
        <v>1002.0675517241378</v>
      </c>
      <c r="I427" s="8" t="s">
        <v>900</v>
      </c>
      <c r="J427" s="4" t="str" cm="1">
        <f t="array" ref="J427">_xlfn.IFS(Table3[[#This Row],[Age (Years)]] &lt; 40, "Young", Table3[[#This Row],[Age (Years)]] &gt;= 40, "Middle", Table3[[#This Row],[Age (Years)]] &gt; 60, "Senior")</f>
        <v>Middle</v>
      </c>
      <c r="K427" s="4" t="str" cm="1">
        <f t="array" ref="K427">_xlfn.IFS(Table3[[#This Row],[Drug_Cost_GBP]] &gt; 1200, "High Cost", Table3[[#This Row],[Drug_Cost_GBP]] &lt; 1200, "Normal")</f>
        <v>Normal</v>
      </c>
      <c r="L427" s="4" t="str" cm="1">
        <f t="array" ref="L427">IFERROR(_xlfn.IFS(Table3[[#This Row],[Age (Years)]]  &gt; 75, "YES", Table3[[#This Row],[Age (Years)]] &lt; 75, "NO"), "UNKNOWN")</f>
        <v>NO</v>
      </c>
      <c r="M427" s="4" t="str">
        <f>IF(Table3[[#This Row],[Drug_Cost_GBP]] &gt; Analysis_Sheet!$B$21, "Above Average", "Within Average")</f>
        <v>Within Average</v>
      </c>
      <c r="N427" s="39" t="str">
        <f t="shared" si="6"/>
        <v>May 2024</v>
      </c>
    </row>
    <row r="428" spans="1:14" x14ac:dyDescent="0.3">
      <c r="A428" s="1" t="s">
        <v>446</v>
      </c>
      <c r="B428" s="17">
        <v>57</v>
      </c>
      <c r="C428" s="2" t="s">
        <v>900</v>
      </c>
      <c r="D428" s="2" t="s">
        <v>898</v>
      </c>
      <c r="E428" s="2" t="s">
        <v>11</v>
      </c>
      <c r="F428" s="3" t="s">
        <v>900</v>
      </c>
      <c r="G428" s="2">
        <v>12</v>
      </c>
      <c r="H428" s="13">
        <v>1002.0675517241378</v>
      </c>
      <c r="I428" s="4" t="s">
        <v>26</v>
      </c>
      <c r="J428" s="8" t="str" cm="1">
        <f t="array" ref="J428">_xlfn.IFS(Table3[[#This Row],[Age (Years)]] &lt; 40, "Young", Table3[[#This Row],[Age (Years)]] &gt;= 40, "Middle", Table3[[#This Row],[Age (Years)]] &gt; 60, "Senior")</f>
        <v>Middle</v>
      </c>
      <c r="K428" s="8" t="str" cm="1">
        <f t="array" ref="K428">_xlfn.IFS(Table3[[#This Row],[Drug_Cost_GBP]] &gt; 1200, "High Cost", Table3[[#This Row],[Drug_Cost_GBP]] &lt; 1200, "Normal")</f>
        <v>Normal</v>
      </c>
      <c r="L428" s="8" t="str" cm="1">
        <f t="array" ref="L428">IFERROR(_xlfn.IFS(Table3[[#This Row],[Age (Years)]]  &gt; 75, "YES", Table3[[#This Row],[Age (Years)]] &lt; 75, "NO"), "UNKNOWN")</f>
        <v>NO</v>
      </c>
      <c r="M428" s="8" t="str">
        <f>IF(Table3[[#This Row],[Drug_Cost_GBP]] &gt; Analysis_Sheet!$B$21, "Above Average", "Within Average")</f>
        <v>Within Average</v>
      </c>
      <c r="N428" s="39" t="str">
        <f t="shared" si="6"/>
        <v>Unknown</v>
      </c>
    </row>
    <row r="429" spans="1:14" x14ac:dyDescent="0.3">
      <c r="A429" s="5" t="s">
        <v>447</v>
      </c>
      <c r="B429" s="18">
        <v>57</v>
      </c>
      <c r="C429" s="6" t="s">
        <v>900</v>
      </c>
      <c r="D429" s="6" t="s">
        <v>14</v>
      </c>
      <c r="E429" s="6" t="s">
        <v>34</v>
      </c>
      <c r="F429" s="7">
        <v>45392</v>
      </c>
      <c r="G429" s="6">
        <v>19</v>
      </c>
      <c r="H429" s="14">
        <v>1002.0675517241378</v>
      </c>
      <c r="I429" s="8" t="s">
        <v>12</v>
      </c>
      <c r="J429" s="4" t="str" cm="1">
        <f t="array" ref="J429">_xlfn.IFS(Table3[[#This Row],[Age (Years)]] &lt; 40, "Young", Table3[[#This Row],[Age (Years)]] &gt;= 40, "Middle", Table3[[#This Row],[Age (Years)]] &gt; 60, "Senior")</f>
        <v>Middle</v>
      </c>
      <c r="K429" s="4" t="str" cm="1">
        <f t="array" ref="K429">_xlfn.IFS(Table3[[#This Row],[Drug_Cost_GBP]] &gt; 1200, "High Cost", Table3[[#This Row],[Drug_Cost_GBP]] &lt; 1200, "Normal")</f>
        <v>Normal</v>
      </c>
      <c r="L429" s="4" t="str" cm="1">
        <f t="array" ref="L429">IFERROR(_xlfn.IFS(Table3[[#This Row],[Age (Years)]]  &gt; 75, "YES", Table3[[#This Row],[Age (Years)]] &lt; 75, "NO"), "UNKNOWN")</f>
        <v>NO</v>
      </c>
      <c r="M429" s="4" t="str">
        <f>IF(Table3[[#This Row],[Drug_Cost_GBP]] &gt; Analysis_Sheet!$B$21, "Above Average", "Within Average")</f>
        <v>Within Average</v>
      </c>
      <c r="N429" s="39" t="str">
        <f t="shared" si="6"/>
        <v>April 2024</v>
      </c>
    </row>
    <row r="430" spans="1:14" x14ac:dyDescent="0.3">
      <c r="A430" s="1" t="s">
        <v>448</v>
      </c>
      <c r="B430" s="17">
        <v>57</v>
      </c>
      <c r="C430" s="2" t="s">
        <v>900</v>
      </c>
      <c r="D430" s="2" t="s">
        <v>900</v>
      </c>
      <c r="E430" s="2" t="s">
        <v>34</v>
      </c>
      <c r="F430" s="3">
        <v>45467</v>
      </c>
      <c r="G430" s="2">
        <v>12</v>
      </c>
      <c r="H430" s="13">
        <v>1002.0675517241378</v>
      </c>
      <c r="I430" s="4" t="s">
        <v>21</v>
      </c>
      <c r="J430" s="8" t="str" cm="1">
        <f t="array" ref="J430">_xlfn.IFS(Table3[[#This Row],[Age (Years)]] &lt; 40, "Young", Table3[[#This Row],[Age (Years)]] &gt;= 40, "Middle", Table3[[#This Row],[Age (Years)]] &gt; 60, "Senior")</f>
        <v>Middle</v>
      </c>
      <c r="K430" s="8" t="str" cm="1">
        <f t="array" ref="K430">_xlfn.IFS(Table3[[#This Row],[Drug_Cost_GBP]] &gt; 1200, "High Cost", Table3[[#This Row],[Drug_Cost_GBP]] &lt; 1200, "Normal")</f>
        <v>Normal</v>
      </c>
      <c r="L430" s="8" t="str" cm="1">
        <f t="array" ref="L430">IFERROR(_xlfn.IFS(Table3[[#This Row],[Age (Years)]]  &gt; 75, "YES", Table3[[#This Row],[Age (Years)]] &lt; 75, "NO"), "UNKNOWN")</f>
        <v>NO</v>
      </c>
      <c r="M430" s="8" t="str">
        <f>IF(Table3[[#This Row],[Drug_Cost_GBP]] &gt; Analysis_Sheet!$B$21, "Above Average", "Within Average")</f>
        <v>Within Average</v>
      </c>
      <c r="N430" s="39" t="str">
        <f t="shared" si="6"/>
        <v>June 2024</v>
      </c>
    </row>
    <row r="431" spans="1:14" x14ac:dyDescent="0.3">
      <c r="A431" s="5" t="s">
        <v>449</v>
      </c>
      <c r="B431" s="18">
        <v>57</v>
      </c>
      <c r="C431" s="6" t="s">
        <v>900</v>
      </c>
      <c r="D431" s="6" t="s">
        <v>48</v>
      </c>
      <c r="E431" s="6" t="s">
        <v>43</v>
      </c>
      <c r="F431" s="7">
        <v>45518</v>
      </c>
      <c r="G431" s="6">
        <v>18</v>
      </c>
      <c r="H431" s="14">
        <v>1002.0675517241378</v>
      </c>
      <c r="I431" s="8" t="s">
        <v>16</v>
      </c>
      <c r="J431" s="4" t="str" cm="1">
        <f t="array" ref="J431">_xlfn.IFS(Table3[[#This Row],[Age (Years)]] &lt; 40, "Young", Table3[[#This Row],[Age (Years)]] &gt;= 40, "Middle", Table3[[#This Row],[Age (Years)]] &gt; 60, "Senior")</f>
        <v>Middle</v>
      </c>
      <c r="K431" s="4" t="str" cm="1">
        <f t="array" ref="K431">_xlfn.IFS(Table3[[#This Row],[Drug_Cost_GBP]] &gt; 1200, "High Cost", Table3[[#This Row],[Drug_Cost_GBP]] &lt; 1200, "Normal")</f>
        <v>Normal</v>
      </c>
      <c r="L431" s="4" t="str" cm="1">
        <f t="array" ref="L431">IFERROR(_xlfn.IFS(Table3[[#This Row],[Age (Years)]]  &gt; 75, "YES", Table3[[#This Row],[Age (Years)]] &lt; 75, "NO"), "UNKNOWN")</f>
        <v>NO</v>
      </c>
      <c r="M431" s="4" t="str">
        <f>IF(Table3[[#This Row],[Drug_Cost_GBP]] &gt; Analysis_Sheet!$B$21, "Above Average", "Within Average")</f>
        <v>Within Average</v>
      </c>
      <c r="N431" s="39" t="str">
        <f t="shared" si="6"/>
        <v>August 2024</v>
      </c>
    </row>
    <row r="432" spans="1:14" x14ac:dyDescent="0.3">
      <c r="A432" s="1" t="s">
        <v>450</v>
      </c>
      <c r="B432" s="17">
        <v>57</v>
      </c>
      <c r="C432" s="2" t="s">
        <v>900</v>
      </c>
      <c r="D432" s="2" t="s">
        <v>48</v>
      </c>
      <c r="E432" s="2" t="s">
        <v>34</v>
      </c>
      <c r="F432" s="3">
        <v>45638</v>
      </c>
      <c r="G432" s="2">
        <v>12</v>
      </c>
      <c r="H432" s="13">
        <v>1002.0675517241378</v>
      </c>
      <c r="I432" s="4" t="s">
        <v>26</v>
      </c>
      <c r="J432" s="8" t="str" cm="1">
        <f t="array" ref="J432">_xlfn.IFS(Table3[[#This Row],[Age (Years)]] &lt; 40, "Young", Table3[[#This Row],[Age (Years)]] &gt;= 40, "Middle", Table3[[#This Row],[Age (Years)]] &gt; 60, "Senior")</f>
        <v>Middle</v>
      </c>
      <c r="K432" s="8" t="str" cm="1">
        <f t="array" ref="K432">_xlfn.IFS(Table3[[#This Row],[Drug_Cost_GBP]] &gt; 1200, "High Cost", Table3[[#This Row],[Drug_Cost_GBP]] &lt; 1200, "Normal")</f>
        <v>Normal</v>
      </c>
      <c r="L432" s="8" t="str" cm="1">
        <f t="array" ref="L432">IFERROR(_xlfn.IFS(Table3[[#This Row],[Age (Years)]]  &gt; 75, "YES", Table3[[#This Row],[Age (Years)]] &lt; 75, "NO"), "UNKNOWN")</f>
        <v>NO</v>
      </c>
      <c r="M432" s="8" t="str">
        <f>IF(Table3[[#This Row],[Drug_Cost_GBP]] &gt; Analysis_Sheet!$B$21, "Above Average", "Within Average")</f>
        <v>Within Average</v>
      </c>
      <c r="N432" s="39" t="str">
        <f t="shared" si="6"/>
        <v>December 2024</v>
      </c>
    </row>
    <row r="433" spans="1:14" x14ac:dyDescent="0.3">
      <c r="A433" s="5" t="s">
        <v>451</v>
      </c>
      <c r="B433" s="18">
        <v>57</v>
      </c>
      <c r="C433" s="6" t="s">
        <v>38</v>
      </c>
      <c r="D433" s="6" t="s">
        <v>48</v>
      </c>
      <c r="E433" s="6" t="s">
        <v>29</v>
      </c>
      <c r="F433" s="7">
        <v>45367</v>
      </c>
      <c r="G433" s="6">
        <v>12</v>
      </c>
      <c r="H433" s="14">
        <v>1002.0675517241378</v>
      </c>
      <c r="I433" s="8" t="s">
        <v>21</v>
      </c>
      <c r="J433" s="4" t="str" cm="1">
        <f t="array" ref="J433">_xlfn.IFS(Table3[[#This Row],[Age (Years)]] &lt; 40, "Young", Table3[[#This Row],[Age (Years)]] &gt;= 40, "Middle", Table3[[#This Row],[Age (Years)]] &gt; 60, "Senior")</f>
        <v>Middle</v>
      </c>
      <c r="K433" s="4" t="str" cm="1">
        <f t="array" ref="K433">_xlfn.IFS(Table3[[#This Row],[Drug_Cost_GBP]] &gt; 1200, "High Cost", Table3[[#This Row],[Drug_Cost_GBP]] &lt; 1200, "Normal")</f>
        <v>Normal</v>
      </c>
      <c r="L433" s="4" t="str" cm="1">
        <f t="array" ref="L433">IFERROR(_xlfn.IFS(Table3[[#This Row],[Age (Years)]]  &gt; 75, "YES", Table3[[#This Row],[Age (Years)]] &lt; 75, "NO"), "UNKNOWN")</f>
        <v>NO</v>
      </c>
      <c r="M433" s="4" t="str">
        <f>IF(Table3[[#This Row],[Drug_Cost_GBP]] &gt; Analysis_Sheet!$B$21, "Above Average", "Within Average")</f>
        <v>Within Average</v>
      </c>
      <c r="N433" s="39" t="str">
        <f t="shared" si="6"/>
        <v>March 2024</v>
      </c>
    </row>
    <row r="434" spans="1:14" x14ac:dyDescent="0.3">
      <c r="A434" s="1" t="s">
        <v>452</v>
      </c>
      <c r="B434" s="17">
        <v>57</v>
      </c>
      <c r="C434" s="2" t="s">
        <v>38</v>
      </c>
      <c r="D434" s="2" t="s">
        <v>10</v>
      </c>
      <c r="E434" s="2" t="s">
        <v>43</v>
      </c>
      <c r="F434" s="3">
        <v>45397</v>
      </c>
      <c r="G434" s="2">
        <v>12</v>
      </c>
      <c r="H434" s="13">
        <v>1002.0675517241378</v>
      </c>
      <c r="I434" s="4" t="s">
        <v>21</v>
      </c>
      <c r="J434" s="8" t="str" cm="1">
        <f t="array" ref="J434">_xlfn.IFS(Table3[[#This Row],[Age (Years)]] &lt; 40, "Young", Table3[[#This Row],[Age (Years)]] &gt;= 40, "Middle", Table3[[#This Row],[Age (Years)]] &gt; 60, "Senior")</f>
        <v>Middle</v>
      </c>
      <c r="K434" s="8" t="str" cm="1">
        <f t="array" ref="K434">_xlfn.IFS(Table3[[#This Row],[Drug_Cost_GBP]] &gt; 1200, "High Cost", Table3[[#This Row],[Drug_Cost_GBP]] &lt; 1200, "Normal")</f>
        <v>Normal</v>
      </c>
      <c r="L434" s="8" t="str" cm="1">
        <f t="array" ref="L434">IFERROR(_xlfn.IFS(Table3[[#This Row],[Age (Years)]]  &gt; 75, "YES", Table3[[#This Row],[Age (Years)]] &lt; 75, "NO"), "UNKNOWN")</f>
        <v>NO</v>
      </c>
      <c r="M434" s="8" t="str">
        <f>IF(Table3[[#This Row],[Drug_Cost_GBP]] &gt; Analysis_Sheet!$B$21, "Above Average", "Within Average")</f>
        <v>Within Average</v>
      </c>
      <c r="N434" s="39" t="str">
        <f t="shared" si="6"/>
        <v>April 2024</v>
      </c>
    </row>
    <row r="435" spans="1:14" x14ac:dyDescent="0.3">
      <c r="A435" s="5" t="s">
        <v>453</v>
      </c>
      <c r="B435" s="18">
        <v>57</v>
      </c>
      <c r="C435" s="6" t="s">
        <v>900</v>
      </c>
      <c r="D435" s="6" t="s">
        <v>900</v>
      </c>
      <c r="E435" s="6" t="s">
        <v>43</v>
      </c>
      <c r="F435" s="7">
        <v>45603</v>
      </c>
      <c r="G435" s="6">
        <v>12</v>
      </c>
      <c r="H435" s="14">
        <v>1002.0675517241378</v>
      </c>
      <c r="I435" s="8" t="s">
        <v>12</v>
      </c>
      <c r="J435" s="8" t="str" cm="1">
        <f t="array" ref="J435">_xlfn.IFS(Table3[[#This Row],[Age (Years)]] &lt; 40, "Young", Table3[[#This Row],[Age (Years)]] &gt;= 40, "Middle", Table3[[#This Row],[Age (Years)]] &gt; 60, "Senior")</f>
        <v>Middle</v>
      </c>
      <c r="K435" s="8" t="str" cm="1">
        <f t="array" ref="K435">_xlfn.IFS(Table3[[#This Row],[Drug_Cost_GBP]] &gt; 1200, "High Cost", Table3[[#This Row],[Drug_Cost_GBP]] &lt; 1200, "Normal")</f>
        <v>Normal</v>
      </c>
      <c r="L435" s="8" t="str" cm="1">
        <f t="array" ref="L435">IFERROR(_xlfn.IFS(Table3[[#This Row],[Age (Years)]]  &gt; 75, "YES", Table3[[#This Row],[Age (Years)]] &lt; 75, "NO"), "UNKNOWN")</f>
        <v>NO</v>
      </c>
      <c r="M435" s="8" t="str">
        <f>IF(Table3[[#This Row],[Drug_Cost_GBP]] &gt; Analysis_Sheet!$B$21, "Above Average", "Within Average")</f>
        <v>Within Average</v>
      </c>
      <c r="N435" s="39" t="str">
        <f t="shared" si="6"/>
        <v>November 2024</v>
      </c>
    </row>
    <row r="436" spans="1:14" x14ac:dyDescent="0.3">
      <c r="A436" s="5" t="s">
        <v>457</v>
      </c>
      <c r="B436" s="18">
        <v>57</v>
      </c>
      <c r="C436" s="6" t="s">
        <v>899</v>
      </c>
      <c r="D436" s="6" t="s">
        <v>10</v>
      </c>
      <c r="E436" s="6" t="s">
        <v>43</v>
      </c>
      <c r="F436" s="7">
        <v>45359</v>
      </c>
      <c r="G436" s="6">
        <v>16</v>
      </c>
      <c r="H436" s="14">
        <v>1886.07</v>
      </c>
      <c r="I436" s="8" t="s">
        <v>26</v>
      </c>
      <c r="J436" s="4" t="str" cm="1">
        <f t="array" ref="J436">_xlfn.IFS(Table3[[#This Row],[Age (Years)]] &lt; 40, "Young", Table3[[#This Row],[Age (Years)]] &gt;= 40, "Middle", Table3[[#This Row],[Age (Years)]] &gt; 60, "Senior")</f>
        <v>Middle</v>
      </c>
      <c r="K436" s="4" t="str" cm="1">
        <f t="array" ref="K436">_xlfn.IFS(Table3[[#This Row],[Drug_Cost_GBP]] &gt; 1200, "High Cost", Table3[[#This Row],[Drug_Cost_GBP]] &lt; 1200, "Normal")</f>
        <v>High Cost</v>
      </c>
      <c r="L436" s="4" t="str" cm="1">
        <f t="array" ref="L436">IFERROR(_xlfn.IFS(Table3[[#This Row],[Age (Years)]]  &gt; 75, "YES", Table3[[#This Row],[Age (Years)]] &lt; 75, "NO"), "UNKNOWN")</f>
        <v>NO</v>
      </c>
      <c r="M436" s="4" t="str">
        <f>IF(Table3[[#This Row],[Drug_Cost_GBP]] &gt; Analysis_Sheet!$B$21, "Above Average", "Within Average")</f>
        <v>Above Average</v>
      </c>
      <c r="N436" s="39" t="str">
        <f t="shared" si="6"/>
        <v>March 2024</v>
      </c>
    </row>
    <row r="437" spans="1:14" x14ac:dyDescent="0.3">
      <c r="A437" s="1" t="s">
        <v>458</v>
      </c>
      <c r="B437" s="17">
        <v>57</v>
      </c>
      <c r="C437" s="2" t="s">
        <v>38</v>
      </c>
      <c r="D437" s="2" t="s">
        <v>51</v>
      </c>
      <c r="E437" s="2" t="s">
        <v>23</v>
      </c>
      <c r="F437" s="3">
        <v>45326</v>
      </c>
      <c r="G437" s="2">
        <v>7</v>
      </c>
      <c r="H437" s="13">
        <v>1002.0675517241378</v>
      </c>
      <c r="I437" s="4" t="s">
        <v>26</v>
      </c>
      <c r="J437" s="4" t="str" cm="1">
        <f t="array" ref="J437">_xlfn.IFS(Table3[[#This Row],[Age (Years)]] &lt; 40, "Young", Table3[[#This Row],[Age (Years)]] &gt;= 40, "Middle", Table3[[#This Row],[Age (Years)]] &gt; 60, "Senior")</f>
        <v>Middle</v>
      </c>
      <c r="K437" s="4" t="str" cm="1">
        <f t="array" ref="K437">_xlfn.IFS(Table3[[#This Row],[Drug_Cost_GBP]] &gt; 1200, "High Cost", Table3[[#This Row],[Drug_Cost_GBP]] &lt; 1200, "Normal")</f>
        <v>Normal</v>
      </c>
      <c r="L437" s="4" t="str" cm="1">
        <f t="array" ref="L437">IFERROR(_xlfn.IFS(Table3[[#This Row],[Age (Years)]]  &gt; 75, "YES", Table3[[#This Row],[Age (Years)]] &lt; 75, "NO"), "UNKNOWN")</f>
        <v>NO</v>
      </c>
      <c r="M437" s="4" t="str">
        <f>IF(Table3[[#This Row],[Drug_Cost_GBP]] &gt; Analysis_Sheet!$B$21, "Above Average", "Within Average")</f>
        <v>Within Average</v>
      </c>
      <c r="N437" s="39" t="str">
        <f t="shared" si="6"/>
        <v>February 2024</v>
      </c>
    </row>
    <row r="438" spans="1:14" x14ac:dyDescent="0.3">
      <c r="A438" s="1" t="s">
        <v>460</v>
      </c>
      <c r="B438" s="17">
        <v>57</v>
      </c>
      <c r="C438" s="2" t="s">
        <v>899</v>
      </c>
      <c r="D438" s="2" t="s">
        <v>900</v>
      </c>
      <c r="E438" s="2" t="s">
        <v>23</v>
      </c>
      <c r="F438" s="3">
        <v>45628</v>
      </c>
      <c r="G438" s="2">
        <v>12</v>
      </c>
      <c r="H438" s="13">
        <v>1002.0675517241378</v>
      </c>
      <c r="I438" s="4" t="s">
        <v>12</v>
      </c>
      <c r="J438" s="8" t="str" cm="1">
        <f t="array" ref="J438">_xlfn.IFS(Table3[[#This Row],[Age (Years)]] &lt; 40, "Young", Table3[[#This Row],[Age (Years)]] &gt;= 40, "Middle", Table3[[#This Row],[Age (Years)]] &gt; 60, "Senior")</f>
        <v>Middle</v>
      </c>
      <c r="K438" s="8" t="str" cm="1">
        <f t="array" ref="K438">_xlfn.IFS(Table3[[#This Row],[Drug_Cost_GBP]] &gt; 1200, "High Cost", Table3[[#This Row],[Drug_Cost_GBP]] &lt; 1200, "Normal")</f>
        <v>Normal</v>
      </c>
      <c r="L438" s="8" t="str" cm="1">
        <f t="array" ref="L438">IFERROR(_xlfn.IFS(Table3[[#This Row],[Age (Years)]]  &gt; 75, "YES", Table3[[#This Row],[Age (Years)]] &lt; 75, "NO"), "UNKNOWN")</f>
        <v>NO</v>
      </c>
      <c r="M438" s="8" t="str">
        <f>IF(Table3[[#This Row],[Drug_Cost_GBP]] &gt; Analysis_Sheet!$B$21, "Above Average", "Within Average")</f>
        <v>Within Average</v>
      </c>
      <c r="N438" s="39" t="str">
        <f t="shared" si="6"/>
        <v>December 2024</v>
      </c>
    </row>
    <row r="439" spans="1:14" x14ac:dyDescent="0.3">
      <c r="A439" s="5" t="s">
        <v>461</v>
      </c>
      <c r="B439" s="18">
        <v>57</v>
      </c>
      <c r="C439" s="6" t="s">
        <v>38</v>
      </c>
      <c r="D439" s="6" t="s">
        <v>10</v>
      </c>
      <c r="E439" s="6" t="s">
        <v>11</v>
      </c>
      <c r="F439" s="7">
        <v>45457</v>
      </c>
      <c r="G439" s="6">
        <v>17</v>
      </c>
      <c r="H439" s="14">
        <v>1002.0675517241378</v>
      </c>
      <c r="I439" s="8" t="s">
        <v>16</v>
      </c>
      <c r="J439" s="8" t="str" cm="1">
        <f t="array" ref="J439">_xlfn.IFS(Table3[[#This Row],[Age (Years)]] &lt; 40, "Young", Table3[[#This Row],[Age (Years)]] &gt;= 40, "Middle", Table3[[#This Row],[Age (Years)]] &gt; 60, "Senior")</f>
        <v>Middle</v>
      </c>
      <c r="K439" s="8" t="str" cm="1">
        <f t="array" ref="K439">_xlfn.IFS(Table3[[#This Row],[Drug_Cost_GBP]] &gt; 1200, "High Cost", Table3[[#This Row],[Drug_Cost_GBP]] &lt; 1200, "Normal")</f>
        <v>Normal</v>
      </c>
      <c r="L439" s="8" t="str" cm="1">
        <f t="array" ref="L439">IFERROR(_xlfn.IFS(Table3[[#This Row],[Age (Years)]]  &gt; 75, "YES", Table3[[#This Row],[Age (Years)]] &lt; 75, "NO"), "UNKNOWN")</f>
        <v>NO</v>
      </c>
      <c r="M439" s="8" t="str">
        <f>IF(Table3[[#This Row],[Drug_Cost_GBP]] &gt; Analysis_Sheet!$B$21, "Above Average", "Within Average")</f>
        <v>Within Average</v>
      </c>
      <c r="N439" s="39" t="str">
        <f t="shared" si="6"/>
        <v>June 2024</v>
      </c>
    </row>
    <row r="440" spans="1:14" x14ac:dyDescent="0.3">
      <c r="A440" s="5" t="s">
        <v>463</v>
      </c>
      <c r="B440" s="18">
        <v>57</v>
      </c>
      <c r="C440" s="6" t="s">
        <v>900</v>
      </c>
      <c r="D440" s="6" t="s">
        <v>25</v>
      </c>
      <c r="E440" s="6" t="s">
        <v>43</v>
      </c>
      <c r="F440" s="7">
        <v>45564</v>
      </c>
      <c r="G440" s="6">
        <v>12</v>
      </c>
      <c r="H440" s="14">
        <v>1002.0675517241378</v>
      </c>
      <c r="I440" s="8" t="s">
        <v>21</v>
      </c>
      <c r="J440" s="4" t="str" cm="1">
        <f t="array" ref="J440">_xlfn.IFS(Table3[[#This Row],[Age (Years)]] &lt; 40, "Young", Table3[[#This Row],[Age (Years)]] &gt;= 40, "Middle", Table3[[#This Row],[Age (Years)]] &gt; 60, "Senior")</f>
        <v>Middle</v>
      </c>
      <c r="K440" s="4" t="str" cm="1">
        <f t="array" ref="K440">_xlfn.IFS(Table3[[#This Row],[Drug_Cost_GBP]] &gt; 1200, "High Cost", Table3[[#This Row],[Drug_Cost_GBP]] &lt; 1200, "Normal")</f>
        <v>Normal</v>
      </c>
      <c r="L440" s="4" t="str" cm="1">
        <f t="array" ref="L440">IFERROR(_xlfn.IFS(Table3[[#This Row],[Age (Years)]]  &gt; 75, "YES", Table3[[#This Row],[Age (Years)]] &lt; 75, "NO"), "UNKNOWN")</f>
        <v>NO</v>
      </c>
      <c r="M440" s="4" t="str">
        <f>IF(Table3[[#This Row],[Drug_Cost_GBP]] &gt; Analysis_Sheet!$B$21, "Above Average", "Within Average")</f>
        <v>Within Average</v>
      </c>
      <c r="N440" s="39" t="str">
        <f t="shared" si="6"/>
        <v>September 2024</v>
      </c>
    </row>
    <row r="441" spans="1:14" x14ac:dyDescent="0.3">
      <c r="A441" s="1" t="s">
        <v>464</v>
      </c>
      <c r="B441" s="17">
        <v>57</v>
      </c>
      <c r="C441" s="2" t="s">
        <v>38</v>
      </c>
      <c r="D441" s="2" t="s">
        <v>14</v>
      </c>
      <c r="E441" s="2" t="s">
        <v>23</v>
      </c>
      <c r="F441" s="3" t="s">
        <v>900</v>
      </c>
      <c r="G441" s="2">
        <v>12</v>
      </c>
      <c r="H441" s="13">
        <v>1002.0675517241378</v>
      </c>
      <c r="I441" s="4" t="s">
        <v>900</v>
      </c>
      <c r="J441" s="4" t="str" cm="1">
        <f t="array" ref="J441">_xlfn.IFS(Table3[[#This Row],[Age (Years)]] &lt; 40, "Young", Table3[[#This Row],[Age (Years)]] &gt;= 40, "Middle", Table3[[#This Row],[Age (Years)]] &gt; 60, "Senior")</f>
        <v>Middle</v>
      </c>
      <c r="K441" s="4" t="str" cm="1">
        <f t="array" ref="K441">_xlfn.IFS(Table3[[#This Row],[Drug_Cost_GBP]] &gt; 1200, "High Cost", Table3[[#This Row],[Drug_Cost_GBP]] &lt; 1200, "Normal")</f>
        <v>Normal</v>
      </c>
      <c r="L441" s="4" t="str" cm="1">
        <f t="array" ref="L441">IFERROR(_xlfn.IFS(Table3[[#This Row],[Age (Years)]]  &gt; 75, "YES", Table3[[#This Row],[Age (Years)]] &lt; 75, "NO"), "UNKNOWN")</f>
        <v>NO</v>
      </c>
      <c r="M441" s="4" t="str">
        <f>IF(Table3[[#This Row],[Drug_Cost_GBP]] &gt; Analysis_Sheet!$B$21, "Above Average", "Within Average")</f>
        <v>Within Average</v>
      </c>
      <c r="N441" s="39" t="str">
        <f t="shared" si="6"/>
        <v>Unknown</v>
      </c>
    </row>
    <row r="442" spans="1:14" x14ac:dyDescent="0.3">
      <c r="A442" s="1" t="s">
        <v>466</v>
      </c>
      <c r="B442" s="17">
        <v>57</v>
      </c>
      <c r="C442" s="2" t="s">
        <v>899</v>
      </c>
      <c r="D442" s="2" t="s">
        <v>48</v>
      </c>
      <c r="E442" s="2" t="s">
        <v>23</v>
      </c>
      <c r="F442" s="3">
        <v>45353</v>
      </c>
      <c r="G442" s="2">
        <v>12</v>
      </c>
      <c r="H442" s="13">
        <v>1002.0675517241378</v>
      </c>
      <c r="I442" s="4" t="s">
        <v>900</v>
      </c>
      <c r="J442" s="8" t="str" cm="1">
        <f t="array" ref="J442">_xlfn.IFS(Table3[[#This Row],[Age (Years)]] &lt; 40, "Young", Table3[[#This Row],[Age (Years)]] &gt;= 40, "Middle", Table3[[#This Row],[Age (Years)]] &gt; 60, "Senior")</f>
        <v>Middle</v>
      </c>
      <c r="K442" s="8" t="str" cm="1">
        <f t="array" ref="K442">_xlfn.IFS(Table3[[#This Row],[Drug_Cost_GBP]] &gt; 1200, "High Cost", Table3[[#This Row],[Drug_Cost_GBP]] &lt; 1200, "Normal")</f>
        <v>Normal</v>
      </c>
      <c r="L442" s="8" t="str" cm="1">
        <f t="array" ref="L442">IFERROR(_xlfn.IFS(Table3[[#This Row],[Age (Years)]]  &gt; 75, "YES", Table3[[#This Row],[Age (Years)]] &lt; 75, "NO"), "UNKNOWN")</f>
        <v>NO</v>
      </c>
      <c r="M442" s="8" t="str">
        <f>IF(Table3[[#This Row],[Drug_Cost_GBP]] &gt; Analysis_Sheet!$B$21, "Above Average", "Within Average")</f>
        <v>Within Average</v>
      </c>
      <c r="N442" s="39" t="str">
        <f t="shared" si="6"/>
        <v>March 2024</v>
      </c>
    </row>
    <row r="443" spans="1:14" x14ac:dyDescent="0.3">
      <c r="A443" s="5" t="s">
        <v>467</v>
      </c>
      <c r="B443" s="18">
        <v>57</v>
      </c>
      <c r="C443" s="6" t="s">
        <v>899</v>
      </c>
      <c r="D443" s="6" t="s">
        <v>898</v>
      </c>
      <c r="E443" s="6" t="s">
        <v>23</v>
      </c>
      <c r="F443" s="7">
        <v>45478</v>
      </c>
      <c r="G443" s="6">
        <v>12</v>
      </c>
      <c r="H443" s="14">
        <v>1002.0675517241378</v>
      </c>
      <c r="I443" s="8" t="s">
        <v>26</v>
      </c>
      <c r="J443" s="4" t="str" cm="1">
        <f t="array" ref="J443">_xlfn.IFS(Table3[[#This Row],[Age (Years)]] &lt; 40, "Young", Table3[[#This Row],[Age (Years)]] &gt;= 40, "Middle", Table3[[#This Row],[Age (Years)]] &gt; 60, "Senior")</f>
        <v>Middle</v>
      </c>
      <c r="K443" s="4" t="str" cm="1">
        <f t="array" ref="K443">_xlfn.IFS(Table3[[#This Row],[Drug_Cost_GBP]] &gt; 1200, "High Cost", Table3[[#This Row],[Drug_Cost_GBP]] &lt; 1200, "Normal")</f>
        <v>Normal</v>
      </c>
      <c r="L443" s="4" t="str" cm="1">
        <f t="array" ref="L443">IFERROR(_xlfn.IFS(Table3[[#This Row],[Age (Years)]]  &gt; 75, "YES", Table3[[#This Row],[Age (Years)]] &lt; 75, "NO"), "UNKNOWN")</f>
        <v>NO</v>
      </c>
      <c r="M443" s="4" t="str">
        <f>IF(Table3[[#This Row],[Drug_Cost_GBP]] &gt; Analysis_Sheet!$B$21, "Above Average", "Within Average")</f>
        <v>Within Average</v>
      </c>
      <c r="N443" s="39" t="str">
        <f t="shared" si="6"/>
        <v>July 2024</v>
      </c>
    </row>
    <row r="444" spans="1:14" x14ac:dyDescent="0.3">
      <c r="A444" s="1" t="s">
        <v>470</v>
      </c>
      <c r="B444" s="17">
        <v>57</v>
      </c>
      <c r="C444" s="2" t="s">
        <v>899</v>
      </c>
      <c r="D444" s="2" t="s">
        <v>14</v>
      </c>
      <c r="E444" s="2" t="s">
        <v>29</v>
      </c>
      <c r="F444" s="3">
        <v>45588</v>
      </c>
      <c r="G444" s="2">
        <v>12</v>
      </c>
      <c r="H444" s="13">
        <v>1002.0675517241378</v>
      </c>
      <c r="I444" s="4" t="s">
        <v>16</v>
      </c>
      <c r="J444" s="8" t="str" cm="1">
        <f t="array" ref="J444">_xlfn.IFS(Table3[[#This Row],[Age (Years)]] &lt; 40, "Young", Table3[[#This Row],[Age (Years)]] &gt;= 40, "Middle", Table3[[#This Row],[Age (Years)]] &gt; 60, "Senior")</f>
        <v>Middle</v>
      </c>
      <c r="K444" s="8" t="str" cm="1">
        <f t="array" ref="K444">_xlfn.IFS(Table3[[#This Row],[Drug_Cost_GBP]] &gt; 1200, "High Cost", Table3[[#This Row],[Drug_Cost_GBP]] &lt; 1200, "Normal")</f>
        <v>Normal</v>
      </c>
      <c r="L444" s="8" t="str" cm="1">
        <f t="array" ref="L444">IFERROR(_xlfn.IFS(Table3[[#This Row],[Age (Years)]]  &gt; 75, "YES", Table3[[#This Row],[Age (Years)]] &lt; 75, "NO"), "UNKNOWN")</f>
        <v>NO</v>
      </c>
      <c r="M444" s="8" t="str">
        <f>IF(Table3[[#This Row],[Drug_Cost_GBP]] &gt; Analysis_Sheet!$B$21, "Above Average", "Within Average")</f>
        <v>Within Average</v>
      </c>
      <c r="N444" s="39" t="str">
        <f t="shared" si="6"/>
        <v>October 2024</v>
      </c>
    </row>
    <row r="445" spans="1:14" x14ac:dyDescent="0.3">
      <c r="A445" s="5" t="s">
        <v>471</v>
      </c>
      <c r="B445" s="18">
        <v>57</v>
      </c>
      <c r="C445" s="6" t="s">
        <v>38</v>
      </c>
      <c r="D445" s="6" t="s">
        <v>48</v>
      </c>
      <c r="E445" s="6" t="s">
        <v>23</v>
      </c>
      <c r="F445" s="7">
        <v>45628</v>
      </c>
      <c r="G445" s="6">
        <v>5</v>
      </c>
      <c r="H445" s="14">
        <v>829.22</v>
      </c>
      <c r="I445" s="8" t="s">
        <v>16</v>
      </c>
      <c r="J445" s="4" t="str" cm="1">
        <f t="array" ref="J445">_xlfn.IFS(Table3[[#This Row],[Age (Years)]] &lt; 40, "Young", Table3[[#This Row],[Age (Years)]] &gt;= 40, "Middle", Table3[[#This Row],[Age (Years)]] &gt; 60, "Senior")</f>
        <v>Middle</v>
      </c>
      <c r="K445" s="4" t="str" cm="1">
        <f t="array" ref="K445">_xlfn.IFS(Table3[[#This Row],[Drug_Cost_GBP]] &gt; 1200, "High Cost", Table3[[#This Row],[Drug_Cost_GBP]] &lt; 1200, "Normal")</f>
        <v>Normal</v>
      </c>
      <c r="L445" s="4" t="str" cm="1">
        <f t="array" ref="L445">IFERROR(_xlfn.IFS(Table3[[#This Row],[Age (Years)]]  &gt; 75, "YES", Table3[[#This Row],[Age (Years)]] &lt; 75, "NO"), "UNKNOWN")</f>
        <v>NO</v>
      </c>
      <c r="M445" s="4" t="str">
        <f>IF(Table3[[#This Row],[Drug_Cost_GBP]] &gt; Analysis_Sheet!$B$21, "Above Average", "Within Average")</f>
        <v>Within Average</v>
      </c>
      <c r="N445" s="39" t="str">
        <f t="shared" si="6"/>
        <v>December 2024</v>
      </c>
    </row>
    <row r="446" spans="1:14" x14ac:dyDescent="0.3">
      <c r="A446" s="1" t="s">
        <v>472</v>
      </c>
      <c r="B446" s="17">
        <v>57</v>
      </c>
      <c r="C446" s="2" t="s">
        <v>38</v>
      </c>
      <c r="D446" s="2" t="s">
        <v>898</v>
      </c>
      <c r="E446" s="2" t="s">
        <v>11</v>
      </c>
      <c r="F446" s="3">
        <v>45377</v>
      </c>
      <c r="G446" s="2">
        <v>12</v>
      </c>
      <c r="H446" s="13">
        <v>1002.0675517241378</v>
      </c>
      <c r="I446" s="4" t="s">
        <v>26</v>
      </c>
      <c r="J446" s="4" t="str" cm="1">
        <f t="array" ref="J446">_xlfn.IFS(Table3[[#This Row],[Age (Years)]] &lt; 40, "Young", Table3[[#This Row],[Age (Years)]] &gt;= 40, "Middle", Table3[[#This Row],[Age (Years)]] &gt; 60, "Senior")</f>
        <v>Middle</v>
      </c>
      <c r="K446" s="4" t="str" cm="1">
        <f t="array" ref="K446">_xlfn.IFS(Table3[[#This Row],[Drug_Cost_GBP]] &gt; 1200, "High Cost", Table3[[#This Row],[Drug_Cost_GBP]] &lt; 1200, "Normal")</f>
        <v>Normal</v>
      </c>
      <c r="L446" s="4" t="str" cm="1">
        <f t="array" ref="L446">IFERROR(_xlfn.IFS(Table3[[#This Row],[Age (Years)]]  &gt; 75, "YES", Table3[[#This Row],[Age (Years)]] &lt; 75, "NO"), "UNKNOWN")</f>
        <v>NO</v>
      </c>
      <c r="M446" s="4" t="str">
        <f>IF(Table3[[#This Row],[Drug_Cost_GBP]] &gt; Analysis_Sheet!$B$21, "Above Average", "Within Average")</f>
        <v>Within Average</v>
      </c>
      <c r="N446" s="39" t="str">
        <f t="shared" si="6"/>
        <v>March 2024</v>
      </c>
    </row>
    <row r="447" spans="1:14" x14ac:dyDescent="0.3">
      <c r="A447" s="1" t="s">
        <v>474</v>
      </c>
      <c r="B447" s="17">
        <v>57</v>
      </c>
      <c r="C447" s="2" t="s">
        <v>38</v>
      </c>
      <c r="D447" s="2" t="s">
        <v>14</v>
      </c>
      <c r="E447" s="2" t="s">
        <v>29</v>
      </c>
      <c r="F447" s="3">
        <v>45512</v>
      </c>
      <c r="G447" s="2">
        <v>12</v>
      </c>
      <c r="H447" s="13">
        <v>200.8</v>
      </c>
      <c r="I447" s="4" t="s">
        <v>21</v>
      </c>
      <c r="J447" s="8" t="str" cm="1">
        <f t="array" ref="J447">_xlfn.IFS(Table3[[#This Row],[Age (Years)]] &lt; 40, "Young", Table3[[#This Row],[Age (Years)]] &gt;= 40, "Middle", Table3[[#This Row],[Age (Years)]] &gt; 60, "Senior")</f>
        <v>Middle</v>
      </c>
      <c r="K447" s="8" t="str" cm="1">
        <f t="array" ref="K447">_xlfn.IFS(Table3[[#This Row],[Drug_Cost_GBP]] &gt; 1200, "High Cost", Table3[[#This Row],[Drug_Cost_GBP]] &lt; 1200, "Normal")</f>
        <v>Normal</v>
      </c>
      <c r="L447" s="8" t="str" cm="1">
        <f t="array" ref="L447">IFERROR(_xlfn.IFS(Table3[[#This Row],[Age (Years)]]  &gt; 75, "YES", Table3[[#This Row],[Age (Years)]] &lt; 75, "NO"), "UNKNOWN")</f>
        <v>NO</v>
      </c>
      <c r="M447" s="8" t="str">
        <f>IF(Table3[[#This Row],[Drug_Cost_GBP]] &gt; Analysis_Sheet!$B$21, "Above Average", "Within Average")</f>
        <v>Within Average</v>
      </c>
      <c r="N447" s="39" t="str">
        <f t="shared" si="6"/>
        <v>August 2024</v>
      </c>
    </row>
    <row r="448" spans="1:14" x14ac:dyDescent="0.3">
      <c r="A448" s="5" t="s">
        <v>475</v>
      </c>
      <c r="B448" s="18">
        <v>57</v>
      </c>
      <c r="C448" s="6" t="s">
        <v>38</v>
      </c>
      <c r="D448" s="6" t="s">
        <v>51</v>
      </c>
      <c r="E448" s="6" t="s">
        <v>43</v>
      </c>
      <c r="F448" s="7">
        <v>45620</v>
      </c>
      <c r="G448" s="6">
        <v>12</v>
      </c>
      <c r="H448" s="14">
        <v>1002.0675517241378</v>
      </c>
      <c r="I448" s="8" t="s">
        <v>21</v>
      </c>
      <c r="J448" s="8" t="str" cm="1">
        <f t="array" ref="J448">_xlfn.IFS(Table3[[#This Row],[Age (Years)]] &lt; 40, "Young", Table3[[#This Row],[Age (Years)]] &gt;= 40, "Middle", Table3[[#This Row],[Age (Years)]] &gt; 60, "Senior")</f>
        <v>Middle</v>
      </c>
      <c r="K448" s="8" t="str" cm="1">
        <f t="array" ref="K448">_xlfn.IFS(Table3[[#This Row],[Drug_Cost_GBP]] &gt; 1200, "High Cost", Table3[[#This Row],[Drug_Cost_GBP]] &lt; 1200, "Normal")</f>
        <v>Normal</v>
      </c>
      <c r="L448" s="8" t="str" cm="1">
        <f t="array" ref="L448">IFERROR(_xlfn.IFS(Table3[[#This Row],[Age (Years)]]  &gt; 75, "YES", Table3[[#This Row],[Age (Years)]] &lt; 75, "NO"), "UNKNOWN")</f>
        <v>NO</v>
      </c>
      <c r="M448" s="8" t="str">
        <f>IF(Table3[[#This Row],[Drug_Cost_GBP]] &gt; Analysis_Sheet!$B$21, "Above Average", "Within Average")</f>
        <v>Within Average</v>
      </c>
      <c r="N448" s="39" t="str">
        <f t="shared" si="6"/>
        <v>November 2024</v>
      </c>
    </row>
    <row r="449" spans="1:14" x14ac:dyDescent="0.3">
      <c r="A449" s="5" t="s">
        <v>477</v>
      </c>
      <c r="B449" s="18">
        <v>57</v>
      </c>
      <c r="C449" s="6" t="s">
        <v>38</v>
      </c>
      <c r="D449" s="6" t="s">
        <v>898</v>
      </c>
      <c r="E449" s="6" t="s">
        <v>23</v>
      </c>
      <c r="F449" s="7" t="s">
        <v>900</v>
      </c>
      <c r="G449" s="6">
        <v>12</v>
      </c>
      <c r="H449" s="14">
        <v>450.24</v>
      </c>
      <c r="I449" s="8" t="s">
        <v>26</v>
      </c>
      <c r="J449" s="8" t="str" cm="1">
        <f t="array" ref="J449">_xlfn.IFS(Table3[[#This Row],[Age (Years)]] &lt; 40, "Young", Table3[[#This Row],[Age (Years)]] &gt;= 40, "Middle", Table3[[#This Row],[Age (Years)]] &gt; 60, "Senior")</f>
        <v>Middle</v>
      </c>
      <c r="K449" s="8" t="str" cm="1">
        <f t="array" ref="K449">_xlfn.IFS(Table3[[#This Row],[Drug_Cost_GBP]] &gt; 1200, "High Cost", Table3[[#This Row],[Drug_Cost_GBP]] &lt; 1200, "Normal")</f>
        <v>Normal</v>
      </c>
      <c r="L449" s="8" t="str" cm="1">
        <f t="array" ref="L449">IFERROR(_xlfn.IFS(Table3[[#This Row],[Age (Years)]]  &gt; 75, "YES", Table3[[#This Row],[Age (Years)]] &lt; 75, "NO"), "UNKNOWN")</f>
        <v>NO</v>
      </c>
      <c r="M449" s="8" t="str">
        <f>IF(Table3[[#This Row],[Drug_Cost_GBP]] &gt; Analysis_Sheet!$B$21, "Above Average", "Within Average")</f>
        <v>Within Average</v>
      </c>
      <c r="N449" s="39" t="str">
        <f t="shared" si="6"/>
        <v>Unknown</v>
      </c>
    </row>
    <row r="450" spans="1:14" x14ac:dyDescent="0.3">
      <c r="A450" s="5" t="s">
        <v>479</v>
      </c>
      <c r="B450" s="18">
        <v>57</v>
      </c>
      <c r="C450" s="6" t="s">
        <v>900</v>
      </c>
      <c r="D450" s="6" t="s">
        <v>900</v>
      </c>
      <c r="E450" s="6" t="s">
        <v>43</v>
      </c>
      <c r="F450" s="7">
        <v>45646</v>
      </c>
      <c r="G450" s="6">
        <v>12</v>
      </c>
      <c r="H450" s="14">
        <v>1002.0675517241378</v>
      </c>
      <c r="I450" s="8" t="s">
        <v>16</v>
      </c>
      <c r="J450" s="4" t="str" cm="1">
        <f t="array" ref="J450">_xlfn.IFS(Table3[[#This Row],[Age (Years)]] &lt; 40, "Young", Table3[[#This Row],[Age (Years)]] &gt;= 40, "Middle", Table3[[#This Row],[Age (Years)]] &gt; 60, "Senior")</f>
        <v>Middle</v>
      </c>
      <c r="K450" s="4" t="str" cm="1">
        <f t="array" ref="K450">_xlfn.IFS(Table3[[#This Row],[Drug_Cost_GBP]] &gt; 1200, "High Cost", Table3[[#This Row],[Drug_Cost_GBP]] &lt; 1200, "Normal")</f>
        <v>Normal</v>
      </c>
      <c r="L450" s="4" t="str" cm="1">
        <f t="array" ref="L450">IFERROR(_xlfn.IFS(Table3[[#This Row],[Age (Years)]]  &gt; 75, "YES", Table3[[#This Row],[Age (Years)]] &lt; 75, "NO"), "UNKNOWN")</f>
        <v>NO</v>
      </c>
      <c r="M450" s="4" t="str">
        <f>IF(Table3[[#This Row],[Drug_Cost_GBP]] &gt; Analysis_Sheet!$B$21, "Above Average", "Within Average")</f>
        <v>Within Average</v>
      </c>
      <c r="N450" s="39" t="str">
        <f t="shared" si="6"/>
        <v>December 2024</v>
      </c>
    </row>
    <row r="451" spans="1:14" x14ac:dyDescent="0.3">
      <c r="A451" s="1" t="s">
        <v>480</v>
      </c>
      <c r="B451" s="17">
        <v>57</v>
      </c>
      <c r="C451" s="2" t="s">
        <v>899</v>
      </c>
      <c r="D451" s="2" t="s">
        <v>14</v>
      </c>
      <c r="E451" s="2" t="s">
        <v>43</v>
      </c>
      <c r="F451" s="3">
        <v>45653</v>
      </c>
      <c r="G451" s="2">
        <v>12</v>
      </c>
      <c r="H451" s="13">
        <v>1002.0675517241378</v>
      </c>
      <c r="I451" s="4" t="s">
        <v>12</v>
      </c>
      <c r="J451" s="4" t="str" cm="1">
        <f t="array" ref="J451">_xlfn.IFS(Table3[[#This Row],[Age (Years)]] &lt; 40, "Young", Table3[[#This Row],[Age (Years)]] &gt;= 40, "Middle", Table3[[#This Row],[Age (Years)]] &gt; 60, "Senior")</f>
        <v>Middle</v>
      </c>
      <c r="K451" s="4" t="str" cm="1">
        <f t="array" ref="K451">_xlfn.IFS(Table3[[#This Row],[Drug_Cost_GBP]] &gt; 1200, "High Cost", Table3[[#This Row],[Drug_Cost_GBP]] &lt; 1200, "Normal")</f>
        <v>Normal</v>
      </c>
      <c r="L451" s="4" t="str" cm="1">
        <f t="array" ref="L451">IFERROR(_xlfn.IFS(Table3[[#This Row],[Age (Years)]]  &gt; 75, "YES", Table3[[#This Row],[Age (Years)]] &lt; 75, "NO"), "UNKNOWN")</f>
        <v>NO</v>
      </c>
      <c r="M451" s="4" t="str">
        <f>IF(Table3[[#This Row],[Drug_Cost_GBP]] &gt; Analysis_Sheet!$B$21, "Above Average", "Within Average")</f>
        <v>Within Average</v>
      </c>
      <c r="N451" s="39" t="str">
        <f t="shared" ref="N451:N514" si="7">IF(ISNUMBER(F451),TEXT(F451,"MMMM YYYY"),"Unknown")</f>
        <v>December 2024</v>
      </c>
    </row>
    <row r="452" spans="1:14" x14ac:dyDescent="0.3">
      <c r="A452" s="1" t="s">
        <v>482</v>
      </c>
      <c r="B452" s="17">
        <v>57</v>
      </c>
      <c r="C452" s="2" t="s">
        <v>38</v>
      </c>
      <c r="D452" s="2" t="s">
        <v>25</v>
      </c>
      <c r="E452" s="2" t="s">
        <v>57</v>
      </c>
      <c r="F452" s="3">
        <v>45483</v>
      </c>
      <c r="G452" s="2">
        <v>12</v>
      </c>
      <c r="H452" s="13">
        <v>1002.0675517241378</v>
      </c>
      <c r="I452" s="4" t="s">
        <v>16</v>
      </c>
      <c r="J452" s="4" t="str" cm="1">
        <f t="array" ref="J452">_xlfn.IFS(Table3[[#This Row],[Age (Years)]] &lt; 40, "Young", Table3[[#This Row],[Age (Years)]] &gt;= 40, "Middle", Table3[[#This Row],[Age (Years)]] &gt; 60, "Senior")</f>
        <v>Middle</v>
      </c>
      <c r="K452" s="4" t="str" cm="1">
        <f t="array" ref="K452">_xlfn.IFS(Table3[[#This Row],[Drug_Cost_GBP]] &gt; 1200, "High Cost", Table3[[#This Row],[Drug_Cost_GBP]] &lt; 1200, "Normal")</f>
        <v>Normal</v>
      </c>
      <c r="L452" s="4" t="str" cm="1">
        <f t="array" ref="L452">IFERROR(_xlfn.IFS(Table3[[#This Row],[Age (Years)]]  &gt; 75, "YES", Table3[[#This Row],[Age (Years)]] &lt; 75, "NO"), "UNKNOWN")</f>
        <v>NO</v>
      </c>
      <c r="M452" s="4" t="str">
        <f>IF(Table3[[#This Row],[Drug_Cost_GBP]] &gt; Analysis_Sheet!$B$21, "Above Average", "Within Average")</f>
        <v>Within Average</v>
      </c>
      <c r="N452" s="39" t="str">
        <f t="shared" si="7"/>
        <v>July 2024</v>
      </c>
    </row>
    <row r="453" spans="1:14" x14ac:dyDescent="0.3">
      <c r="A453" s="1" t="s">
        <v>484</v>
      </c>
      <c r="B453" s="17">
        <v>57</v>
      </c>
      <c r="C453" s="2" t="s">
        <v>38</v>
      </c>
      <c r="D453" s="2" t="s">
        <v>19</v>
      </c>
      <c r="E453" s="2" t="s">
        <v>34</v>
      </c>
      <c r="F453" s="3">
        <v>45371</v>
      </c>
      <c r="G453" s="2">
        <v>12</v>
      </c>
      <c r="H453" s="13">
        <v>1002.0675517241378</v>
      </c>
      <c r="I453" s="4" t="s">
        <v>26</v>
      </c>
      <c r="J453" s="4" t="str" cm="1">
        <f t="array" ref="J453">_xlfn.IFS(Table3[[#This Row],[Age (Years)]] &lt; 40, "Young", Table3[[#This Row],[Age (Years)]] &gt;= 40, "Middle", Table3[[#This Row],[Age (Years)]] &gt; 60, "Senior")</f>
        <v>Middle</v>
      </c>
      <c r="K453" s="4" t="str" cm="1">
        <f t="array" ref="K453">_xlfn.IFS(Table3[[#This Row],[Drug_Cost_GBP]] &gt; 1200, "High Cost", Table3[[#This Row],[Drug_Cost_GBP]] &lt; 1200, "Normal")</f>
        <v>Normal</v>
      </c>
      <c r="L453" s="4" t="str" cm="1">
        <f t="array" ref="L453">IFERROR(_xlfn.IFS(Table3[[#This Row],[Age (Years)]]  &gt; 75, "YES", Table3[[#This Row],[Age (Years)]] &lt; 75, "NO"), "UNKNOWN")</f>
        <v>NO</v>
      </c>
      <c r="M453" s="4" t="str">
        <f>IF(Table3[[#This Row],[Drug_Cost_GBP]] &gt; Analysis_Sheet!$B$21, "Above Average", "Within Average")</f>
        <v>Within Average</v>
      </c>
      <c r="N453" s="39" t="str">
        <f t="shared" si="7"/>
        <v>March 2024</v>
      </c>
    </row>
    <row r="454" spans="1:14" x14ac:dyDescent="0.3">
      <c r="A454" s="1" t="s">
        <v>486</v>
      </c>
      <c r="B454" s="17">
        <v>57</v>
      </c>
      <c r="C454" s="2" t="s">
        <v>38</v>
      </c>
      <c r="D454" s="2" t="s">
        <v>25</v>
      </c>
      <c r="E454" s="2" t="s">
        <v>43</v>
      </c>
      <c r="F454" s="3" t="s">
        <v>900</v>
      </c>
      <c r="G454" s="2">
        <v>17</v>
      </c>
      <c r="H454" s="13">
        <v>1002.0675517241378</v>
      </c>
      <c r="I454" s="4" t="s">
        <v>26</v>
      </c>
      <c r="J454" s="8" t="str" cm="1">
        <f t="array" ref="J454">_xlfn.IFS(Table3[[#This Row],[Age (Years)]] &lt; 40, "Young", Table3[[#This Row],[Age (Years)]] &gt;= 40, "Middle", Table3[[#This Row],[Age (Years)]] &gt; 60, "Senior")</f>
        <v>Middle</v>
      </c>
      <c r="K454" s="8" t="str" cm="1">
        <f t="array" ref="K454">_xlfn.IFS(Table3[[#This Row],[Drug_Cost_GBP]] &gt; 1200, "High Cost", Table3[[#This Row],[Drug_Cost_GBP]] &lt; 1200, "Normal")</f>
        <v>Normal</v>
      </c>
      <c r="L454" s="8" t="str" cm="1">
        <f t="array" ref="L454">IFERROR(_xlfn.IFS(Table3[[#This Row],[Age (Years)]]  &gt; 75, "YES", Table3[[#This Row],[Age (Years)]] &lt; 75, "NO"), "UNKNOWN")</f>
        <v>NO</v>
      </c>
      <c r="M454" s="8" t="str">
        <f>IF(Table3[[#This Row],[Drug_Cost_GBP]] &gt; Analysis_Sheet!$B$21, "Above Average", "Within Average")</f>
        <v>Within Average</v>
      </c>
      <c r="N454" s="39" t="str">
        <f t="shared" si="7"/>
        <v>Unknown</v>
      </c>
    </row>
    <row r="455" spans="1:14" x14ac:dyDescent="0.3">
      <c r="A455" s="5" t="s">
        <v>487</v>
      </c>
      <c r="B455" s="18">
        <v>57</v>
      </c>
      <c r="C455" s="6" t="s">
        <v>38</v>
      </c>
      <c r="D455" s="6" t="s">
        <v>900</v>
      </c>
      <c r="E455" s="6" t="s">
        <v>23</v>
      </c>
      <c r="F455" s="7">
        <v>45350</v>
      </c>
      <c r="G455" s="6">
        <v>12</v>
      </c>
      <c r="H455" s="14">
        <v>1002.0675517241378</v>
      </c>
      <c r="I455" s="8" t="s">
        <v>26</v>
      </c>
      <c r="J455" s="4" t="str" cm="1">
        <f t="array" ref="J455">_xlfn.IFS(Table3[[#This Row],[Age (Years)]] &lt; 40, "Young", Table3[[#This Row],[Age (Years)]] &gt;= 40, "Middle", Table3[[#This Row],[Age (Years)]] &gt; 60, "Senior")</f>
        <v>Middle</v>
      </c>
      <c r="K455" s="4" t="str" cm="1">
        <f t="array" ref="K455">_xlfn.IFS(Table3[[#This Row],[Drug_Cost_GBP]] &gt; 1200, "High Cost", Table3[[#This Row],[Drug_Cost_GBP]] &lt; 1200, "Normal")</f>
        <v>Normal</v>
      </c>
      <c r="L455" s="4" t="str" cm="1">
        <f t="array" ref="L455">IFERROR(_xlfn.IFS(Table3[[#This Row],[Age (Years)]]  &gt; 75, "YES", Table3[[#This Row],[Age (Years)]] &lt; 75, "NO"), "UNKNOWN")</f>
        <v>NO</v>
      </c>
      <c r="M455" s="4" t="str">
        <f>IF(Table3[[#This Row],[Drug_Cost_GBP]] &gt; Analysis_Sheet!$B$21, "Above Average", "Within Average")</f>
        <v>Within Average</v>
      </c>
      <c r="N455" s="39" t="str">
        <f t="shared" si="7"/>
        <v>February 2024</v>
      </c>
    </row>
    <row r="456" spans="1:14" x14ac:dyDescent="0.3">
      <c r="A456" s="1" t="s">
        <v>488</v>
      </c>
      <c r="B456" s="17">
        <v>57</v>
      </c>
      <c r="C456" s="2" t="s">
        <v>899</v>
      </c>
      <c r="D456" s="2" t="s">
        <v>898</v>
      </c>
      <c r="E456" s="2" t="s">
        <v>34</v>
      </c>
      <c r="F456" s="3">
        <v>45346</v>
      </c>
      <c r="G456" s="2">
        <v>5</v>
      </c>
      <c r="H456" s="13">
        <v>386.91</v>
      </c>
      <c r="I456" s="4" t="s">
        <v>900</v>
      </c>
      <c r="J456" s="4" t="str" cm="1">
        <f t="array" ref="J456">_xlfn.IFS(Table3[[#This Row],[Age (Years)]] &lt; 40, "Young", Table3[[#This Row],[Age (Years)]] &gt;= 40, "Middle", Table3[[#This Row],[Age (Years)]] &gt; 60, "Senior")</f>
        <v>Middle</v>
      </c>
      <c r="K456" s="4" t="str" cm="1">
        <f t="array" ref="K456">_xlfn.IFS(Table3[[#This Row],[Drug_Cost_GBP]] &gt; 1200, "High Cost", Table3[[#This Row],[Drug_Cost_GBP]] &lt; 1200, "Normal")</f>
        <v>Normal</v>
      </c>
      <c r="L456" s="4" t="str" cm="1">
        <f t="array" ref="L456">IFERROR(_xlfn.IFS(Table3[[#This Row],[Age (Years)]]  &gt; 75, "YES", Table3[[#This Row],[Age (Years)]] &lt; 75, "NO"), "UNKNOWN")</f>
        <v>NO</v>
      </c>
      <c r="M456" s="4" t="str">
        <f>IF(Table3[[#This Row],[Drug_Cost_GBP]] &gt; Analysis_Sheet!$B$21, "Above Average", "Within Average")</f>
        <v>Within Average</v>
      </c>
      <c r="N456" s="39" t="str">
        <f t="shared" si="7"/>
        <v>February 2024</v>
      </c>
    </row>
    <row r="457" spans="1:14" x14ac:dyDescent="0.3">
      <c r="A457" s="1" t="s">
        <v>490</v>
      </c>
      <c r="B457" s="17">
        <v>57</v>
      </c>
      <c r="C457" s="2" t="s">
        <v>38</v>
      </c>
      <c r="D457" s="2" t="s">
        <v>14</v>
      </c>
      <c r="E457" s="2" t="s">
        <v>23</v>
      </c>
      <c r="F457" s="3" t="s">
        <v>900</v>
      </c>
      <c r="G457" s="2">
        <v>12</v>
      </c>
      <c r="H457" s="13">
        <v>1277.75</v>
      </c>
      <c r="I457" s="4" t="s">
        <v>900</v>
      </c>
      <c r="J457" s="8" t="str" cm="1">
        <f t="array" ref="J457">_xlfn.IFS(Table3[[#This Row],[Age (Years)]] &lt; 40, "Young", Table3[[#This Row],[Age (Years)]] &gt;= 40, "Middle", Table3[[#This Row],[Age (Years)]] &gt; 60, "Senior")</f>
        <v>Middle</v>
      </c>
      <c r="K457" s="8" t="str" cm="1">
        <f t="array" ref="K457">_xlfn.IFS(Table3[[#This Row],[Drug_Cost_GBP]] &gt; 1200, "High Cost", Table3[[#This Row],[Drug_Cost_GBP]] &lt; 1200, "Normal")</f>
        <v>High Cost</v>
      </c>
      <c r="L457" s="8" t="str" cm="1">
        <f t="array" ref="L457">IFERROR(_xlfn.IFS(Table3[[#This Row],[Age (Years)]]  &gt; 75, "YES", Table3[[#This Row],[Age (Years)]] &lt; 75, "NO"), "UNKNOWN")</f>
        <v>NO</v>
      </c>
      <c r="M457" s="8" t="str">
        <f>IF(Table3[[#This Row],[Drug_Cost_GBP]] &gt; Analysis_Sheet!$B$21, "Above Average", "Within Average")</f>
        <v>Above Average</v>
      </c>
      <c r="N457" s="39" t="str">
        <f t="shared" si="7"/>
        <v>Unknown</v>
      </c>
    </row>
    <row r="458" spans="1:14" x14ac:dyDescent="0.3">
      <c r="A458" s="5" t="s">
        <v>493</v>
      </c>
      <c r="B458" s="18">
        <v>57</v>
      </c>
      <c r="C458" s="6" t="s">
        <v>899</v>
      </c>
      <c r="D458" s="6" t="s">
        <v>19</v>
      </c>
      <c r="E458" s="6" t="s">
        <v>43</v>
      </c>
      <c r="F458" s="7">
        <v>45638</v>
      </c>
      <c r="G458" s="6">
        <v>15</v>
      </c>
      <c r="H458" s="14">
        <v>1002.0675517241378</v>
      </c>
      <c r="I458" s="8" t="s">
        <v>21</v>
      </c>
      <c r="J458" s="4" t="str" cm="1">
        <f t="array" ref="J458">_xlfn.IFS(Table3[[#This Row],[Age (Years)]] &lt; 40, "Young", Table3[[#This Row],[Age (Years)]] &gt;= 40, "Middle", Table3[[#This Row],[Age (Years)]] &gt; 60, "Senior")</f>
        <v>Middle</v>
      </c>
      <c r="K458" s="4" t="str" cm="1">
        <f t="array" ref="K458">_xlfn.IFS(Table3[[#This Row],[Drug_Cost_GBP]] &gt; 1200, "High Cost", Table3[[#This Row],[Drug_Cost_GBP]] &lt; 1200, "Normal")</f>
        <v>Normal</v>
      </c>
      <c r="L458" s="4" t="str" cm="1">
        <f t="array" ref="L458">IFERROR(_xlfn.IFS(Table3[[#This Row],[Age (Years)]]  &gt; 75, "YES", Table3[[#This Row],[Age (Years)]] &lt; 75, "NO"), "UNKNOWN")</f>
        <v>NO</v>
      </c>
      <c r="M458" s="4" t="str">
        <f>IF(Table3[[#This Row],[Drug_Cost_GBP]] &gt; Analysis_Sheet!$B$21, "Above Average", "Within Average")</f>
        <v>Within Average</v>
      </c>
      <c r="N458" s="39" t="str">
        <f t="shared" si="7"/>
        <v>December 2024</v>
      </c>
    </row>
    <row r="459" spans="1:14" x14ac:dyDescent="0.3">
      <c r="A459" s="1" t="s">
        <v>494</v>
      </c>
      <c r="B459" s="17">
        <v>57</v>
      </c>
      <c r="C459" s="2" t="s">
        <v>38</v>
      </c>
      <c r="D459" s="2" t="s">
        <v>51</v>
      </c>
      <c r="E459" s="2" t="s">
        <v>23</v>
      </c>
      <c r="F459" s="3">
        <v>45622</v>
      </c>
      <c r="G459" s="2">
        <v>12</v>
      </c>
      <c r="H459" s="13">
        <v>1002.0675517241378</v>
      </c>
      <c r="I459" s="4" t="s">
        <v>900</v>
      </c>
      <c r="J459" s="8" t="str" cm="1">
        <f t="array" ref="J459">_xlfn.IFS(Table3[[#This Row],[Age (Years)]] &lt; 40, "Young", Table3[[#This Row],[Age (Years)]] &gt;= 40, "Middle", Table3[[#This Row],[Age (Years)]] &gt; 60, "Senior")</f>
        <v>Middle</v>
      </c>
      <c r="K459" s="8" t="str" cm="1">
        <f t="array" ref="K459">_xlfn.IFS(Table3[[#This Row],[Drug_Cost_GBP]] &gt; 1200, "High Cost", Table3[[#This Row],[Drug_Cost_GBP]] &lt; 1200, "Normal")</f>
        <v>Normal</v>
      </c>
      <c r="L459" s="8" t="str" cm="1">
        <f t="array" ref="L459">IFERROR(_xlfn.IFS(Table3[[#This Row],[Age (Years)]]  &gt; 75, "YES", Table3[[#This Row],[Age (Years)]] &lt; 75, "NO"), "UNKNOWN")</f>
        <v>NO</v>
      </c>
      <c r="M459" s="8" t="str">
        <f>IF(Table3[[#This Row],[Drug_Cost_GBP]] &gt; Analysis_Sheet!$B$21, "Above Average", "Within Average")</f>
        <v>Within Average</v>
      </c>
      <c r="N459" s="39" t="str">
        <f t="shared" si="7"/>
        <v>November 2024</v>
      </c>
    </row>
    <row r="460" spans="1:14" x14ac:dyDescent="0.3">
      <c r="A460" s="5" t="s">
        <v>495</v>
      </c>
      <c r="B460" s="18">
        <v>57</v>
      </c>
      <c r="C460" s="6" t="s">
        <v>899</v>
      </c>
      <c r="D460" s="6" t="s">
        <v>900</v>
      </c>
      <c r="E460" s="6" t="s">
        <v>34</v>
      </c>
      <c r="F460" s="7">
        <v>45533</v>
      </c>
      <c r="G460" s="6">
        <v>6</v>
      </c>
      <c r="H460" s="14">
        <v>1002.0675517241378</v>
      </c>
      <c r="I460" s="8" t="s">
        <v>21</v>
      </c>
      <c r="J460" s="4" t="str" cm="1">
        <f t="array" ref="J460">_xlfn.IFS(Table3[[#This Row],[Age (Years)]] &lt; 40, "Young", Table3[[#This Row],[Age (Years)]] &gt;= 40, "Middle", Table3[[#This Row],[Age (Years)]] &gt; 60, "Senior")</f>
        <v>Middle</v>
      </c>
      <c r="K460" s="4" t="str" cm="1">
        <f t="array" ref="K460">_xlfn.IFS(Table3[[#This Row],[Drug_Cost_GBP]] &gt; 1200, "High Cost", Table3[[#This Row],[Drug_Cost_GBP]] &lt; 1200, "Normal")</f>
        <v>Normal</v>
      </c>
      <c r="L460" s="4" t="str" cm="1">
        <f t="array" ref="L460">IFERROR(_xlfn.IFS(Table3[[#This Row],[Age (Years)]]  &gt; 75, "YES", Table3[[#This Row],[Age (Years)]] &lt; 75, "NO"), "UNKNOWN")</f>
        <v>NO</v>
      </c>
      <c r="M460" s="4" t="str">
        <f>IF(Table3[[#This Row],[Drug_Cost_GBP]] &gt; Analysis_Sheet!$B$21, "Above Average", "Within Average")</f>
        <v>Within Average</v>
      </c>
      <c r="N460" s="39" t="str">
        <f t="shared" si="7"/>
        <v>August 2024</v>
      </c>
    </row>
    <row r="461" spans="1:14" x14ac:dyDescent="0.3">
      <c r="A461" s="1" t="s">
        <v>496</v>
      </c>
      <c r="B461" s="17">
        <v>57</v>
      </c>
      <c r="C461" s="2" t="s">
        <v>38</v>
      </c>
      <c r="D461" s="2" t="s">
        <v>19</v>
      </c>
      <c r="E461" s="2" t="s">
        <v>34</v>
      </c>
      <c r="F461" s="3">
        <v>45645</v>
      </c>
      <c r="G461" s="2">
        <v>12</v>
      </c>
      <c r="H461" s="13">
        <v>1427.85</v>
      </c>
      <c r="I461" s="4" t="s">
        <v>900</v>
      </c>
      <c r="J461" s="8" t="str" cm="1">
        <f t="array" ref="J461">_xlfn.IFS(Table3[[#This Row],[Age (Years)]] &lt; 40, "Young", Table3[[#This Row],[Age (Years)]] &gt;= 40, "Middle", Table3[[#This Row],[Age (Years)]] &gt; 60, "Senior")</f>
        <v>Middle</v>
      </c>
      <c r="K461" s="8" t="str" cm="1">
        <f t="array" ref="K461">_xlfn.IFS(Table3[[#This Row],[Drug_Cost_GBP]] &gt; 1200, "High Cost", Table3[[#This Row],[Drug_Cost_GBP]] &lt; 1200, "Normal")</f>
        <v>High Cost</v>
      </c>
      <c r="L461" s="8" t="str" cm="1">
        <f t="array" ref="L461">IFERROR(_xlfn.IFS(Table3[[#This Row],[Age (Years)]]  &gt; 75, "YES", Table3[[#This Row],[Age (Years)]] &lt; 75, "NO"), "UNKNOWN")</f>
        <v>NO</v>
      </c>
      <c r="M461" s="8" t="str">
        <f>IF(Table3[[#This Row],[Drug_Cost_GBP]] &gt; Analysis_Sheet!$B$21, "Above Average", "Within Average")</f>
        <v>Above Average</v>
      </c>
      <c r="N461" s="39" t="str">
        <f t="shared" si="7"/>
        <v>December 2024</v>
      </c>
    </row>
    <row r="462" spans="1:14" x14ac:dyDescent="0.3">
      <c r="A462" s="5" t="s">
        <v>497</v>
      </c>
      <c r="B462" s="18">
        <v>57</v>
      </c>
      <c r="C462" s="6" t="s">
        <v>899</v>
      </c>
      <c r="D462" s="6" t="s">
        <v>19</v>
      </c>
      <c r="E462" s="6" t="s">
        <v>57</v>
      </c>
      <c r="F462" s="7" t="s">
        <v>900</v>
      </c>
      <c r="G462" s="6">
        <v>12</v>
      </c>
      <c r="H462" s="14">
        <v>88.64</v>
      </c>
      <c r="I462" s="8" t="s">
        <v>900</v>
      </c>
      <c r="J462" s="8" t="str" cm="1">
        <f t="array" ref="J462">_xlfn.IFS(Table3[[#This Row],[Age (Years)]] &lt; 40, "Young", Table3[[#This Row],[Age (Years)]] &gt;= 40, "Middle", Table3[[#This Row],[Age (Years)]] &gt; 60, "Senior")</f>
        <v>Middle</v>
      </c>
      <c r="K462" s="8" t="str" cm="1">
        <f t="array" ref="K462">_xlfn.IFS(Table3[[#This Row],[Drug_Cost_GBP]] &gt; 1200, "High Cost", Table3[[#This Row],[Drug_Cost_GBP]] &lt; 1200, "Normal")</f>
        <v>Normal</v>
      </c>
      <c r="L462" s="8" t="str" cm="1">
        <f t="array" ref="L462">IFERROR(_xlfn.IFS(Table3[[#This Row],[Age (Years)]]  &gt; 75, "YES", Table3[[#This Row],[Age (Years)]] &lt; 75, "NO"), "UNKNOWN")</f>
        <v>NO</v>
      </c>
      <c r="M462" s="8" t="str">
        <f>IF(Table3[[#This Row],[Drug_Cost_GBP]] &gt; Analysis_Sheet!$B$21, "Above Average", "Within Average")</f>
        <v>Within Average</v>
      </c>
      <c r="N462" s="39" t="str">
        <f t="shared" si="7"/>
        <v>Unknown</v>
      </c>
    </row>
    <row r="463" spans="1:14" x14ac:dyDescent="0.3">
      <c r="A463" s="5" t="s">
        <v>499</v>
      </c>
      <c r="B463" s="18">
        <v>57</v>
      </c>
      <c r="C463" s="6" t="s">
        <v>899</v>
      </c>
      <c r="D463" s="6" t="s">
        <v>10</v>
      </c>
      <c r="E463" s="6" t="s">
        <v>43</v>
      </c>
      <c r="F463" s="7">
        <v>45516</v>
      </c>
      <c r="G463" s="6">
        <v>11</v>
      </c>
      <c r="H463" s="14">
        <v>628.22</v>
      </c>
      <c r="I463" s="8" t="s">
        <v>16</v>
      </c>
      <c r="J463" s="4" t="str" cm="1">
        <f t="array" ref="J463">_xlfn.IFS(Table3[[#This Row],[Age (Years)]] &lt; 40, "Young", Table3[[#This Row],[Age (Years)]] &gt;= 40, "Middle", Table3[[#This Row],[Age (Years)]] &gt; 60, "Senior")</f>
        <v>Middle</v>
      </c>
      <c r="K463" s="4" t="str" cm="1">
        <f t="array" ref="K463">_xlfn.IFS(Table3[[#This Row],[Drug_Cost_GBP]] &gt; 1200, "High Cost", Table3[[#This Row],[Drug_Cost_GBP]] &lt; 1200, "Normal")</f>
        <v>Normal</v>
      </c>
      <c r="L463" s="4" t="str" cm="1">
        <f t="array" ref="L463">IFERROR(_xlfn.IFS(Table3[[#This Row],[Age (Years)]]  &gt; 75, "YES", Table3[[#This Row],[Age (Years)]] &lt; 75, "NO"), "UNKNOWN")</f>
        <v>NO</v>
      </c>
      <c r="M463" s="4" t="str">
        <f>IF(Table3[[#This Row],[Drug_Cost_GBP]] &gt; Analysis_Sheet!$B$21, "Above Average", "Within Average")</f>
        <v>Within Average</v>
      </c>
      <c r="N463" s="39" t="str">
        <f t="shared" si="7"/>
        <v>August 2024</v>
      </c>
    </row>
    <row r="464" spans="1:14" x14ac:dyDescent="0.3">
      <c r="A464" s="1" t="s">
        <v>500</v>
      </c>
      <c r="B464" s="17">
        <v>57</v>
      </c>
      <c r="C464" s="2" t="s">
        <v>899</v>
      </c>
      <c r="D464" s="2" t="s">
        <v>51</v>
      </c>
      <c r="E464" s="2" t="s">
        <v>43</v>
      </c>
      <c r="F464" s="3">
        <v>45643</v>
      </c>
      <c r="G464" s="2">
        <v>12</v>
      </c>
      <c r="H464" s="13">
        <v>1002.0675517241378</v>
      </c>
      <c r="I464" s="4" t="s">
        <v>26</v>
      </c>
      <c r="J464" s="8" t="str" cm="1">
        <f t="array" ref="J464">_xlfn.IFS(Table3[[#This Row],[Age (Years)]] &lt; 40, "Young", Table3[[#This Row],[Age (Years)]] &gt;= 40, "Middle", Table3[[#This Row],[Age (Years)]] &gt; 60, "Senior")</f>
        <v>Middle</v>
      </c>
      <c r="K464" s="8" t="str" cm="1">
        <f t="array" ref="K464">_xlfn.IFS(Table3[[#This Row],[Drug_Cost_GBP]] &gt; 1200, "High Cost", Table3[[#This Row],[Drug_Cost_GBP]] &lt; 1200, "Normal")</f>
        <v>Normal</v>
      </c>
      <c r="L464" s="8" t="str" cm="1">
        <f t="array" ref="L464">IFERROR(_xlfn.IFS(Table3[[#This Row],[Age (Years)]]  &gt; 75, "YES", Table3[[#This Row],[Age (Years)]] &lt; 75, "NO"), "UNKNOWN")</f>
        <v>NO</v>
      </c>
      <c r="M464" s="8" t="str">
        <f>IF(Table3[[#This Row],[Drug_Cost_GBP]] &gt; Analysis_Sheet!$B$21, "Above Average", "Within Average")</f>
        <v>Within Average</v>
      </c>
      <c r="N464" s="39" t="str">
        <f t="shared" si="7"/>
        <v>December 2024</v>
      </c>
    </row>
    <row r="465" spans="1:14" x14ac:dyDescent="0.3">
      <c r="A465" s="5" t="s">
        <v>501</v>
      </c>
      <c r="B465" s="18">
        <v>57</v>
      </c>
      <c r="C465" s="6" t="s">
        <v>38</v>
      </c>
      <c r="D465" s="6" t="s">
        <v>14</v>
      </c>
      <c r="E465" s="6" t="s">
        <v>43</v>
      </c>
      <c r="F465" s="7" t="s">
        <v>900</v>
      </c>
      <c r="G465" s="6">
        <v>12</v>
      </c>
      <c r="H465" s="14">
        <v>1639.06</v>
      </c>
      <c r="I465" s="8" t="s">
        <v>21</v>
      </c>
      <c r="J465" s="4" t="str" cm="1">
        <f t="array" ref="J465">_xlfn.IFS(Table3[[#This Row],[Age (Years)]] &lt; 40, "Young", Table3[[#This Row],[Age (Years)]] &gt;= 40, "Middle", Table3[[#This Row],[Age (Years)]] &gt; 60, "Senior")</f>
        <v>Middle</v>
      </c>
      <c r="K465" s="4" t="str" cm="1">
        <f t="array" ref="K465">_xlfn.IFS(Table3[[#This Row],[Drug_Cost_GBP]] &gt; 1200, "High Cost", Table3[[#This Row],[Drug_Cost_GBP]] &lt; 1200, "Normal")</f>
        <v>High Cost</v>
      </c>
      <c r="L465" s="4" t="str" cm="1">
        <f t="array" ref="L465">IFERROR(_xlfn.IFS(Table3[[#This Row],[Age (Years)]]  &gt; 75, "YES", Table3[[#This Row],[Age (Years)]] &lt; 75, "NO"), "UNKNOWN")</f>
        <v>NO</v>
      </c>
      <c r="M465" s="4" t="str">
        <f>IF(Table3[[#This Row],[Drug_Cost_GBP]] &gt; Analysis_Sheet!$B$21, "Above Average", "Within Average")</f>
        <v>Above Average</v>
      </c>
      <c r="N465" s="39" t="str">
        <f t="shared" si="7"/>
        <v>Unknown</v>
      </c>
    </row>
    <row r="466" spans="1:14" x14ac:dyDescent="0.3">
      <c r="A466" s="1" t="s">
        <v>502</v>
      </c>
      <c r="B466" s="17">
        <v>57</v>
      </c>
      <c r="C466" s="2" t="s">
        <v>899</v>
      </c>
      <c r="D466" s="2" t="s">
        <v>14</v>
      </c>
      <c r="E466" s="2" t="s">
        <v>23</v>
      </c>
      <c r="F466" s="3">
        <v>45453</v>
      </c>
      <c r="G466" s="2">
        <v>12</v>
      </c>
      <c r="H466" s="13">
        <v>1002.0675517241378</v>
      </c>
      <c r="I466" s="4" t="s">
        <v>16</v>
      </c>
      <c r="J466" s="8" t="str" cm="1">
        <f t="array" ref="J466">_xlfn.IFS(Table3[[#This Row],[Age (Years)]] &lt; 40, "Young", Table3[[#This Row],[Age (Years)]] &gt;= 40, "Middle", Table3[[#This Row],[Age (Years)]] &gt; 60, "Senior")</f>
        <v>Middle</v>
      </c>
      <c r="K466" s="8" t="str" cm="1">
        <f t="array" ref="K466">_xlfn.IFS(Table3[[#This Row],[Drug_Cost_GBP]] &gt; 1200, "High Cost", Table3[[#This Row],[Drug_Cost_GBP]] &lt; 1200, "Normal")</f>
        <v>Normal</v>
      </c>
      <c r="L466" s="8" t="str" cm="1">
        <f t="array" ref="L466">IFERROR(_xlfn.IFS(Table3[[#This Row],[Age (Years)]]  &gt; 75, "YES", Table3[[#This Row],[Age (Years)]] &lt; 75, "NO"), "UNKNOWN")</f>
        <v>NO</v>
      </c>
      <c r="M466" s="8" t="str">
        <f>IF(Table3[[#This Row],[Drug_Cost_GBP]] &gt; Analysis_Sheet!$B$21, "Above Average", "Within Average")</f>
        <v>Within Average</v>
      </c>
      <c r="N466" s="39" t="str">
        <f t="shared" si="7"/>
        <v>June 2024</v>
      </c>
    </row>
    <row r="467" spans="1:14" x14ac:dyDescent="0.3">
      <c r="A467" s="5" t="s">
        <v>503</v>
      </c>
      <c r="B467" s="18">
        <v>57</v>
      </c>
      <c r="C467" s="6" t="s">
        <v>899</v>
      </c>
      <c r="D467" s="6" t="s">
        <v>898</v>
      </c>
      <c r="E467" s="6" t="s">
        <v>57</v>
      </c>
      <c r="F467" s="7" t="s">
        <v>900</v>
      </c>
      <c r="G467" s="6">
        <v>13</v>
      </c>
      <c r="H467" s="14">
        <v>1002.0675517241378</v>
      </c>
      <c r="I467" s="8" t="s">
        <v>26</v>
      </c>
      <c r="J467" s="4" t="str" cm="1">
        <f t="array" ref="J467">_xlfn.IFS(Table3[[#This Row],[Age (Years)]] &lt; 40, "Young", Table3[[#This Row],[Age (Years)]] &gt;= 40, "Middle", Table3[[#This Row],[Age (Years)]] &gt; 60, "Senior")</f>
        <v>Middle</v>
      </c>
      <c r="K467" s="4" t="str" cm="1">
        <f t="array" ref="K467">_xlfn.IFS(Table3[[#This Row],[Drug_Cost_GBP]] &gt; 1200, "High Cost", Table3[[#This Row],[Drug_Cost_GBP]] &lt; 1200, "Normal")</f>
        <v>Normal</v>
      </c>
      <c r="L467" s="4" t="str" cm="1">
        <f t="array" ref="L467">IFERROR(_xlfn.IFS(Table3[[#This Row],[Age (Years)]]  &gt; 75, "YES", Table3[[#This Row],[Age (Years)]] &lt; 75, "NO"), "UNKNOWN")</f>
        <v>NO</v>
      </c>
      <c r="M467" s="4" t="str">
        <f>IF(Table3[[#This Row],[Drug_Cost_GBP]] &gt; Analysis_Sheet!$B$21, "Above Average", "Within Average")</f>
        <v>Within Average</v>
      </c>
      <c r="N467" s="39" t="str">
        <f t="shared" si="7"/>
        <v>Unknown</v>
      </c>
    </row>
    <row r="468" spans="1:14" x14ac:dyDescent="0.3">
      <c r="A468" s="1" t="s">
        <v>504</v>
      </c>
      <c r="B468" s="17">
        <v>57</v>
      </c>
      <c r="C468" s="2" t="s">
        <v>900</v>
      </c>
      <c r="D468" s="2" t="s">
        <v>25</v>
      </c>
      <c r="E468" s="2" t="s">
        <v>23</v>
      </c>
      <c r="F468" s="3">
        <v>45431</v>
      </c>
      <c r="G468" s="2">
        <v>19</v>
      </c>
      <c r="H468" s="13">
        <v>415.31</v>
      </c>
      <c r="I468" s="4" t="s">
        <v>26</v>
      </c>
      <c r="J468" s="8" t="str" cm="1">
        <f t="array" ref="J468">_xlfn.IFS(Table3[[#This Row],[Age (Years)]] &lt; 40, "Young", Table3[[#This Row],[Age (Years)]] &gt;= 40, "Middle", Table3[[#This Row],[Age (Years)]] &gt; 60, "Senior")</f>
        <v>Middle</v>
      </c>
      <c r="K468" s="8" t="str" cm="1">
        <f t="array" ref="K468">_xlfn.IFS(Table3[[#This Row],[Drug_Cost_GBP]] &gt; 1200, "High Cost", Table3[[#This Row],[Drug_Cost_GBP]] &lt; 1200, "Normal")</f>
        <v>Normal</v>
      </c>
      <c r="L468" s="8" t="str" cm="1">
        <f t="array" ref="L468">IFERROR(_xlfn.IFS(Table3[[#This Row],[Age (Years)]]  &gt; 75, "YES", Table3[[#This Row],[Age (Years)]] &lt; 75, "NO"), "UNKNOWN")</f>
        <v>NO</v>
      </c>
      <c r="M468" s="8" t="str">
        <f>IF(Table3[[#This Row],[Drug_Cost_GBP]] &gt; Analysis_Sheet!$B$21, "Above Average", "Within Average")</f>
        <v>Within Average</v>
      </c>
      <c r="N468" s="39" t="str">
        <f t="shared" si="7"/>
        <v>May 2024</v>
      </c>
    </row>
    <row r="469" spans="1:14" x14ac:dyDescent="0.3">
      <c r="A469" s="5" t="s">
        <v>505</v>
      </c>
      <c r="B469" s="18">
        <v>57</v>
      </c>
      <c r="C469" s="6" t="s">
        <v>38</v>
      </c>
      <c r="D469" s="6" t="s">
        <v>14</v>
      </c>
      <c r="E469" s="6" t="s">
        <v>23</v>
      </c>
      <c r="F469" s="7">
        <v>45572</v>
      </c>
      <c r="G469" s="6">
        <v>6</v>
      </c>
      <c r="H469" s="14">
        <v>1002.0675517241378</v>
      </c>
      <c r="I469" s="8" t="s">
        <v>16</v>
      </c>
      <c r="J469" s="4" t="str" cm="1">
        <f t="array" ref="J469">_xlfn.IFS(Table3[[#This Row],[Age (Years)]] &lt; 40, "Young", Table3[[#This Row],[Age (Years)]] &gt;= 40, "Middle", Table3[[#This Row],[Age (Years)]] &gt; 60, "Senior")</f>
        <v>Middle</v>
      </c>
      <c r="K469" s="4" t="str" cm="1">
        <f t="array" ref="K469">_xlfn.IFS(Table3[[#This Row],[Drug_Cost_GBP]] &gt; 1200, "High Cost", Table3[[#This Row],[Drug_Cost_GBP]] &lt; 1200, "Normal")</f>
        <v>Normal</v>
      </c>
      <c r="L469" s="4" t="str" cm="1">
        <f t="array" ref="L469">IFERROR(_xlfn.IFS(Table3[[#This Row],[Age (Years)]]  &gt; 75, "YES", Table3[[#This Row],[Age (Years)]] &lt; 75, "NO"), "UNKNOWN")</f>
        <v>NO</v>
      </c>
      <c r="M469" s="4" t="str">
        <f>IF(Table3[[#This Row],[Drug_Cost_GBP]] &gt; Analysis_Sheet!$B$21, "Above Average", "Within Average")</f>
        <v>Within Average</v>
      </c>
      <c r="N469" s="39" t="str">
        <f t="shared" si="7"/>
        <v>October 2024</v>
      </c>
    </row>
    <row r="470" spans="1:14" x14ac:dyDescent="0.3">
      <c r="A470" s="1" t="s">
        <v>506</v>
      </c>
      <c r="B470" s="17">
        <v>57</v>
      </c>
      <c r="C470" s="2" t="s">
        <v>899</v>
      </c>
      <c r="D470" s="2" t="s">
        <v>10</v>
      </c>
      <c r="E470" s="2" t="s">
        <v>23</v>
      </c>
      <c r="F470" s="3">
        <v>45513</v>
      </c>
      <c r="G470" s="2">
        <v>10</v>
      </c>
      <c r="H470" s="13">
        <v>1002.0675517241378</v>
      </c>
      <c r="I470" s="4" t="s">
        <v>900</v>
      </c>
      <c r="J470" s="8" t="str" cm="1">
        <f t="array" ref="J470">_xlfn.IFS(Table3[[#This Row],[Age (Years)]] &lt; 40, "Young", Table3[[#This Row],[Age (Years)]] &gt;= 40, "Middle", Table3[[#This Row],[Age (Years)]] &gt; 60, "Senior")</f>
        <v>Middle</v>
      </c>
      <c r="K470" s="8" t="str" cm="1">
        <f t="array" ref="K470">_xlfn.IFS(Table3[[#This Row],[Drug_Cost_GBP]] &gt; 1200, "High Cost", Table3[[#This Row],[Drug_Cost_GBP]] &lt; 1200, "Normal")</f>
        <v>Normal</v>
      </c>
      <c r="L470" s="8" t="str" cm="1">
        <f t="array" ref="L470">IFERROR(_xlfn.IFS(Table3[[#This Row],[Age (Years)]]  &gt; 75, "YES", Table3[[#This Row],[Age (Years)]] &lt; 75, "NO"), "UNKNOWN")</f>
        <v>NO</v>
      </c>
      <c r="M470" s="8" t="str">
        <f>IF(Table3[[#This Row],[Drug_Cost_GBP]] &gt; Analysis_Sheet!$B$21, "Above Average", "Within Average")</f>
        <v>Within Average</v>
      </c>
      <c r="N470" s="39" t="str">
        <f t="shared" si="7"/>
        <v>August 2024</v>
      </c>
    </row>
    <row r="471" spans="1:14" x14ac:dyDescent="0.3">
      <c r="A471" s="5" t="s">
        <v>507</v>
      </c>
      <c r="B471" s="18">
        <v>57</v>
      </c>
      <c r="C471" s="6" t="s">
        <v>899</v>
      </c>
      <c r="D471" s="6" t="s">
        <v>10</v>
      </c>
      <c r="E471" s="6" t="s">
        <v>11</v>
      </c>
      <c r="F471" s="7">
        <v>45445</v>
      </c>
      <c r="G471" s="6">
        <v>12</v>
      </c>
      <c r="H471" s="14">
        <v>1625.57</v>
      </c>
      <c r="I471" s="8" t="s">
        <v>900</v>
      </c>
      <c r="J471" s="4" t="str" cm="1">
        <f t="array" ref="J471">_xlfn.IFS(Table3[[#This Row],[Age (Years)]] &lt; 40, "Young", Table3[[#This Row],[Age (Years)]] &gt;= 40, "Middle", Table3[[#This Row],[Age (Years)]] &gt; 60, "Senior")</f>
        <v>Middle</v>
      </c>
      <c r="K471" s="4" t="str" cm="1">
        <f t="array" ref="K471">_xlfn.IFS(Table3[[#This Row],[Drug_Cost_GBP]] &gt; 1200, "High Cost", Table3[[#This Row],[Drug_Cost_GBP]] &lt; 1200, "Normal")</f>
        <v>High Cost</v>
      </c>
      <c r="L471" s="4" t="str" cm="1">
        <f t="array" ref="L471">IFERROR(_xlfn.IFS(Table3[[#This Row],[Age (Years)]]  &gt; 75, "YES", Table3[[#This Row],[Age (Years)]] &lt; 75, "NO"), "UNKNOWN")</f>
        <v>NO</v>
      </c>
      <c r="M471" s="4" t="str">
        <f>IF(Table3[[#This Row],[Drug_Cost_GBP]] &gt; Analysis_Sheet!$B$21, "Above Average", "Within Average")</f>
        <v>Above Average</v>
      </c>
      <c r="N471" s="39" t="str">
        <f t="shared" si="7"/>
        <v>June 2024</v>
      </c>
    </row>
    <row r="472" spans="1:14" x14ac:dyDescent="0.3">
      <c r="A472" s="1" t="s">
        <v>508</v>
      </c>
      <c r="B472" s="17">
        <v>57</v>
      </c>
      <c r="C472" s="2" t="s">
        <v>38</v>
      </c>
      <c r="D472" s="2" t="s">
        <v>19</v>
      </c>
      <c r="E472" s="2" t="s">
        <v>34</v>
      </c>
      <c r="F472" s="3">
        <v>45320</v>
      </c>
      <c r="G472" s="2">
        <v>12</v>
      </c>
      <c r="H472" s="13">
        <v>1002.0675517241378</v>
      </c>
      <c r="I472" s="4" t="s">
        <v>26</v>
      </c>
      <c r="J472" s="8" t="str" cm="1">
        <f t="array" ref="J472">_xlfn.IFS(Table3[[#This Row],[Age (Years)]] &lt; 40, "Young", Table3[[#This Row],[Age (Years)]] &gt;= 40, "Middle", Table3[[#This Row],[Age (Years)]] &gt; 60, "Senior")</f>
        <v>Middle</v>
      </c>
      <c r="K472" s="8" t="str" cm="1">
        <f t="array" ref="K472">_xlfn.IFS(Table3[[#This Row],[Drug_Cost_GBP]] &gt; 1200, "High Cost", Table3[[#This Row],[Drug_Cost_GBP]] &lt; 1200, "Normal")</f>
        <v>Normal</v>
      </c>
      <c r="L472" s="8" t="str" cm="1">
        <f t="array" ref="L472">IFERROR(_xlfn.IFS(Table3[[#This Row],[Age (Years)]]  &gt; 75, "YES", Table3[[#This Row],[Age (Years)]] &lt; 75, "NO"), "UNKNOWN")</f>
        <v>NO</v>
      </c>
      <c r="M472" s="8" t="str">
        <f>IF(Table3[[#This Row],[Drug_Cost_GBP]] &gt; Analysis_Sheet!$B$21, "Above Average", "Within Average")</f>
        <v>Within Average</v>
      </c>
      <c r="N472" s="39" t="str">
        <f t="shared" si="7"/>
        <v>January 2024</v>
      </c>
    </row>
    <row r="473" spans="1:14" x14ac:dyDescent="0.3">
      <c r="A473" s="5" t="s">
        <v>509</v>
      </c>
      <c r="B473" s="18">
        <v>57</v>
      </c>
      <c r="C473" s="6" t="s">
        <v>38</v>
      </c>
      <c r="D473" s="6" t="s">
        <v>14</v>
      </c>
      <c r="E473" s="6" t="s">
        <v>43</v>
      </c>
      <c r="F473" s="7">
        <v>45426</v>
      </c>
      <c r="G473" s="6">
        <v>12</v>
      </c>
      <c r="H473" s="14">
        <v>1002.0675517241378</v>
      </c>
      <c r="I473" s="8" t="s">
        <v>16</v>
      </c>
      <c r="J473" s="4" t="str" cm="1">
        <f t="array" ref="J473">_xlfn.IFS(Table3[[#This Row],[Age (Years)]] &lt; 40, "Young", Table3[[#This Row],[Age (Years)]] &gt;= 40, "Middle", Table3[[#This Row],[Age (Years)]] &gt; 60, "Senior")</f>
        <v>Middle</v>
      </c>
      <c r="K473" s="4" t="str" cm="1">
        <f t="array" ref="K473">_xlfn.IFS(Table3[[#This Row],[Drug_Cost_GBP]] &gt; 1200, "High Cost", Table3[[#This Row],[Drug_Cost_GBP]] &lt; 1200, "Normal")</f>
        <v>Normal</v>
      </c>
      <c r="L473" s="4" t="str" cm="1">
        <f t="array" ref="L473">IFERROR(_xlfn.IFS(Table3[[#This Row],[Age (Years)]]  &gt; 75, "YES", Table3[[#This Row],[Age (Years)]] &lt; 75, "NO"), "UNKNOWN")</f>
        <v>NO</v>
      </c>
      <c r="M473" s="4" t="str">
        <f>IF(Table3[[#This Row],[Drug_Cost_GBP]] &gt; Analysis_Sheet!$B$21, "Above Average", "Within Average")</f>
        <v>Within Average</v>
      </c>
      <c r="N473" s="39" t="str">
        <f t="shared" si="7"/>
        <v>May 2024</v>
      </c>
    </row>
    <row r="474" spans="1:14" x14ac:dyDescent="0.3">
      <c r="A474" s="1" t="s">
        <v>510</v>
      </c>
      <c r="B474" s="17">
        <v>57</v>
      </c>
      <c r="C474" s="2" t="s">
        <v>899</v>
      </c>
      <c r="D474" s="2" t="s">
        <v>14</v>
      </c>
      <c r="E474" s="2" t="s">
        <v>23</v>
      </c>
      <c r="F474" s="3">
        <v>45473</v>
      </c>
      <c r="G474" s="2">
        <v>12</v>
      </c>
      <c r="H474" s="13">
        <v>1049.71</v>
      </c>
      <c r="I474" s="4" t="s">
        <v>900</v>
      </c>
      <c r="J474" s="8" t="str" cm="1">
        <f t="array" ref="J474">_xlfn.IFS(Table3[[#This Row],[Age (Years)]] &lt; 40, "Young", Table3[[#This Row],[Age (Years)]] &gt;= 40, "Middle", Table3[[#This Row],[Age (Years)]] &gt; 60, "Senior")</f>
        <v>Middle</v>
      </c>
      <c r="K474" s="8" t="str" cm="1">
        <f t="array" ref="K474">_xlfn.IFS(Table3[[#This Row],[Drug_Cost_GBP]] &gt; 1200, "High Cost", Table3[[#This Row],[Drug_Cost_GBP]] &lt; 1200, "Normal")</f>
        <v>Normal</v>
      </c>
      <c r="L474" s="8" t="str" cm="1">
        <f t="array" ref="L474">IFERROR(_xlfn.IFS(Table3[[#This Row],[Age (Years)]]  &gt; 75, "YES", Table3[[#This Row],[Age (Years)]] &lt; 75, "NO"), "UNKNOWN")</f>
        <v>NO</v>
      </c>
      <c r="M474" s="8" t="str">
        <f>IF(Table3[[#This Row],[Drug_Cost_GBP]] &gt; Analysis_Sheet!$B$21, "Above Average", "Within Average")</f>
        <v>Above Average</v>
      </c>
      <c r="N474" s="39" t="str">
        <f t="shared" si="7"/>
        <v>June 2024</v>
      </c>
    </row>
    <row r="475" spans="1:14" x14ac:dyDescent="0.3">
      <c r="A475" s="5" t="s">
        <v>511</v>
      </c>
      <c r="B475" s="18">
        <v>57</v>
      </c>
      <c r="C475" s="6" t="s">
        <v>899</v>
      </c>
      <c r="D475" s="6" t="s">
        <v>10</v>
      </c>
      <c r="E475" s="6" t="s">
        <v>11</v>
      </c>
      <c r="F475" s="7">
        <v>45338</v>
      </c>
      <c r="G475" s="6">
        <v>12</v>
      </c>
      <c r="H475" s="14">
        <v>1498.23</v>
      </c>
      <c r="I475" s="8" t="s">
        <v>900</v>
      </c>
      <c r="J475" s="4" t="str" cm="1">
        <f t="array" ref="J475">_xlfn.IFS(Table3[[#This Row],[Age (Years)]] &lt; 40, "Young", Table3[[#This Row],[Age (Years)]] &gt;= 40, "Middle", Table3[[#This Row],[Age (Years)]] &gt; 60, "Senior")</f>
        <v>Middle</v>
      </c>
      <c r="K475" s="4" t="str" cm="1">
        <f t="array" ref="K475">_xlfn.IFS(Table3[[#This Row],[Drug_Cost_GBP]] &gt; 1200, "High Cost", Table3[[#This Row],[Drug_Cost_GBP]] &lt; 1200, "Normal")</f>
        <v>High Cost</v>
      </c>
      <c r="L475" s="4" t="str" cm="1">
        <f t="array" ref="L475">IFERROR(_xlfn.IFS(Table3[[#This Row],[Age (Years)]]  &gt; 75, "YES", Table3[[#This Row],[Age (Years)]] &lt; 75, "NO"), "UNKNOWN")</f>
        <v>NO</v>
      </c>
      <c r="M475" s="4" t="str">
        <f>IF(Table3[[#This Row],[Drug_Cost_GBP]] &gt; Analysis_Sheet!$B$21, "Above Average", "Within Average")</f>
        <v>Above Average</v>
      </c>
      <c r="N475" s="39" t="str">
        <f t="shared" si="7"/>
        <v>February 2024</v>
      </c>
    </row>
    <row r="476" spans="1:14" x14ac:dyDescent="0.3">
      <c r="A476" s="1" t="s">
        <v>512</v>
      </c>
      <c r="B476" s="17">
        <v>57</v>
      </c>
      <c r="C476" s="2" t="s">
        <v>899</v>
      </c>
      <c r="D476" s="2" t="s">
        <v>25</v>
      </c>
      <c r="E476" s="2" t="s">
        <v>23</v>
      </c>
      <c r="F476" s="3">
        <v>45632</v>
      </c>
      <c r="G476" s="2">
        <v>12</v>
      </c>
      <c r="H476" s="13">
        <v>1002.0675517241378</v>
      </c>
      <c r="I476" s="4" t="s">
        <v>16</v>
      </c>
      <c r="J476" s="8" t="str" cm="1">
        <f t="array" ref="J476">_xlfn.IFS(Table3[[#This Row],[Age (Years)]] &lt; 40, "Young", Table3[[#This Row],[Age (Years)]] &gt;= 40, "Middle", Table3[[#This Row],[Age (Years)]] &gt; 60, "Senior")</f>
        <v>Middle</v>
      </c>
      <c r="K476" s="8" t="str" cm="1">
        <f t="array" ref="K476">_xlfn.IFS(Table3[[#This Row],[Drug_Cost_GBP]] &gt; 1200, "High Cost", Table3[[#This Row],[Drug_Cost_GBP]] &lt; 1200, "Normal")</f>
        <v>Normal</v>
      </c>
      <c r="L476" s="8" t="str" cm="1">
        <f t="array" ref="L476">IFERROR(_xlfn.IFS(Table3[[#This Row],[Age (Years)]]  &gt; 75, "YES", Table3[[#This Row],[Age (Years)]] &lt; 75, "NO"), "UNKNOWN")</f>
        <v>NO</v>
      </c>
      <c r="M476" s="8" t="str">
        <f>IF(Table3[[#This Row],[Drug_Cost_GBP]] &gt; Analysis_Sheet!$B$21, "Above Average", "Within Average")</f>
        <v>Within Average</v>
      </c>
      <c r="N476" s="39" t="str">
        <f t="shared" si="7"/>
        <v>December 2024</v>
      </c>
    </row>
    <row r="477" spans="1:14" x14ac:dyDescent="0.3">
      <c r="A477" s="5" t="s">
        <v>513</v>
      </c>
      <c r="B477" s="18">
        <v>57</v>
      </c>
      <c r="C477" s="6" t="s">
        <v>899</v>
      </c>
      <c r="D477" s="6" t="s">
        <v>14</v>
      </c>
      <c r="E477" s="6" t="s">
        <v>43</v>
      </c>
      <c r="F477" s="7" t="s">
        <v>900</v>
      </c>
      <c r="G477" s="6">
        <v>12</v>
      </c>
      <c r="H477" s="14">
        <v>1002.0675517241378</v>
      </c>
      <c r="I477" s="8" t="s">
        <v>26</v>
      </c>
      <c r="J477" s="4" t="str" cm="1">
        <f t="array" ref="J477">_xlfn.IFS(Table3[[#This Row],[Age (Years)]] &lt; 40, "Young", Table3[[#This Row],[Age (Years)]] &gt;= 40, "Middle", Table3[[#This Row],[Age (Years)]] &gt; 60, "Senior")</f>
        <v>Middle</v>
      </c>
      <c r="K477" s="4" t="str" cm="1">
        <f t="array" ref="K477">_xlfn.IFS(Table3[[#This Row],[Drug_Cost_GBP]] &gt; 1200, "High Cost", Table3[[#This Row],[Drug_Cost_GBP]] &lt; 1200, "Normal")</f>
        <v>Normal</v>
      </c>
      <c r="L477" s="4" t="str" cm="1">
        <f t="array" ref="L477">IFERROR(_xlfn.IFS(Table3[[#This Row],[Age (Years)]]  &gt; 75, "YES", Table3[[#This Row],[Age (Years)]] &lt; 75, "NO"), "UNKNOWN")</f>
        <v>NO</v>
      </c>
      <c r="M477" s="4" t="str">
        <f>IF(Table3[[#This Row],[Drug_Cost_GBP]] &gt; Analysis_Sheet!$B$21, "Above Average", "Within Average")</f>
        <v>Within Average</v>
      </c>
      <c r="N477" s="39" t="str">
        <f t="shared" si="7"/>
        <v>Unknown</v>
      </c>
    </row>
    <row r="478" spans="1:14" x14ac:dyDescent="0.3">
      <c r="A478" s="1" t="s">
        <v>514</v>
      </c>
      <c r="B478" s="17">
        <v>57</v>
      </c>
      <c r="C478" s="2" t="s">
        <v>899</v>
      </c>
      <c r="D478" s="2" t="s">
        <v>14</v>
      </c>
      <c r="E478" s="2" t="s">
        <v>23</v>
      </c>
      <c r="F478" s="3">
        <v>45439</v>
      </c>
      <c r="G478" s="2">
        <v>18</v>
      </c>
      <c r="H478" s="13">
        <v>1002.0675517241378</v>
      </c>
      <c r="I478" s="4" t="s">
        <v>12</v>
      </c>
      <c r="J478" s="8" t="str" cm="1">
        <f t="array" ref="J478">_xlfn.IFS(Table3[[#This Row],[Age (Years)]] &lt; 40, "Young", Table3[[#This Row],[Age (Years)]] &gt;= 40, "Middle", Table3[[#This Row],[Age (Years)]] &gt; 60, "Senior")</f>
        <v>Middle</v>
      </c>
      <c r="K478" s="8" t="str" cm="1">
        <f t="array" ref="K478">_xlfn.IFS(Table3[[#This Row],[Drug_Cost_GBP]] &gt; 1200, "High Cost", Table3[[#This Row],[Drug_Cost_GBP]] &lt; 1200, "Normal")</f>
        <v>Normal</v>
      </c>
      <c r="L478" s="8" t="str" cm="1">
        <f t="array" ref="L478">IFERROR(_xlfn.IFS(Table3[[#This Row],[Age (Years)]]  &gt; 75, "YES", Table3[[#This Row],[Age (Years)]] &lt; 75, "NO"), "UNKNOWN")</f>
        <v>NO</v>
      </c>
      <c r="M478" s="8" t="str">
        <f>IF(Table3[[#This Row],[Drug_Cost_GBP]] &gt; Analysis_Sheet!$B$21, "Above Average", "Within Average")</f>
        <v>Within Average</v>
      </c>
      <c r="N478" s="39" t="str">
        <f t="shared" si="7"/>
        <v>May 2024</v>
      </c>
    </row>
    <row r="479" spans="1:14" x14ac:dyDescent="0.3">
      <c r="A479" s="5" t="s">
        <v>515</v>
      </c>
      <c r="B479" s="18">
        <v>57</v>
      </c>
      <c r="C479" s="6" t="s">
        <v>38</v>
      </c>
      <c r="D479" s="6" t="s">
        <v>14</v>
      </c>
      <c r="E479" s="6" t="s">
        <v>23</v>
      </c>
      <c r="F479" s="7">
        <v>45538</v>
      </c>
      <c r="G479" s="6">
        <v>12</v>
      </c>
      <c r="H479" s="14">
        <v>1002.0675517241378</v>
      </c>
      <c r="I479" s="8" t="s">
        <v>900</v>
      </c>
      <c r="J479" s="8" t="str" cm="1">
        <f t="array" ref="J479">_xlfn.IFS(Table3[[#This Row],[Age (Years)]] &lt; 40, "Young", Table3[[#This Row],[Age (Years)]] &gt;= 40, "Middle", Table3[[#This Row],[Age (Years)]] &gt; 60, "Senior")</f>
        <v>Middle</v>
      </c>
      <c r="K479" s="8" t="str" cm="1">
        <f t="array" ref="K479">_xlfn.IFS(Table3[[#This Row],[Drug_Cost_GBP]] &gt; 1200, "High Cost", Table3[[#This Row],[Drug_Cost_GBP]] &lt; 1200, "Normal")</f>
        <v>Normal</v>
      </c>
      <c r="L479" s="8" t="str" cm="1">
        <f t="array" ref="L479">IFERROR(_xlfn.IFS(Table3[[#This Row],[Age (Years)]]  &gt; 75, "YES", Table3[[#This Row],[Age (Years)]] &lt; 75, "NO"), "UNKNOWN")</f>
        <v>NO</v>
      </c>
      <c r="M479" s="8" t="str">
        <f>IF(Table3[[#This Row],[Drug_Cost_GBP]] &gt; Analysis_Sheet!$B$21, "Above Average", "Within Average")</f>
        <v>Within Average</v>
      </c>
      <c r="N479" s="39" t="str">
        <f t="shared" si="7"/>
        <v>September 2024</v>
      </c>
    </row>
    <row r="480" spans="1:14" x14ac:dyDescent="0.3">
      <c r="A480" s="5" t="s">
        <v>517</v>
      </c>
      <c r="B480" s="18">
        <v>57</v>
      </c>
      <c r="C480" s="6" t="s">
        <v>899</v>
      </c>
      <c r="D480" s="6" t="s">
        <v>898</v>
      </c>
      <c r="E480" s="6" t="s">
        <v>43</v>
      </c>
      <c r="F480" s="7">
        <v>45569</v>
      </c>
      <c r="G480" s="6">
        <v>11</v>
      </c>
      <c r="H480" s="14">
        <v>1002.0675517241378</v>
      </c>
      <c r="I480" s="8" t="s">
        <v>26</v>
      </c>
      <c r="J480" s="8" t="str" cm="1">
        <f t="array" ref="J480">_xlfn.IFS(Table3[[#This Row],[Age (Years)]] &lt; 40, "Young", Table3[[#This Row],[Age (Years)]] &gt;= 40, "Middle", Table3[[#This Row],[Age (Years)]] &gt; 60, "Senior")</f>
        <v>Middle</v>
      </c>
      <c r="K480" s="8" t="str" cm="1">
        <f t="array" ref="K480">_xlfn.IFS(Table3[[#This Row],[Drug_Cost_GBP]] &gt; 1200, "High Cost", Table3[[#This Row],[Drug_Cost_GBP]] &lt; 1200, "Normal")</f>
        <v>Normal</v>
      </c>
      <c r="L480" s="8" t="str" cm="1">
        <f t="array" ref="L480">IFERROR(_xlfn.IFS(Table3[[#This Row],[Age (Years)]]  &gt; 75, "YES", Table3[[#This Row],[Age (Years)]] &lt; 75, "NO"), "UNKNOWN")</f>
        <v>NO</v>
      </c>
      <c r="M480" s="8" t="str">
        <f>IF(Table3[[#This Row],[Drug_Cost_GBP]] &gt; Analysis_Sheet!$B$21, "Above Average", "Within Average")</f>
        <v>Within Average</v>
      </c>
      <c r="N480" s="39" t="str">
        <f t="shared" si="7"/>
        <v>October 2024</v>
      </c>
    </row>
    <row r="481" spans="1:14" x14ac:dyDescent="0.3">
      <c r="A481" s="5" t="s">
        <v>519</v>
      </c>
      <c r="B481" s="18">
        <v>57</v>
      </c>
      <c r="C481" s="6" t="s">
        <v>38</v>
      </c>
      <c r="D481" s="6" t="s">
        <v>14</v>
      </c>
      <c r="E481" s="6" t="s">
        <v>43</v>
      </c>
      <c r="F481" s="7">
        <v>45558</v>
      </c>
      <c r="G481" s="6">
        <v>18</v>
      </c>
      <c r="H481" s="14">
        <v>1002.0675517241378</v>
      </c>
      <c r="I481" s="8" t="s">
        <v>16</v>
      </c>
      <c r="J481" s="4" t="str" cm="1">
        <f t="array" ref="J481">_xlfn.IFS(Table3[[#This Row],[Age (Years)]] &lt; 40, "Young", Table3[[#This Row],[Age (Years)]] &gt;= 40, "Middle", Table3[[#This Row],[Age (Years)]] &gt; 60, "Senior")</f>
        <v>Middle</v>
      </c>
      <c r="K481" s="4" t="str" cm="1">
        <f t="array" ref="K481">_xlfn.IFS(Table3[[#This Row],[Drug_Cost_GBP]] &gt; 1200, "High Cost", Table3[[#This Row],[Drug_Cost_GBP]] &lt; 1200, "Normal")</f>
        <v>Normal</v>
      </c>
      <c r="L481" s="4" t="str" cm="1">
        <f t="array" ref="L481">IFERROR(_xlfn.IFS(Table3[[#This Row],[Age (Years)]]  &gt; 75, "YES", Table3[[#This Row],[Age (Years)]] &lt; 75, "NO"), "UNKNOWN")</f>
        <v>NO</v>
      </c>
      <c r="M481" s="4" t="str">
        <f>IF(Table3[[#This Row],[Drug_Cost_GBP]] &gt; Analysis_Sheet!$B$21, "Above Average", "Within Average")</f>
        <v>Within Average</v>
      </c>
      <c r="N481" s="39" t="str">
        <f t="shared" si="7"/>
        <v>September 2024</v>
      </c>
    </row>
    <row r="482" spans="1:14" x14ac:dyDescent="0.3">
      <c r="A482" s="1" t="s">
        <v>520</v>
      </c>
      <c r="B482" s="17">
        <v>57</v>
      </c>
      <c r="C482" s="2" t="s">
        <v>900</v>
      </c>
      <c r="D482" s="2" t="s">
        <v>898</v>
      </c>
      <c r="E482" s="2" t="s">
        <v>23</v>
      </c>
      <c r="F482" s="3">
        <v>45600</v>
      </c>
      <c r="G482" s="2">
        <v>12</v>
      </c>
      <c r="H482" s="13">
        <v>1002.0675517241378</v>
      </c>
      <c r="I482" s="4" t="s">
        <v>16</v>
      </c>
      <c r="J482" s="8" t="str" cm="1">
        <f t="array" ref="J482">_xlfn.IFS(Table3[[#This Row],[Age (Years)]] &lt; 40, "Young", Table3[[#This Row],[Age (Years)]] &gt;= 40, "Middle", Table3[[#This Row],[Age (Years)]] &gt; 60, "Senior")</f>
        <v>Middle</v>
      </c>
      <c r="K482" s="8" t="str" cm="1">
        <f t="array" ref="K482">_xlfn.IFS(Table3[[#This Row],[Drug_Cost_GBP]] &gt; 1200, "High Cost", Table3[[#This Row],[Drug_Cost_GBP]] &lt; 1200, "Normal")</f>
        <v>Normal</v>
      </c>
      <c r="L482" s="8" t="str" cm="1">
        <f t="array" ref="L482">IFERROR(_xlfn.IFS(Table3[[#This Row],[Age (Years)]]  &gt; 75, "YES", Table3[[#This Row],[Age (Years)]] &lt; 75, "NO"), "UNKNOWN")</f>
        <v>NO</v>
      </c>
      <c r="M482" s="8" t="str">
        <f>IF(Table3[[#This Row],[Drug_Cost_GBP]] &gt; Analysis_Sheet!$B$21, "Above Average", "Within Average")</f>
        <v>Within Average</v>
      </c>
      <c r="N482" s="39" t="str">
        <f t="shared" si="7"/>
        <v>November 2024</v>
      </c>
    </row>
    <row r="483" spans="1:14" x14ac:dyDescent="0.3">
      <c r="A483" s="5" t="s">
        <v>521</v>
      </c>
      <c r="B483" s="18">
        <v>57</v>
      </c>
      <c r="C483" s="6" t="s">
        <v>38</v>
      </c>
      <c r="D483" s="6" t="s">
        <v>19</v>
      </c>
      <c r="E483" s="6" t="s">
        <v>34</v>
      </c>
      <c r="F483" s="7">
        <v>45476</v>
      </c>
      <c r="G483" s="6">
        <v>12</v>
      </c>
      <c r="H483" s="14">
        <v>1002.0675517241378</v>
      </c>
      <c r="I483" s="8" t="s">
        <v>21</v>
      </c>
      <c r="J483" s="4" t="str" cm="1">
        <f t="array" ref="J483">_xlfn.IFS(Table3[[#This Row],[Age (Years)]] &lt; 40, "Young", Table3[[#This Row],[Age (Years)]] &gt;= 40, "Middle", Table3[[#This Row],[Age (Years)]] &gt; 60, "Senior")</f>
        <v>Middle</v>
      </c>
      <c r="K483" s="4" t="str" cm="1">
        <f t="array" ref="K483">_xlfn.IFS(Table3[[#This Row],[Drug_Cost_GBP]] &gt; 1200, "High Cost", Table3[[#This Row],[Drug_Cost_GBP]] &lt; 1200, "Normal")</f>
        <v>Normal</v>
      </c>
      <c r="L483" s="4" t="str" cm="1">
        <f t="array" ref="L483">IFERROR(_xlfn.IFS(Table3[[#This Row],[Age (Years)]]  &gt; 75, "YES", Table3[[#This Row],[Age (Years)]] &lt; 75, "NO"), "UNKNOWN")</f>
        <v>NO</v>
      </c>
      <c r="M483" s="4" t="str">
        <f>IF(Table3[[#This Row],[Drug_Cost_GBP]] &gt; Analysis_Sheet!$B$21, "Above Average", "Within Average")</f>
        <v>Within Average</v>
      </c>
      <c r="N483" s="39" t="str">
        <f t="shared" si="7"/>
        <v>July 2024</v>
      </c>
    </row>
    <row r="484" spans="1:14" x14ac:dyDescent="0.3">
      <c r="A484" s="1" t="s">
        <v>522</v>
      </c>
      <c r="B484" s="17">
        <v>57</v>
      </c>
      <c r="C484" s="2" t="s">
        <v>38</v>
      </c>
      <c r="D484" s="2" t="s">
        <v>898</v>
      </c>
      <c r="E484" s="2" t="s">
        <v>57</v>
      </c>
      <c r="F484" s="3">
        <v>45445</v>
      </c>
      <c r="G484" s="2">
        <v>12</v>
      </c>
      <c r="H484" s="13">
        <v>1002.0675517241378</v>
      </c>
      <c r="I484" s="4" t="s">
        <v>16</v>
      </c>
      <c r="J484" s="8" t="str" cm="1">
        <f t="array" ref="J484">_xlfn.IFS(Table3[[#This Row],[Age (Years)]] &lt; 40, "Young", Table3[[#This Row],[Age (Years)]] &gt;= 40, "Middle", Table3[[#This Row],[Age (Years)]] &gt; 60, "Senior")</f>
        <v>Middle</v>
      </c>
      <c r="K484" s="8" t="str" cm="1">
        <f t="array" ref="K484">_xlfn.IFS(Table3[[#This Row],[Drug_Cost_GBP]] &gt; 1200, "High Cost", Table3[[#This Row],[Drug_Cost_GBP]] &lt; 1200, "Normal")</f>
        <v>Normal</v>
      </c>
      <c r="L484" s="8" t="str" cm="1">
        <f t="array" ref="L484">IFERROR(_xlfn.IFS(Table3[[#This Row],[Age (Years)]]  &gt; 75, "YES", Table3[[#This Row],[Age (Years)]] &lt; 75, "NO"), "UNKNOWN")</f>
        <v>NO</v>
      </c>
      <c r="M484" s="8" t="str">
        <f>IF(Table3[[#This Row],[Drug_Cost_GBP]] &gt; Analysis_Sheet!$B$21, "Above Average", "Within Average")</f>
        <v>Within Average</v>
      </c>
      <c r="N484" s="39" t="str">
        <f t="shared" si="7"/>
        <v>June 2024</v>
      </c>
    </row>
    <row r="485" spans="1:14" x14ac:dyDescent="0.3">
      <c r="A485" s="5" t="s">
        <v>523</v>
      </c>
      <c r="B485" s="18">
        <v>57</v>
      </c>
      <c r="C485" s="6" t="s">
        <v>38</v>
      </c>
      <c r="D485" s="6" t="s">
        <v>898</v>
      </c>
      <c r="E485" s="6" t="s">
        <v>23</v>
      </c>
      <c r="F485" s="7">
        <v>45293</v>
      </c>
      <c r="G485" s="6">
        <v>13</v>
      </c>
      <c r="H485" s="14">
        <v>1002.0675517241378</v>
      </c>
      <c r="I485" s="8" t="s">
        <v>12</v>
      </c>
      <c r="J485" s="8" t="str" cm="1">
        <f t="array" ref="J485">_xlfn.IFS(Table3[[#This Row],[Age (Years)]] &lt; 40, "Young", Table3[[#This Row],[Age (Years)]] &gt;= 40, "Middle", Table3[[#This Row],[Age (Years)]] &gt; 60, "Senior")</f>
        <v>Middle</v>
      </c>
      <c r="K485" s="8" t="str" cm="1">
        <f t="array" ref="K485">_xlfn.IFS(Table3[[#This Row],[Drug_Cost_GBP]] &gt; 1200, "High Cost", Table3[[#This Row],[Drug_Cost_GBP]] &lt; 1200, "Normal")</f>
        <v>Normal</v>
      </c>
      <c r="L485" s="8" t="str" cm="1">
        <f t="array" ref="L485">IFERROR(_xlfn.IFS(Table3[[#This Row],[Age (Years)]]  &gt; 75, "YES", Table3[[#This Row],[Age (Years)]] &lt; 75, "NO"), "UNKNOWN")</f>
        <v>NO</v>
      </c>
      <c r="M485" s="8" t="str">
        <f>IF(Table3[[#This Row],[Drug_Cost_GBP]] &gt; Analysis_Sheet!$B$21, "Above Average", "Within Average")</f>
        <v>Within Average</v>
      </c>
      <c r="N485" s="39" t="str">
        <f t="shared" si="7"/>
        <v>January 2024</v>
      </c>
    </row>
    <row r="486" spans="1:14" x14ac:dyDescent="0.3">
      <c r="A486" s="5" t="s">
        <v>525</v>
      </c>
      <c r="B486" s="18">
        <v>57</v>
      </c>
      <c r="C486" s="6" t="s">
        <v>900</v>
      </c>
      <c r="D486" s="6" t="s">
        <v>48</v>
      </c>
      <c r="E486" s="6" t="s">
        <v>34</v>
      </c>
      <c r="F486" s="7">
        <v>45413</v>
      </c>
      <c r="G486" s="6">
        <v>7</v>
      </c>
      <c r="H486" s="14">
        <v>691.08</v>
      </c>
      <c r="I486" s="8" t="s">
        <v>26</v>
      </c>
      <c r="J486" s="4" t="str" cm="1">
        <f t="array" ref="J486">_xlfn.IFS(Table3[[#This Row],[Age (Years)]] &lt; 40, "Young", Table3[[#This Row],[Age (Years)]] &gt;= 40, "Middle", Table3[[#This Row],[Age (Years)]] &gt; 60, "Senior")</f>
        <v>Middle</v>
      </c>
      <c r="K486" s="4" t="str" cm="1">
        <f t="array" ref="K486">_xlfn.IFS(Table3[[#This Row],[Drug_Cost_GBP]] &gt; 1200, "High Cost", Table3[[#This Row],[Drug_Cost_GBP]] &lt; 1200, "Normal")</f>
        <v>Normal</v>
      </c>
      <c r="L486" s="4" t="str" cm="1">
        <f t="array" ref="L486">IFERROR(_xlfn.IFS(Table3[[#This Row],[Age (Years)]]  &gt; 75, "YES", Table3[[#This Row],[Age (Years)]] &lt; 75, "NO"), "UNKNOWN")</f>
        <v>NO</v>
      </c>
      <c r="M486" s="4" t="str">
        <f>IF(Table3[[#This Row],[Drug_Cost_GBP]] &gt; Analysis_Sheet!$B$21, "Above Average", "Within Average")</f>
        <v>Within Average</v>
      </c>
      <c r="N486" s="39" t="str">
        <f t="shared" si="7"/>
        <v>May 2024</v>
      </c>
    </row>
    <row r="487" spans="1:14" x14ac:dyDescent="0.3">
      <c r="A487" s="1" t="s">
        <v>526</v>
      </c>
      <c r="B487" s="17">
        <v>57</v>
      </c>
      <c r="C487" s="2" t="s">
        <v>38</v>
      </c>
      <c r="D487" s="2" t="s">
        <v>25</v>
      </c>
      <c r="E487" s="2" t="s">
        <v>34</v>
      </c>
      <c r="F487" s="3" t="s">
        <v>900</v>
      </c>
      <c r="G487" s="2">
        <v>12</v>
      </c>
      <c r="H487" s="13">
        <v>1002.0675517241378</v>
      </c>
      <c r="I487" s="4" t="s">
        <v>12</v>
      </c>
      <c r="J487" s="8" t="str" cm="1">
        <f t="array" ref="J487">_xlfn.IFS(Table3[[#This Row],[Age (Years)]] &lt; 40, "Young", Table3[[#This Row],[Age (Years)]] &gt;= 40, "Middle", Table3[[#This Row],[Age (Years)]] &gt; 60, "Senior")</f>
        <v>Middle</v>
      </c>
      <c r="K487" s="8" t="str" cm="1">
        <f t="array" ref="K487">_xlfn.IFS(Table3[[#This Row],[Drug_Cost_GBP]] &gt; 1200, "High Cost", Table3[[#This Row],[Drug_Cost_GBP]] &lt; 1200, "Normal")</f>
        <v>Normal</v>
      </c>
      <c r="L487" s="8" t="str" cm="1">
        <f t="array" ref="L487">IFERROR(_xlfn.IFS(Table3[[#This Row],[Age (Years)]]  &gt; 75, "YES", Table3[[#This Row],[Age (Years)]] &lt; 75, "NO"), "UNKNOWN")</f>
        <v>NO</v>
      </c>
      <c r="M487" s="8" t="str">
        <f>IF(Table3[[#This Row],[Drug_Cost_GBP]] &gt; Analysis_Sheet!$B$21, "Above Average", "Within Average")</f>
        <v>Within Average</v>
      </c>
      <c r="N487" s="39" t="str">
        <f t="shared" si="7"/>
        <v>Unknown</v>
      </c>
    </row>
    <row r="488" spans="1:14" x14ac:dyDescent="0.3">
      <c r="A488" s="5" t="s">
        <v>527</v>
      </c>
      <c r="B488" s="18">
        <v>57</v>
      </c>
      <c r="C488" s="6" t="s">
        <v>899</v>
      </c>
      <c r="D488" s="6" t="s">
        <v>14</v>
      </c>
      <c r="E488" s="6" t="s">
        <v>43</v>
      </c>
      <c r="F488" s="7">
        <v>45396</v>
      </c>
      <c r="G488" s="6">
        <v>12</v>
      </c>
      <c r="H488" s="14">
        <v>1002.0675517241378</v>
      </c>
      <c r="I488" s="8" t="s">
        <v>26</v>
      </c>
      <c r="J488" s="4" t="str" cm="1">
        <f t="array" ref="J488">_xlfn.IFS(Table3[[#This Row],[Age (Years)]] &lt; 40, "Young", Table3[[#This Row],[Age (Years)]] &gt;= 40, "Middle", Table3[[#This Row],[Age (Years)]] &gt; 60, "Senior")</f>
        <v>Middle</v>
      </c>
      <c r="K488" s="4" t="str" cm="1">
        <f t="array" ref="K488">_xlfn.IFS(Table3[[#This Row],[Drug_Cost_GBP]] &gt; 1200, "High Cost", Table3[[#This Row],[Drug_Cost_GBP]] &lt; 1200, "Normal")</f>
        <v>Normal</v>
      </c>
      <c r="L488" s="4" t="str" cm="1">
        <f t="array" ref="L488">IFERROR(_xlfn.IFS(Table3[[#This Row],[Age (Years)]]  &gt; 75, "YES", Table3[[#This Row],[Age (Years)]] &lt; 75, "NO"), "UNKNOWN")</f>
        <v>NO</v>
      </c>
      <c r="M488" s="4" t="str">
        <f>IF(Table3[[#This Row],[Drug_Cost_GBP]] &gt; Analysis_Sheet!$B$21, "Above Average", "Within Average")</f>
        <v>Within Average</v>
      </c>
      <c r="N488" s="39" t="str">
        <f t="shared" si="7"/>
        <v>April 2024</v>
      </c>
    </row>
    <row r="489" spans="1:14" x14ac:dyDescent="0.3">
      <c r="A489" s="1" t="s">
        <v>528</v>
      </c>
      <c r="B489" s="17">
        <v>57</v>
      </c>
      <c r="C489" s="2" t="s">
        <v>899</v>
      </c>
      <c r="D489" s="2" t="s">
        <v>900</v>
      </c>
      <c r="E489" s="2" t="s">
        <v>23</v>
      </c>
      <c r="F489" s="3">
        <v>45597</v>
      </c>
      <c r="G489" s="2">
        <v>12</v>
      </c>
      <c r="H489" s="13">
        <v>1002.0675517241378</v>
      </c>
      <c r="I489" s="4" t="s">
        <v>12</v>
      </c>
      <c r="J489" s="8" t="str" cm="1">
        <f t="array" ref="J489">_xlfn.IFS(Table3[[#This Row],[Age (Years)]] &lt; 40, "Young", Table3[[#This Row],[Age (Years)]] &gt;= 40, "Middle", Table3[[#This Row],[Age (Years)]] &gt; 60, "Senior")</f>
        <v>Middle</v>
      </c>
      <c r="K489" s="8" t="str" cm="1">
        <f t="array" ref="K489">_xlfn.IFS(Table3[[#This Row],[Drug_Cost_GBP]] &gt; 1200, "High Cost", Table3[[#This Row],[Drug_Cost_GBP]] &lt; 1200, "Normal")</f>
        <v>Normal</v>
      </c>
      <c r="L489" s="8" t="str" cm="1">
        <f t="array" ref="L489">IFERROR(_xlfn.IFS(Table3[[#This Row],[Age (Years)]]  &gt; 75, "YES", Table3[[#This Row],[Age (Years)]] &lt; 75, "NO"), "UNKNOWN")</f>
        <v>NO</v>
      </c>
      <c r="M489" s="8" t="str">
        <f>IF(Table3[[#This Row],[Drug_Cost_GBP]] &gt; Analysis_Sheet!$B$21, "Above Average", "Within Average")</f>
        <v>Within Average</v>
      </c>
      <c r="N489" s="39" t="str">
        <f t="shared" si="7"/>
        <v>November 2024</v>
      </c>
    </row>
    <row r="490" spans="1:14" x14ac:dyDescent="0.3">
      <c r="A490" s="5" t="s">
        <v>529</v>
      </c>
      <c r="B490" s="18">
        <v>57</v>
      </c>
      <c r="C490" s="6" t="s">
        <v>38</v>
      </c>
      <c r="D490" s="6" t="s">
        <v>900</v>
      </c>
      <c r="E490" s="6" t="s">
        <v>43</v>
      </c>
      <c r="F490" s="7">
        <v>45637</v>
      </c>
      <c r="G490" s="6">
        <v>12</v>
      </c>
      <c r="H490" s="14">
        <v>1002.0675517241378</v>
      </c>
      <c r="I490" s="8" t="s">
        <v>21</v>
      </c>
      <c r="J490" s="8" t="str" cm="1">
        <f t="array" ref="J490">_xlfn.IFS(Table3[[#This Row],[Age (Years)]] &lt; 40, "Young", Table3[[#This Row],[Age (Years)]] &gt;= 40, "Middle", Table3[[#This Row],[Age (Years)]] &gt; 60, "Senior")</f>
        <v>Middle</v>
      </c>
      <c r="K490" s="8" t="str" cm="1">
        <f t="array" ref="K490">_xlfn.IFS(Table3[[#This Row],[Drug_Cost_GBP]] &gt; 1200, "High Cost", Table3[[#This Row],[Drug_Cost_GBP]] &lt; 1200, "Normal")</f>
        <v>Normal</v>
      </c>
      <c r="L490" s="8" t="str" cm="1">
        <f t="array" ref="L490">IFERROR(_xlfn.IFS(Table3[[#This Row],[Age (Years)]]  &gt; 75, "YES", Table3[[#This Row],[Age (Years)]] &lt; 75, "NO"), "UNKNOWN")</f>
        <v>NO</v>
      </c>
      <c r="M490" s="8" t="str">
        <f>IF(Table3[[#This Row],[Drug_Cost_GBP]] &gt; Analysis_Sheet!$B$21, "Above Average", "Within Average")</f>
        <v>Within Average</v>
      </c>
      <c r="N490" s="39" t="str">
        <f t="shared" si="7"/>
        <v>December 2024</v>
      </c>
    </row>
    <row r="491" spans="1:14" x14ac:dyDescent="0.3">
      <c r="A491" s="5" t="s">
        <v>531</v>
      </c>
      <c r="B491" s="18">
        <v>57</v>
      </c>
      <c r="C491" s="6" t="s">
        <v>899</v>
      </c>
      <c r="D491" s="6" t="s">
        <v>48</v>
      </c>
      <c r="E491" s="6" t="s">
        <v>57</v>
      </c>
      <c r="F491" s="7">
        <v>45326</v>
      </c>
      <c r="G491" s="6">
        <v>12</v>
      </c>
      <c r="H491" s="14">
        <v>1002.0675517241378</v>
      </c>
      <c r="I491" s="8" t="s">
        <v>16</v>
      </c>
      <c r="J491" s="4" t="str" cm="1">
        <f t="array" ref="J491">_xlfn.IFS(Table3[[#This Row],[Age (Years)]] &lt; 40, "Young", Table3[[#This Row],[Age (Years)]] &gt;= 40, "Middle", Table3[[#This Row],[Age (Years)]] &gt; 60, "Senior")</f>
        <v>Middle</v>
      </c>
      <c r="K491" s="4" t="str" cm="1">
        <f t="array" ref="K491">_xlfn.IFS(Table3[[#This Row],[Drug_Cost_GBP]] &gt; 1200, "High Cost", Table3[[#This Row],[Drug_Cost_GBP]] &lt; 1200, "Normal")</f>
        <v>Normal</v>
      </c>
      <c r="L491" s="4" t="str" cm="1">
        <f t="array" ref="L491">IFERROR(_xlfn.IFS(Table3[[#This Row],[Age (Years)]]  &gt; 75, "YES", Table3[[#This Row],[Age (Years)]] &lt; 75, "NO"), "UNKNOWN")</f>
        <v>NO</v>
      </c>
      <c r="M491" s="4" t="str">
        <f>IF(Table3[[#This Row],[Drug_Cost_GBP]] &gt; Analysis_Sheet!$B$21, "Above Average", "Within Average")</f>
        <v>Within Average</v>
      </c>
      <c r="N491" s="39" t="str">
        <f t="shared" si="7"/>
        <v>February 2024</v>
      </c>
    </row>
    <row r="492" spans="1:14" x14ac:dyDescent="0.3">
      <c r="A492" s="1" t="s">
        <v>532</v>
      </c>
      <c r="B492" s="17">
        <v>57</v>
      </c>
      <c r="C492" s="2" t="s">
        <v>900</v>
      </c>
      <c r="D492" s="2" t="s">
        <v>19</v>
      </c>
      <c r="E492" s="2" t="s">
        <v>23</v>
      </c>
      <c r="F492" s="3">
        <v>45317</v>
      </c>
      <c r="G492" s="2">
        <v>12</v>
      </c>
      <c r="H492" s="13">
        <v>1002.0675517241378</v>
      </c>
      <c r="I492" s="4" t="s">
        <v>900</v>
      </c>
      <c r="J492" s="8" t="str" cm="1">
        <f t="array" ref="J492">_xlfn.IFS(Table3[[#This Row],[Age (Years)]] &lt; 40, "Young", Table3[[#This Row],[Age (Years)]] &gt;= 40, "Middle", Table3[[#This Row],[Age (Years)]] &gt; 60, "Senior")</f>
        <v>Middle</v>
      </c>
      <c r="K492" s="8" t="str" cm="1">
        <f t="array" ref="K492">_xlfn.IFS(Table3[[#This Row],[Drug_Cost_GBP]] &gt; 1200, "High Cost", Table3[[#This Row],[Drug_Cost_GBP]] &lt; 1200, "Normal")</f>
        <v>Normal</v>
      </c>
      <c r="L492" s="8" t="str" cm="1">
        <f t="array" ref="L492">IFERROR(_xlfn.IFS(Table3[[#This Row],[Age (Years)]]  &gt; 75, "YES", Table3[[#This Row],[Age (Years)]] &lt; 75, "NO"), "UNKNOWN")</f>
        <v>NO</v>
      </c>
      <c r="M492" s="8" t="str">
        <f>IF(Table3[[#This Row],[Drug_Cost_GBP]] &gt; Analysis_Sheet!$B$21, "Above Average", "Within Average")</f>
        <v>Within Average</v>
      </c>
      <c r="N492" s="39" t="str">
        <f t="shared" si="7"/>
        <v>January 2024</v>
      </c>
    </row>
    <row r="493" spans="1:14" x14ac:dyDescent="0.3">
      <c r="A493" s="5" t="s">
        <v>533</v>
      </c>
      <c r="B493" s="18">
        <v>57</v>
      </c>
      <c r="C493" s="6" t="s">
        <v>899</v>
      </c>
      <c r="D493" s="6" t="s">
        <v>10</v>
      </c>
      <c r="E493" s="6" t="s">
        <v>11</v>
      </c>
      <c r="F493" s="7" t="s">
        <v>900</v>
      </c>
      <c r="G493" s="6">
        <v>12</v>
      </c>
      <c r="H493" s="14">
        <v>1002.0675517241378</v>
      </c>
      <c r="I493" s="8" t="s">
        <v>16</v>
      </c>
      <c r="J493" s="4" t="str" cm="1">
        <f t="array" ref="J493">_xlfn.IFS(Table3[[#This Row],[Age (Years)]] &lt; 40, "Young", Table3[[#This Row],[Age (Years)]] &gt;= 40, "Middle", Table3[[#This Row],[Age (Years)]] &gt; 60, "Senior")</f>
        <v>Middle</v>
      </c>
      <c r="K493" s="4" t="str" cm="1">
        <f t="array" ref="K493">_xlfn.IFS(Table3[[#This Row],[Drug_Cost_GBP]] &gt; 1200, "High Cost", Table3[[#This Row],[Drug_Cost_GBP]] &lt; 1200, "Normal")</f>
        <v>Normal</v>
      </c>
      <c r="L493" s="4" t="str" cm="1">
        <f t="array" ref="L493">IFERROR(_xlfn.IFS(Table3[[#This Row],[Age (Years)]]  &gt; 75, "YES", Table3[[#This Row],[Age (Years)]] &lt; 75, "NO"), "UNKNOWN")</f>
        <v>NO</v>
      </c>
      <c r="M493" s="4" t="str">
        <f>IF(Table3[[#This Row],[Drug_Cost_GBP]] &gt; Analysis_Sheet!$B$21, "Above Average", "Within Average")</f>
        <v>Within Average</v>
      </c>
      <c r="N493" s="39" t="str">
        <f t="shared" si="7"/>
        <v>Unknown</v>
      </c>
    </row>
    <row r="494" spans="1:14" x14ac:dyDescent="0.3">
      <c r="A494" s="1" t="s">
        <v>534</v>
      </c>
      <c r="B494" s="17">
        <v>57</v>
      </c>
      <c r="C494" s="2" t="s">
        <v>38</v>
      </c>
      <c r="D494" s="2" t="s">
        <v>25</v>
      </c>
      <c r="E494" s="2" t="s">
        <v>43</v>
      </c>
      <c r="F494" s="3">
        <v>45564</v>
      </c>
      <c r="G494" s="2">
        <v>12</v>
      </c>
      <c r="H494" s="13">
        <v>1519.84</v>
      </c>
      <c r="I494" s="4" t="s">
        <v>12</v>
      </c>
      <c r="J494" s="8" t="str" cm="1">
        <f t="array" ref="J494">_xlfn.IFS(Table3[[#This Row],[Age (Years)]] &lt; 40, "Young", Table3[[#This Row],[Age (Years)]] &gt;= 40, "Middle", Table3[[#This Row],[Age (Years)]] &gt; 60, "Senior")</f>
        <v>Middle</v>
      </c>
      <c r="K494" s="8" t="str" cm="1">
        <f t="array" ref="K494">_xlfn.IFS(Table3[[#This Row],[Drug_Cost_GBP]] &gt; 1200, "High Cost", Table3[[#This Row],[Drug_Cost_GBP]] &lt; 1200, "Normal")</f>
        <v>High Cost</v>
      </c>
      <c r="L494" s="8" t="str" cm="1">
        <f t="array" ref="L494">IFERROR(_xlfn.IFS(Table3[[#This Row],[Age (Years)]]  &gt; 75, "YES", Table3[[#This Row],[Age (Years)]] &lt; 75, "NO"), "UNKNOWN")</f>
        <v>NO</v>
      </c>
      <c r="M494" s="8" t="str">
        <f>IF(Table3[[#This Row],[Drug_Cost_GBP]] &gt; Analysis_Sheet!$B$21, "Above Average", "Within Average")</f>
        <v>Above Average</v>
      </c>
      <c r="N494" s="39" t="str">
        <f t="shared" si="7"/>
        <v>September 2024</v>
      </c>
    </row>
    <row r="495" spans="1:14" x14ac:dyDescent="0.3">
      <c r="A495" s="5" t="s">
        <v>535</v>
      </c>
      <c r="B495" s="18">
        <v>57</v>
      </c>
      <c r="C495" s="6" t="s">
        <v>38</v>
      </c>
      <c r="D495" s="6" t="s">
        <v>14</v>
      </c>
      <c r="E495" s="6" t="s">
        <v>43</v>
      </c>
      <c r="F495" s="7" t="s">
        <v>900</v>
      </c>
      <c r="G495" s="6">
        <v>12</v>
      </c>
      <c r="H495" s="14">
        <v>1002.0675517241378</v>
      </c>
      <c r="I495" s="8" t="s">
        <v>21</v>
      </c>
      <c r="J495" s="4" t="str" cm="1">
        <f t="array" ref="J495">_xlfn.IFS(Table3[[#This Row],[Age (Years)]] &lt; 40, "Young", Table3[[#This Row],[Age (Years)]] &gt;= 40, "Middle", Table3[[#This Row],[Age (Years)]] &gt; 60, "Senior")</f>
        <v>Middle</v>
      </c>
      <c r="K495" s="4" t="str" cm="1">
        <f t="array" ref="K495">_xlfn.IFS(Table3[[#This Row],[Drug_Cost_GBP]] &gt; 1200, "High Cost", Table3[[#This Row],[Drug_Cost_GBP]] &lt; 1200, "Normal")</f>
        <v>Normal</v>
      </c>
      <c r="L495" s="4" t="str" cm="1">
        <f t="array" ref="L495">IFERROR(_xlfn.IFS(Table3[[#This Row],[Age (Years)]]  &gt; 75, "YES", Table3[[#This Row],[Age (Years)]] &lt; 75, "NO"), "UNKNOWN")</f>
        <v>NO</v>
      </c>
      <c r="M495" s="4" t="str">
        <f>IF(Table3[[#This Row],[Drug_Cost_GBP]] &gt; Analysis_Sheet!$B$21, "Above Average", "Within Average")</f>
        <v>Within Average</v>
      </c>
      <c r="N495" s="39" t="str">
        <f t="shared" si="7"/>
        <v>Unknown</v>
      </c>
    </row>
    <row r="496" spans="1:14" x14ac:dyDescent="0.3">
      <c r="A496" s="1" t="s">
        <v>536</v>
      </c>
      <c r="B496" s="17">
        <v>57</v>
      </c>
      <c r="C496" s="2" t="s">
        <v>38</v>
      </c>
      <c r="D496" s="2" t="s">
        <v>900</v>
      </c>
      <c r="E496" s="2" t="s">
        <v>43</v>
      </c>
      <c r="F496" s="3">
        <v>45489</v>
      </c>
      <c r="G496" s="2">
        <v>9</v>
      </c>
      <c r="H496" s="13">
        <v>1002.0675517241378</v>
      </c>
      <c r="I496" s="4" t="s">
        <v>16</v>
      </c>
      <c r="J496" s="8" t="str" cm="1">
        <f t="array" ref="J496">_xlfn.IFS(Table3[[#This Row],[Age (Years)]] &lt; 40, "Young", Table3[[#This Row],[Age (Years)]] &gt;= 40, "Middle", Table3[[#This Row],[Age (Years)]] &gt; 60, "Senior")</f>
        <v>Middle</v>
      </c>
      <c r="K496" s="8" t="str" cm="1">
        <f t="array" ref="K496">_xlfn.IFS(Table3[[#This Row],[Drug_Cost_GBP]] &gt; 1200, "High Cost", Table3[[#This Row],[Drug_Cost_GBP]] &lt; 1200, "Normal")</f>
        <v>Normal</v>
      </c>
      <c r="L496" s="8" t="str" cm="1">
        <f t="array" ref="L496">IFERROR(_xlfn.IFS(Table3[[#This Row],[Age (Years)]]  &gt; 75, "YES", Table3[[#This Row],[Age (Years)]] &lt; 75, "NO"), "UNKNOWN")</f>
        <v>NO</v>
      </c>
      <c r="M496" s="8" t="str">
        <f>IF(Table3[[#This Row],[Drug_Cost_GBP]] &gt; Analysis_Sheet!$B$21, "Above Average", "Within Average")</f>
        <v>Within Average</v>
      </c>
      <c r="N496" s="39" t="str">
        <f t="shared" si="7"/>
        <v>July 2024</v>
      </c>
    </row>
    <row r="497" spans="1:14" x14ac:dyDescent="0.3">
      <c r="A497" s="5" t="s">
        <v>537</v>
      </c>
      <c r="B497" s="18">
        <v>57</v>
      </c>
      <c r="C497" s="6" t="s">
        <v>38</v>
      </c>
      <c r="D497" s="6" t="s">
        <v>900</v>
      </c>
      <c r="E497" s="6" t="s">
        <v>43</v>
      </c>
      <c r="F497" s="7">
        <v>45422</v>
      </c>
      <c r="G497" s="6">
        <v>12</v>
      </c>
      <c r="H497" s="14">
        <v>1002.0675517241378</v>
      </c>
      <c r="I497" s="8" t="s">
        <v>21</v>
      </c>
      <c r="J497" s="4" t="str" cm="1">
        <f t="array" ref="J497">_xlfn.IFS(Table3[[#This Row],[Age (Years)]] &lt; 40, "Young", Table3[[#This Row],[Age (Years)]] &gt;= 40, "Middle", Table3[[#This Row],[Age (Years)]] &gt; 60, "Senior")</f>
        <v>Middle</v>
      </c>
      <c r="K497" s="4" t="str" cm="1">
        <f t="array" ref="K497">_xlfn.IFS(Table3[[#This Row],[Drug_Cost_GBP]] &gt; 1200, "High Cost", Table3[[#This Row],[Drug_Cost_GBP]] &lt; 1200, "Normal")</f>
        <v>Normal</v>
      </c>
      <c r="L497" s="4" t="str" cm="1">
        <f t="array" ref="L497">IFERROR(_xlfn.IFS(Table3[[#This Row],[Age (Years)]]  &gt; 75, "YES", Table3[[#This Row],[Age (Years)]] &lt; 75, "NO"), "UNKNOWN")</f>
        <v>NO</v>
      </c>
      <c r="M497" s="4" t="str">
        <f>IF(Table3[[#This Row],[Drug_Cost_GBP]] &gt; Analysis_Sheet!$B$21, "Above Average", "Within Average")</f>
        <v>Within Average</v>
      </c>
      <c r="N497" s="39" t="str">
        <f t="shared" si="7"/>
        <v>May 2024</v>
      </c>
    </row>
    <row r="498" spans="1:14" x14ac:dyDescent="0.3">
      <c r="A498" s="1" t="s">
        <v>538</v>
      </c>
      <c r="B498" s="17">
        <v>57</v>
      </c>
      <c r="C498" s="2" t="s">
        <v>38</v>
      </c>
      <c r="D498" s="2" t="s">
        <v>10</v>
      </c>
      <c r="E498" s="2" t="s">
        <v>23</v>
      </c>
      <c r="F498" s="3">
        <v>45609</v>
      </c>
      <c r="G498" s="2">
        <v>12</v>
      </c>
      <c r="H498" s="13">
        <v>1040.71</v>
      </c>
      <c r="I498" s="4" t="s">
        <v>26</v>
      </c>
      <c r="J498" s="8" t="str" cm="1">
        <f t="array" ref="J498">_xlfn.IFS(Table3[[#This Row],[Age (Years)]] &lt; 40, "Young", Table3[[#This Row],[Age (Years)]] &gt;= 40, "Middle", Table3[[#This Row],[Age (Years)]] &gt; 60, "Senior")</f>
        <v>Middle</v>
      </c>
      <c r="K498" s="8" t="str" cm="1">
        <f t="array" ref="K498">_xlfn.IFS(Table3[[#This Row],[Drug_Cost_GBP]] &gt; 1200, "High Cost", Table3[[#This Row],[Drug_Cost_GBP]] &lt; 1200, "Normal")</f>
        <v>Normal</v>
      </c>
      <c r="L498" s="8" t="str" cm="1">
        <f t="array" ref="L498">IFERROR(_xlfn.IFS(Table3[[#This Row],[Age (Years)]]  &gt; 75, "YES", Table3[[#This Row],[Age (Years)]] &lt; 75, "NO"), "UNKNOWN")</f>
        <v>NO</v>
      </c>
      <c r="M498" s="8" t="str">
        <f>IF(Table3[[#This Row],[Drug_Cost_GBP]] &gt; Analysis_Sheet!$B$21, "Above Average", "Within Average")</f>
        <v>Above Average</v>
      </c>
      <c r="N498" s="39" t="str">
        <f t="shared" si="7"/>
        <v>November 2024</v>
      </c>
    </row>
    <row r="499" spans="1:14" x14ac:dyDescent="0.3">
      <c r="A499" s="5" t="s">
        <v>539</v>
      </c>
      <c r="B499" s="18">
        <v>57</v>
      </c>
      <c r="C499" s="6" t="s">
        <v>899</v>
      </c>
      <c r="D499" s="6" t="s">
        <v>51</v>
      </c>
      <c r="E499" s="6" t="s">
        <v>57</v>
      </c>
      <c r="F499" s="7">
        <v>45529</v>
      </c>
      <c r="G499" s="6">
        <v>12</v>
      </c>
      <c r="H499" s="14">
        <v>1221.1600000000001</v>
      </c>
      <c r="I499" s="8" t="s">
        <v>26</v>
      </c>
      <c r="J499" s="4" t="str" cm="1">
        <f t="array" ref="J499">_xlfn.IFS(Table3[[#This Row],[Age (Years)]] &lt; 40, "Young", Table3[[#This Row],[Age (Years)]] &gt;= 40, "Middle", Table3[[#This Row],[Age (Years)]] &gt; 60, "Senior")</f>
        <v>Middle</v>
      </c>
      <c r="K499" s="4" t="str" cm="1">
        <f t="array" ref="K499">_xlfn.IFS(Table3[[#This Row],[Drug_Cost_GBP]] &gt; 1200, "High Cost", Table3[[#This Row],[Drug_Cost_GBP]] &lt; 1200, "Normal")</f>
        <v>High Cost</v>
      </c>
      <c r="L499" s="4" t="str" cm="1">
        <f t="array" ref="L499">IFERROR(_xlfn.IFS(Table3[[#This Row],[Age (Years)]]  &gt; 75, "YES", Table3[[#This Row],[Age (Years)]] &lt; 75, "NO"), "UNKNOWN")</f>
        <v>NO</v>
      </c>
      <c r="M499" s="4" t="str">
        <f>IF(Table3[[#This Row],[Drug_Cost_GBP]] &gt; Analysis_Sheet!$B$21, "Above Average", "Within Average")</f>
        <v>Above Average</v>
      </c>
      <c r="N499" s="39" t="str">
        <f t="shared" si="7"/>
        <v>August 2024</v>
      </c>
    </row>
    <row r="500" spans="1:14" x14ac:dyDescent="0.3">
      <c r="A500" s="1" t="s">
        <v>540</v>
      </c>
      <c r="B500" s="17">
        <v>57</v>
      </c>
      <c r="C500" s="2" t="s">
        <v>899</v>
      </c>
      <c r="D500" s="2" t="s">
        <v>51</v>
      </c>
      <c r="E500" s="2" t="s">
        <v>34</v>
      </c>
      <c r="F500" s="3">
        <v>45337</v>
      </c>
      <c r="G500" s="2">
        <v>3</v>
      </c>
      <c r="H500" s="13">
        <v>1002.0675517241378</v>
      </c>
      <c r="I500" s="4" t="s">
        <v>16</v>
      </c>
      <c r="J500" s="8" t="str" cm="1">
        <f t="array" ref="J500">_xlfn.IFS(Table3[[#This Row],[Age (Years)]] &lt; 40, "Young", Table3[[#This Row],[Age (Years)]] &gt;= 40, "Middle", Table3[[#This Row],[Age (Years)]] &gt; 60, "Senior")</f>
        <v>Middle</v>
      </c>
      <c r="K500" s="8" t="str" cm="1">
        <f t="array" ref="K500">_xlfn.IFS(Table3[[#This Row],[Drug_Cost_GBP]] &gt; 1200, "High Cost", Table3[[#This Row],[Drug_Cost_GBP]] &lt; 1200, "Normal")</f>
        <v>Normal</v>
      </c>
      <c r="L500" s="8" t="str" cm="1">
        <f t="array" ref="L500">IFERROR(_xlfn.IFS(Table3[[#This Row],[Age (Years)]]  &gt; 75, "YES", Table3[[#This Row],[Age (Years)]] &lt; 75, "NO"), "UNKNOWN")</f>
        <v>NO</v>
      </c>
      <c r="M500" s="8" t="str">
        <f>IF(Table3[[#This Row],[Drug_Cost_GBP]] &gt; Analysis_Sheet!$B$21, "Above Average", "Within Average")</f>
        <v>Within Average</v>
      </c>
      <c r="N500" s="39" t="str">
        <f t="shared" si="7"/>
        <v>February 2024</v>
      </c>
    </row>
    <row r="501" spans="1:14" x14ac:dyDescent="0.3">
      <c r="A501" s="5" t="s">
        <v>541</v>
      </c>
      <c r="B501" s="18">
        <v>57</v>
      </c>
      <c r="C501" s="6" t="s">
        <v>38</v>
      </c>
      <c r="D501" s="6" t="s">
        <v>25</v>
      </c>
      <c r="E501" s="6" t="s">
        <v>57</v>
      </c>
      <c r="F501" s="7">
        <v>45350</v>
      </c>
      <c r="G501" s="6">
        <v>15</v>
      </c>
      <c r="H501" s="14">
        <v>1002.0675517241378</v>
      </c>
      <c r="I501" s="8" t="s">
        <v>900</v>
      </c>
      <c r="J501" s="4" t="str" cm="1">
        <f t="array" ref="J501">_xlfn.IFS(Table3[[#This Row],[Age (Years)]] &lt; 40, "Young", Table3[[#This Row],[Age (Years)]] &gt;= 40, "Middle", Table3[[#This Row],[Age (Years)]] &gt; 60, "Senior")</f>
        <v>Middle</v>
      </c>
      <c r="K501" s="4" t="str" cm="1">
        <f t="array" ref="K501">_xlfn.IFS(Table3[[#This Row],[Drug_Cost_GBP]] &gt; 1200, "High Cost", Table3[[#This Row],[Drug_Cost_GBP]] &lt; 1200, "Normal")</f>
        <v>Normal</v>
      </c>
      <c r="L501" s="4" t="str" cm="1">
        <f t="array" ref="L501">IFERROR(_xlfn.IFS(Table3[[#This Row],[Age (Years)]]  &gt; 75, "YES", Table3[[#This Row],[Age (Years)]] &lt; 75, "NO"), "UNKNOWN")</f>
        <v>NO</v>
      </c>
      <c r="M501" s="4" t="str">
        <f>IF(Table3[[#This Row],[Drug_Cost_GBP]] &gt; Analysis_Sheet!$B$21, "Above Average", "Within Average")</f>
        <v>Within Average</v>
      </c>
      <c r="N501" s="39" t="str">
        <f t="shared" si="7"/>
        <v>February 2024</v>
      </c>
    </row>
    <row r="502" spans="1:14" x14ac:dyDescent="0.3">
      <c r="A502" s="1" t="s">
        <v>544</v>
      </c>
      <c r="B502" s="17">
        <v>57</v>
      </c>
      <c r="C502" s="2" t="s">
        <v>38</v>
      </c>
      <c r="D502" s="2" t="s">
        <v>10</v>
      </c>
      <c r="E502" s="2" t="s">
        <v>43</v>
      </c>
      <c r="F502" s="3">
        <v>45531</v>
      </c>
      <c r="G502" s="2">
        <v>8</v>
      </c>
      <c r="H502" s="13">
        <v>1002.0675517241378</v>
      </c>
      <c r="I502" s="4" t="s">
        <v>900</v>
      </c>
      <c r="J502" s="8" t="str" cm="1">
        <f t="array" ref="J502">_xlfn.IFS(Table3[[#This Row],[Age (Years)]] &lt; 40, "Young", Table3[[#This Row],[Age (Years)]] &gt;= 40, "Middle", Table3[[#This Row],[Age (Years)]] &gt; 60, "Senior")</f>
        <v>Middle</v>
      </c>
      <c r="K502" s="8" t="str" cm="1">
        <f t="array" ref="K502">_xlfn.IFS(Table3[[#This Row],[Drug_Cost_GBP]] &gt; 1200, "High Cost", Table3[[#This Row],[Drug_Cost_GBP]] &lt; 1200, "Normal")</f>
        <v>Normal</v>
      </c>
      <c r="L502" s="8" t="str" cm="1">
        <f t="array" ref="L502">IFERROR(_xlfn.IFS(Table3[[#This Row],[Age (Years)]]  &gt; 75, "YES", Table3[[#This Row],[Age (Years)]] &lt; 75, "NO"), "UNKNOWN")</f>
        <v>NO</v>
      </c>
      <c r="M502" s="8" t="str">
        <f>IF(Table3[[#This Row],[Drug_Cost_GBP]] &gt; Analysis_Sheet!$B$21, "Above Average", "Within Average")</f>
        <v>Within Average</v>
      </c>
      <c r="N502" s="39" t="str">
        <f t="shared" si="7"/>
        <v>August 2024</v>
      </c>
    </row>
    <row r="503" spans="1:14" x14ac:dyDescent="0.3">
      <c r="A503" s="5" t="s">
        <v>545</v>
      </c>
      <c r="B503" s="18">
        <v>57</v>
      </c>
      <c r="C503" s="6" t="s">
        <v>900</v>
      </c>
      <c r="D503" s="6" t="s">
        <v>14</v>
      </c>
      <c r="E503" s="6" t="s">
        <v>43</v>
      </c>
      <c r="F503" s="7">
        <v>45390</v>
      </c>
      <c r="G503" s="6">
        <v>12</v>
      </c>
      <c r="H503" s="14">
        <v>1002.0675517241378</v>
      </c>
      <c r="I503" s="8" t="s">
        <v>26</v>
      </c>
      <c r="J503" s="4" t="str" cm="1">
        <f t="array" ref="J503">_xlfn.IFS(Table3[[#This Row],[Age (Years)]] &lt; 40, "Young", Table3[[#This Row],[Age (Years)]] &gt;= 40, "Middle", Table3[[#This Row],[Age (Years)]] &gt; 60, "Senior")</f>
        <v>Middle</v>
      </c>
      <c r="K503" s="4" t="str" cm="1">
        <f t="array" ref="K503">_xlfn.IFS(Table3[[#This Row],[Drug_Cost_GBP]] &gt; 1200, "High Cost", Table3[[#This Row],[Drug_Cost_GBP]] &lt; 1200, "Normal")</f>
        <v>Normal</v>
      </c>
      <c r="L503" s="4" t="str" cm="1">
        <f t="array" ref="L503">IFERROR(_xlfn.IFS(Table3[[#This Row],[Age (Years)]]  &gt; 75, "YES", Table3[[#This Row],[Age (Years)]] &lt; 75, "NO"), "UNKNOWN")</f>
        <v>NO</v>
      </c>
      <c r="M503" s="4" t="str">
        <f>IF(Table3[[#This Row],[Drug_Cost_GBP]] &gt; Analysis_Sheet!$B$21, "Above Average", "Within Average")</f>
        <v>Within Average</v>
      </c>
      <c r="N503" s="39" t="str">
        <f t="shared" si="7"/>
        <v>April 2024</v>
      </c>
    </row>
    <row r="504" spans="1:14" x14ac:dyDescent="0.3">
      <c r="A504" s="1" t="s">
        <v>546</v>
      </c>
      <c r="B504" s="17">
        <v>57</v>
      </c>
      <c r="C504" s="2" t="s">
        <v>38</v>
      </c>
      <c r="D504" s="2" t="s">
        <v>900</v>
      </c>
      <c r="E504" s="2" t="s">
        <v>34</v>
      </c>
      <c r="F504" s="3">
        <v>45545</v>
      </c>
      <c r="G504" s="2">
        <v>12</v>
      </c>
      <c r="H504" s="13">
        <v>45.45</v>
      </c>
      <c r="I504" s="4" t="s">
        <v>16</v>
      </c>
      <c r="J504" s="4" t="str" cm="1">
        <f t="array" ref="J504">_xlfn.IFS(Table3[[#This Row],[Age (Years)]] &lt; 40, "Young", Table3[[#This Row],[Age (Years)]] &gt;= 40, "Middle", Table3[[#This Row],[Age (Years)]] &gt; 60, "Senior")</f>
        <v>Middle</v>
      </c>
      <c r="K504" s="4" t="str" cm="1">
        <f t="array" ref="K504">_xlfn.IFS(Table3[[#This Row],[Drug_Cost_GBP]] &gt; 1200, "High Cost", Table3[[#This Row],[Drug_Cost_GBP]] &lt; 1200, "Normal")</f>
        <v>Normal</v>
      </c>
      <c r="L504" s="4" t="str" cm="1">
        <f t="array" ref="L504">IFERROR(_xlfn.IFS(Table3[[#This Row],[Age (Years)]]  &gt; 75, "YES", Table3[[#This Row],[Age (Years)]] &lt; 75, "NO"), "UNKNOWN")</f>
        <v>NO</v>
      </c>
      <c r="M504" s="4" t="str">
        <f>IF(Table3[[#This Row],[Drug_Cost_GBP]] &gt; Analysis_Sheet!$B$21, "Above Average", "Within Average")</f>
        <v>Within Average</v>
      </c>
      <c r="N504" s="39" t="str">
        <f t="shared" si="7"/>
        <v>September 2024</v>
      </c>
    </row>
    <row r="505" spans="1:14" x14ac:dyDescent="0.3">
      <c r="A505" s="1" t="s">
        <v>548</v>
      </c>
      <c r="B505" s="17">
        <v>57</v>
      </c>
      <c r="C505" s="2" t="s">
        <v>899</v>
      </c>
      <c r="D505" s="2" t="s">
        <v>25</v>
      </c>
      <c r="E505" s="2" t="s">
        <v>23</v>
      </c>
      <c r="F505" s="3">
        <v>45529</v>
      </c>
      <c r="G505" s="2">
        <v>15</v>
      </c>
      <c r="H505" s="13">
        <v>1002.0675517241378</v>
      </c>
      <c r="I505" s="4" t="s">
        <v>12</v>
      </c>
      <c r="J505" s="8" t="str" cm="1">
        <f t="array" ref="J505">_xlfn.IFS(Table3[[#This Row],[Age (Years)]] &lt; 40, "Young", Table3[[#This Row],[Age (Years)]] &gt;= 40, "Middle", Table3[[#This Row],[Age (Years)]] &gt; 60, "Senior")</f>
        <v>Middle</v>
      </c>
      <c r="K505" s="8" t="str" cm="1">
        <f t="array" ref="K505">_xlfn.IFS(Table3[[#This Row],[Drug_Cost_GBP]] &gt; 1200, "High Cost", Table3[[#This Row],[Drug_Cost_GBP]] &lt; 1200, "Normal")</f>
        <v>Normal</v>
      </c>
      <c r="L505" s="8" t="str" cm="1">
        <f t="array" ref="L505">IFERROR(_xlfn.IFS(Table3[[#This Row],[Age (Years)]]  &gt; 75, "YES", Table3[[#This Row],[Age (Years)]] &lt; 75, "NO"), "UNKNOWN")</f>
        <v>NO</v>
      </c>
      <c r="M505" s="8" t="str">
        <f>IF(Table3[[#This Row],[Drug_Cost_GBP]] &gt; Analysis_Sheet!$B$21, "Above Average", "Within Average")</f>
        <v>Within Average</v>
      </c>
      <c r="N505" s="39" t="str">
        <f t="shared" si="7"/>
        <v>August 2024</v>
      </c>
    </row>
    <row r="506" spans="1:14" x14ac:dyDescent="0.3">
      <c r="A506" s="5" t="s">
        <v>549</v>
      </c>
      <c r="B506" s="18">
        <v>57</v>
      </c>
      <c r="C506" s="6" t="s">
        <v>38</v>
      </c>
      <c r="D506" s="6" t="s">
        <v>48</v>
      </c>
      <c r="E506" s="6" t="s">
        <v>23</v>
      </c>
      <c r="F506" s="7">
        <v>45423</v>
      </c>
      <c r="G506" s="6">
        <v>8</v>
      </c>
      <c r="H506" s="14">
        <v>1002.0675517241378</v>
      </c>
      <c r="I506" s="8" t="s">
        <v>12</v>
      </c>
      <c r="J506" s="4" t="str" cm="1">
        <f t="array" ref="J506">_xlfn.IFS(Table3[[#This Row],[Age (Years)]] &lt; 40, "Young", Table3[[#This Row],[Age (Years)]] &gt;= 40, "Middle", Table3[[#This Row],[Age (Years)]] &gt; 60, "Senior")</f>
        <v>Middle</v>
      </c>
      <c r="K506" s="4" t="str" cm="1">
        <f t="array" ref="K506">_xlfn.IFS(Table3[[#This Row],[Drug_Cost_GBP]] &gt; 1200, "High Cost", Table3[[#This Row],[Drug_Cost_GBP]] &lt; 1200, "Normal")</f>
        <v>Normal</v>
      </c>
      <c r="L506" s="4" t="str" cm="1">
        <f t="array" ref="L506">IFERROR(_xlfn.IFS(Table3[[#This Row],[Age (Years)]]  &gt; 75, "YES", Table3[[#This Row],[Age (Years)]] &lt; 75, "NO"), "UNKNOWN")</f>
        <v>NO</v>
      </c>
      <c r="M506" s="4" t="str">
        <f>IF(Table3[[#This Row],[Drug_Cost_GBP]] &gt; Analysis_Sheet!$B$21, "Above Average", "Within Average")</f>
        <v>Within Average</v>
      </c>
      <c r="N506" s="39" t="str">
        <f t="shared" si="7"/>
        <v>May 2024</v>
      </c>
    </row>
    <row r="507" spans="1:14" x14ac:dyDescent="0.3">
      <c r="A507" s="1" t="s">
        <v>550</v>
      </c>
      <c r="B507" s="17">
        <v>57</v>
      </c>
      <c r="C507" s="2" t="s">
        <v>899</v>
      </c>
      <c r="D507" s="2" t="s">
        <v>51</v>
      </c>
      <c r="E507" s="2" t="s">
        <v>34</v>
      </c>
      <c r="F507" s="3">
        <v>45589</v>
      </c>
      <c r="G507" s="2">
        <v>12</v>
      </c>
      <c r="H507" s="13">
        <v>1002.0675517241378</v>
      </c>
      <c r="I507" s="4" t="s">
        <v>26</v>
      </c>
      <c r="J507" s="8" t="str" cm="1">
        <f t="array" ref="J507">_xlfn.IFS(Table3[[#This Row],[Age (Years)]] &lt; 40, "Young", Table3[[#This Row],[Age (Years)]] &gt;= 40, "Middle", Table3[[#This Row],[Age (Years)]] &gt; 60, "Senior")</f>
        <v>Middle</v>
      </c>
      <c r="K507" s="8" t="str" cm="1">
        <f t="array" ref="K507">_xlfn.IFS(Table3[[#This Row],[Drug_Cost_GBP]] &gt; 1200, "High Cost", Table3[[#This Row],[Drug_Cost_GBP]] &lt; 1200, "Normal")</f>
        <v>Normal</v>
      </c>
      <c r="L507" s="8" t="str" cm="1">
        <f t="array" ref="L507">IFERROR(_xlfn.IFS(Table3[[#This Row],[Age (Years)]]  &gt; 75, "YES", Table3[[#This Row],[Age (Years)]] &lt; 75, "NO"), "UNKNOWN")</f>
        <v>NO</v>
      </c>
      <c r="M507" s="8" t="str">
        <f>IF(Table3[[#This Row],[Drug_Cost_GBP]] &gt; Analysis_Sheet!$B$21, "Above Average", "Within Average")</f>
        <v>Within Average</v>
      </c>
      <c r="N507" s="39" t="str">
        <f t="shared" si="7"/>
        <v>October 2024</v>
      </c>
    </row>
    <row r="508" spans="1:14" x14ac:dyDescent="0.3">
      <c r="A508" s="5" t="s">
        <v>551</v>
      </c>
      <c r="B508" s="18">
        <v>57</v>
      </c>
      <c r="C508" s="6" t="s">
        <v>900</v>
      </c>
      <c r="D508" s="6" t="s">
        <v>14</v>
      </c>
      <c r="E508" s="6" t="s">
        <v>11</v>
      </c>
      <c r="F508" s="7">
        <v>45351</v>
      </c>
      <c r="G508" s="6">
        <v>12</v>
      </c>
      <c r="H508" s="14">
        <v>751.31</v>
      </c>
      <c r="I508" s="8" t="s">
        <v>26</v>
      </c>
      <c r="J508" s="4" t="str" cm="1">
        <f t="array" ref="J508">_xlfn.IFS(Table3[[#This Row],[Age (Years)]] &lt; 40, "Young", Table3[[#This Row],[Age (Years)]] &gt;= 40, "Middle", Table3[[#This Row],[Age (Years)]] &gt; 60, "Senior")</f>
        <v>Middle</v>
      </c>
      <c r="K508" s="4" t="str" cm="1">
        <f t="array" ref="K508">_xlfn.IFS(Table3[[#This Row],[Drug_Cost_GBP]] &gt; 1200, "High Cost", Table3[[#This Row],[Drug_Cost_GBP]] &lt; 1200, "Normal")</f>
        <v>Normal</v>
      </c>
      <c r="L508" s="4" t="str" cm="1">
        <f t="array" ref="L508">IFERROR(_xlfn.IFS(Table3[[#This Row],[Age (Years)]]  &gt; 75, "YES", Table3[[#This Row],[Age (Years)]] &lt; 75, "NO"), "UNKNOWN")</f>
        <v>NO</v>
      </c>
      <c r="M508" s="4" t="str">
        <f>IF(Table3[[#This Row],[Drug_Cost_GBP]] &gt; Analysis_Sheet!$B$21, "Above Average", "Within Average")</f>
        <v>Within Average</v>
      </c>
      <c r="N508" s="39" t="str">
        <f t="shared" si="7"/>
        <v>February 2024</v>
      </c>
    </row>
    <row r="509" spans="1:14" x14ac:dyDescent="0.3">
      <c r="A509" s="1" t="s">
        <v>552</v>
      </c>
      <c r="B509" s="17">
        <v>57</v>
      </c>
      <c r="C509" s="2" t="s">
        <v>899</v>
      </c>
      <c r="D509" s="2" t="s">
        <v>900</v>
      </c>
      <c r="E509" s="2" t="s">
        <v>23</v>
      </c>
      <c r="F509" s="3">
        <v>45306</v>
      </c>
      <c r="G509" s="2">
        <v>12</v>
      </c>
      <c r="H509" s="13">
        <v>822.82</v>
      </c>
      <c r="I509" s="4" t="s">
        <v>16</v>
      </c>
      <c r="J509" s="8" t="str" cm="1">
        <f t="array" ref="J509">_xlfn.IFS(Table3[[#This Row],[Age (Years)]] &lt; 40, "Young", Table3[[#This Row],[Age (Years)]] &gt;= 40, "Middle", Table3[[#This Row],[Age (Years)]] &gt; 60, "Senior")</f>
        <v>Middle</v>
      </c>
      <c r="K509" s="8" t="str" cm="1">
        <f t="array" ref="K509">_xlfn.IFS(Table3[[#This Row],[Drug_Cost_GBP]] &gt; 1200, "High Cost", Table3[[#This Row],[Drug_Cost_GBP]] &lt; 1200, "Normal")</f>
        <v>Normal</v>
      </c>
      <c r="L509" s="8" t="str" cm="1">
        <f t="array" ref="L509">IFERROR(_xlfn.IFS(Table3[[#This Row],[Age (Years)]]  &gt; 75, "YES", Table3[[#This Row],[Age (Years)]] &lt; 75, "NO"), "UNKNOWN")</f>
        <v>NO</v>
      </c>
      <c r="M509" s="8" t="str">
        <f>IF(Table3[[#This Row],[Drug_Cost_GBP]] &gt; Analysis_Sheet!$B$21, "Above Average", "Within Average")</f>
        <v>Within Average</v>
      </c>
      <c r="N509" s="39" t="str">
        <f t="shared" si="7"/>
        <v>January 2024</v>
      </c>
    </row>
    <row r="510" spans="1:14" x14ac:dyDescent="0.3">
      <c r="A510" s="5" t="s">
        <v>553</v>
      </c>
      <c r="B510" s="18">
        <v>57</v>
      </c>
      <c r="C510" s="6" t="s">
        <v>899</v>
      </c>
      <c r="D510" s="6" t="s">
        <v>19</v>
      </c>
      <c r="E510" s="6" t="s">
        <v>34</v>
      </c>
      <c r="F510" s="7">
        <v>45400</v>
      </c>
      <c r="G510" s="6">
        <v>12</v>
      </c>
      <c r="H510" s="14">
        <v>1002.0675517241378</v>
      </c>
      <c r="I510" s="8" t="s">
        <v>12</v>
      </c>
      <c r="J510" s="8" t="str" cm="1">
        <f t="array" ref="J510">_xlfn.IFS(Table3[[#This Row],[Age (Years)]] &lt; 40, "Young", Table3[[#This Row],[Age (Years)]] &gt;= 40, "Middle", Table3[[#This Row],[Age (Years)]] &gt; 60, "Senior")</f>
        <v>Middle</v>
      </c>
      <c r="K510" s="8" t="str" cm="1">
        <f t="array" ref="K510">_xlfn.IFS(Table3[[#This Row],[Drug_Cost_GBP]] &gt; 1200, "High Cost", Table3[[#This Row],[Drug_Cost_GBP]] &lt; 1200, "Normal")</f>
        <v>Normal</v>
      </c>
      <c r="L510" s="8" t="str" cm="1">
        <f t="array" ref="L510">IFERROR(_xlfn.IFS(Table3[[#This Row],[Age (Years)]]  &gt; 75, "YES", Table3[[#This Row],[Age (Years)]] &lt; 75, "NO"), "UNKNOWN")</f>
        <v>NO</v>
      </c>
      <c r="M510" s="8" t="str">
        <f>IF(Table3[[#This Row],[Drug_Cost_GBP]] &gt; Analysis_Sheet!$B$21, "Above Average", "Within Average")</f>
        <v>Within Average</v>
      </c>
      <c r="N510" s="39" t="str">
        <f t="shared" si="7"/>
        <v>April 2024</v>
      </c>
    </row>
    <row r="511" spans="1:14" x14ac:dyDescent="0.3">
      <c r="A511" s="5" t="s">
        <v>555</v>
      </c>
      <c r="B511" s="18">
        <v>57</v>
      </c>
      <c r="C511" s="6" t="s">
        <v>38</v>
      </c>
      <c r="D511" s="6" t="s">
        <v>900</v>
      </c>
      <c r="E511" s="6" t="s">
        <v>34</v>
      </c>
      <c r="F511" s="7">
        <v>45554</v>
      </c>
      <c r="G511" s="6">
        <v>12</v>
      </c>
      <c r="H511" s="14">
        <v>1002.0675517241378</v>
      </c>
      <c r="I511" s="8" t="s">
        <v>26</v>
      </c>
      <c r="J511" s="4" t="str" cm="1">
        <f t="array" ref="J511">_xlfn.IFS(Table3[[#This Row],[Age (Years)]] &lt; 40, "Young", Table3[[#This Row],[Age (Years)]] &gt;= 40, "Middle", Table3[[#This Row],[Age (Years)]] &gt; 60, "Senior")</f>
        <v>Middle</v>
      </c>
      <c r="K511" s="4" t="str" cm="1">
        <f t="array" ref="K511">_xlfn.IFS(Table3[[#This Row],[Drug_Cost_GBP]] &gt; 1200, "High Cost", Table3[[#This Row],[Drug_Cost_GBP]] &lt; 1200, "Normal")</f>
        <v>Normal</v>
      </c>
      <c r="L511" s="4" t="str" cm="1">
        <f t="array" ref="L511">IFERROR(_xlfn.IFS(Table3[[#This Row],[Age (Years)]]  &gt; 75, "YES", Table3[[#This Row],[Age (Years)]] &lt; 75, "NO"), "UNKNOWN")</f>
        <v>NO</v>
      </c>
      <c r="M511" s="4" t="str">
        <f>IF(Table3[[#This Row],[Drug_Cost_GBP]] &gt; Analysis_Sheet!$B$21, "Above Average", "Within Average")</f>
        <v>Within Average</v>
      </c>
      <c r="N511" s="39" t="str">
        <f t="shared" si="7"/>
        <v>September 2024</v>
      </c>
    </row>
    <row r="512" spans="1:14" x14ac:dyDescent="0.3">
      <c r="A512" s="1" t="s">
        <v>556</v>
      </c>
      <c r="B512" s="17">
        <v>57</v>
      </c>
      <c r="C512" s="2" t="s">
        <v>38</v>
      </c>
      <c r="D512" s="2" t="s">
        <v>900</v>
      </c>
      <c r="E512" s="2" t="s">
        <v>23</v>
      </c>
      <c r="F512" s="3">
        <v>45499</v>
      </c>
      <c r="G512" s="2">
        <v>4</v>
      </c>
      <c r="H512" s="13">
        <v>1002.0675517241378</v>
      </c>
      <c r="I512" s="4" t="s">
        <v>16</v>
      </c>
      <c r="J512" s="8" t="str" cm="1">
        <f t="array" ref="J512">_xlfn.IFS(Table3[[#This Row],[Age (Years)]] &lt; 40, "Young", Table3[[#This Row],[Age (Years)]] &gt;= 40, "Middle", Table3[[#This Row],[Age (Years)]] &gt; 60, "Senior")</f>
        <v>Middle</v>
      </c>
      <c r="K512" s="8" t="str" cm="1">
        <f t="array" ref="K512">_xlfn.IFS(Table3[[#This Row],[Drug_Cost_GBP]] &gt; 1200, "High Cost", Table3[[#This Row],[Drug_Cost_GBP]] &lt; 1200, "Normal")</f>
        <v>Normal</v>
      </c>
      <c r="L512" s="8" t="str" cm="1">
        <f t="array" ref="L512">IFERROR(_xlfn.IFS(Table3[[#This Row],[Age (Years)]]  &gt; 75, "YES", Table3[[#This Row],[Age (Years)]] &lt; 75, "NO"), "UNKNOWN")</f>
        <v>NO</v>
      </c>
      <c r="M512" s="8" t="str">
        <f>IF(Table3[[#This Row],[Drug_Cost_GBP]] &gt; Analysis_Sheet!$B$21, "Above Average", "Within Average")</f>
        <v>Within Average</v>
      </c>
      <c r="N512" s="39" t="str">
        <f t="shared" si="7"/>
        <v>July 2024</v>
      </c>
    </row>
    <row r="513" spans="1:14" x14ac:dyDescent="0.3">
      <c r="A513" s="5" t="s">
        <v>557</v>
      </c>
      <c r="B513" s="18">
        <v>57</v>
      </c>
      <c r="C513" s="6" t="s">
        <v>899</v>
      </c>
      <c r="D513" s="6" t="s">
        <v>51</v>
      </c>
      <c r="E513" s="6" t="s">
        <v>11</v>
      </c>
      <c r="F513" s="7">
        <v>45316</v>
      </c>
      <c r="G513" s="6">
        <v>12</v>
      </c>
      <c r="H513" s="14">
        <v>113.19</v>
      </c>
      <c r="I513" s="8" t="s">
        <v>26</v>
      </c>
      <c r="J513" s="4" t="str" cm="1">
        <f t="array" ref="J513">_xlfn.IFS(Table3[[#This Row],[Age (Years)]] &lt; 40, "Young", Table3[[#This Row],[Age (Years)]] &gt;= 40, "Middle", Table3[[#This Row],[Age (Years)]] &gt; 60, "Senior")</f>
        <v>Middle</v>
      </c>
      <c r="K513" s="4" t="str" cm="1">
        <f t="array" ref="K513">_xlfn.IFS(Table3[[#This Row],[Drug_Cost_GBP]] &gt; 1200, "High Cost", Table3[[#This Row],[Drug_Cost_GBP]] &lt; 1200, "Normal")</f>
        <v>Normal</v>
      </c>
      <c r="L513" s="4" t="str" cm="1">
        <f t="array" ref="L513">IFERROR(_xlfn.IFS(Table3[[#This Row],[Age (Years)]]  &gt; 75, "YES", Table3[[#This Row],[Age (Years)]] &lt; 75, "NO"), "UNKNOWN")</f>
        <v>NO</v>
      </c>
      <c r="M513" s="4" t="str">
        <f>IF(Table3[[#This Row],[Drug_Cost_GBP]] &gt; Analysis_Sheet!$B$21, "Above Average", "Within Average")</f>
        <v>Within Average</v>
      </c>
      <c r="N513" s="39" t="str">
        <f t="shared" si="7"/>
        <v>January 2024</v>
      </c>
    </row>
    <row r="514" spans="1:14" x14ac:dyDescent="0.3">
      <c r="A514" s="1" t="s">
        <v>558</v>
      </c>
      <c r="B514" s="17">
        <v>57</v>
      </c>
      <c r="C514" s="2" t="s">
        <v>38</v>
      </c>
      <c r="D514" s="2" t="s">
        <v>48</v>
      </c>
      <c r="E514" s="2" t="s">
        <v>34</v>
      </c>
      <c r="F514" s="3">
        <v>45508</v>
      </c>
      <c r="G514" s="2">
        <v>6</v>
      </c>
      <c r="H514" s="13">
        <v>1002.0675517241378</v>
      </c>
      <c r="I514" s="4" t="s">
        <v>12</v>
      </c>
      <c r="J514" s="4" t="str" cm="1">
        <f t="array" ref="J514">_xlfn.IFS(Table3[[#This Row],[Age (Years)]] &lt; 40, "Young", Table3[[#This Row],[Age (Years)]] &gt;= 40, "Middle", Table3[[#This Row],[Age (Years)]] &gt; 60, "Senior")</f>
        <v>Middle</v>
      </c>
      <c r="K514" s="4" t="str" cm="1">
        <f t="array" ref="K514">_xlfn.IFS(Table3[[#This Row],[Drug_Cost_GBP]] &gt; 1200, "High Cost", Table3[[#This Row],[Drug_Cost_GBP]] &lt; 1200, "Normal")</f>
        <v>Normal</v>
      </c>
      <c r="L514" s="4" t="str" cm="1">
        <f t="array" ref="L514">IFERROR(_xlfn.IFS(Table3[[#This Row],[Age (Years)]]  &gt; 75, "YES", Table3[[#This Row],[Age (Years)]] &lt; 75, "NO"), "UNKNOWN")</f>
        <v>NO</v>
      </c>
      <c r="M514" s="4" t="str">
        <f>IF(Table3[[#This Row],[Drug_Cost_GBP]] &gt; Analysis_Sheet!$B$21, "Above Average", "Within Average")</f>
        <v>Within Average</v>
      </c>
      <c r="N514" s="39" t="str">
        <f t="shared" si="7"/>
        <v>August 2024</v>
      </c>
    </row>
    <row r="515" spans="1:14" x14ac:dyDescent="0.3">
      <c r="A515" s="1" t="s">
        <v>560</v>
      </c>
      <c r="B515" s="17">
        <v>57</v>
      </c>
      <c r="C515" s="2" t="s">
        <v>38</v>
      </c>
      <c r="D515" s="2" t="s">
        <v>51</v>
      </c>
      <c r="E515" s="2" t="s">
        <v>11</v>
      </c>
      <c r="F515" s="3">
        <v>45591</v>
      </c>
      <c r="G515" s="2">
        <v>5</v>
      </c>
      <c r="H515" s="13">
        <v>1002.0675517241378</v>
      </c>
      <c r="I515" s="4" t="s">
        <v>21</v>
      </c>
      <c r="J515" s="4" t="str" cm="1">
        <f t="array" ref="J515">_xlfn.IFS(Table3[[#This Row],[Age (Years)]] &lt; 40, "Young", Table3[[#This Row],[Age (Years)]] &gt;= 40, "Middle", Table3[[#This Row],[Age (Years)]] &gt; 60, "Senior")</f>
        <v>Middle</v>
      </c>
      <c r="K515" s="4" t="str" cm="1">
        <f t="array" ref="K515">_xlfn.IFS(Table3[[#This Row],[Drug_Cost_GBP]] &gt; 1200, "High Cost", Table3[[#This Row],[Drug_Cost_GBP]] &lt; 1200, "Normal")</f>
        <v>Normal</v>
      </c>
      <c r="L515" s="4" t="str" cm="1">
        <f t="array" ref="L515">IFERROR(_xlfn.IFS(Table3[[#This Row],[Age (Years)]]  &gt; 75, "YES", Table3[[#This Row],[Age (Years)]] &lt; 75, "NO"), "UNKNOWN")</f>
        <v>NO</v>
      </c>
      <c r="M515" s="4" t="str">
        <f>IF(Table3[[#This Row],[Drug_Cost_GBP]] &gt; Analysis_Sheet!$B$21, "Above Average", "Within Average")</f>
        <v>Within Average</v>
      </c>
      <c r="N515" s="39" t="str">
        <f t="shared" ref="N515:N578" si="8">IF(ISNUMBER(F515),TEXT(F515,"MMMM YYYY"),"Unknown")</f>
        <v>October 2024</v>
      </c>
    </row>
    <row r="516" spans="1:14" x14ac:dyDescent="0.3">
      <c r="A516" s="1" t="s">
        <v>564</v>
      </c>
      <c r="B516" s="17">
        <v>57</v>
      </c>
      <c r="C516" s="2" t="s">
        <v>899</v>
      </c>
      <c r="D516" s="2" t="s">
        <v>14</v>
      </c>
      <c r="E516" s="2" t="s">
        <v>43</v>
      </c>
      <c r="F516" s="3">
        <v>45576</v>
      </c>
      <c r="G516" s="2">
        <v>12</v>
      </c>
      <c r="H516" s="13">
        <v>1002.0675517241378</v>
      </c>
      <c r="I516" s="4" t="s">
        <v>12</v>
      </c>
      <c r="J516" s="4" t="str" cm="1">
        <f t="array" ref="J516">_xlfn.IFS(Table3[[#This Row],[Age (Years)]] &lt; 40, "Young", Table3[[#This Row],[Age (Years)]] &gt;= 40, "Middle", Table3[[#This Row],[Age (Years)]] &gt; 60, "Senior")</f>
        <v>Middle</v>
      </c>
      <c r="K516" s="4" t="str" cm="1">
        <f t="array" ref="K516">_xlfn.IFS(Table3[[#This Row],[Drug_Cost_GBP]] &gt; 1200, "High Cost", Table3[[#This Row],[Drug_Cost_GBP]] &lt; 1200, "Normal")</f>
        <v>Normal</v>
      </c>
      <c r="L516" s="4" t="str" cm="1">
        <f t="array" ref="L516">IFERROR(_xlfn.IFS(Table3[[#This Row],[Age (Years)]]  &gt; 75, "YES", Table3[[#This Row],[Age (Years)]] &lt; 75, "NO"), "UNKNOWN")</f>
        <v>NO</v>
      </c>
      <c r="M516" s="4" t="str">
        <f>IF(Table3[[#This Row],[Drug_Cost_GBP]] &gt; Analysis_Sheet!$B$21, "Above Average", "Within Average")</f>
        <v>Within Average</v>
      </c>
      <c r="N516" s="39" t="str">
        <f t="shared" si="8"/>
        <v>October 2024</v>
      </c>
    </row>
    <row r="517" spans="1:14" x14ac:dyDescent="0.3">
      <c r="A517" s="1" t="s">
        <v>566</v>
      </c>
      <c r="B517" s="17">
        <v>57</v>
      </c>
      <c r="C517" s="2" t="s">
        <v>899</v>
      </c>
      <c r="D517" s="2" t="s">
        <v>10</v>
      </c>
      <c r="E517" s="2" t="s">
        <v>11</v>
      </c>
      <c r="F517" s="3">
        <v>45398</v>
      </c>
      <c r="G517" s="2">
        <v>3</v>
      </c>
      <c r="H517" s="13">
        <v>1002.0675517241378</v>
      </c>
      <c r="I517" s="4" t="s">
        <v>12</v>
      </c>
      <c r="J517" s="8" t="str" cm="1">
        <f t="array" ref="J517">_xlfn.IFS(Table3[[#This Row],[Age (Years)]] &lt; 40, "Young", Table3[[#This Row],[Age (Years)]] &gt;= 40, "Middle", Table3[[#This Row],[Age (Years)]] &gt; 60, "Senior")</f>
        <v>Middle</v>
      </c>
      <c r="K517" s="8" t="str" cm="1">
        <f t="array" ref="K517">_xlfn.IFS(Table3[[#This Row],[Drug_Cost_GBP]] &gt; 1200, "High Cost", Table3[[#This Row],[Drug_Cost_GBP]] &lt; 1200, "Normal")</f>
        <v>Normal</v>
      </c>
      <c r="L517" s="8" t="str" cm="1">
        <f t="array" ref="L517">IFERROR(_xlfn.IFS(Table3[[#This Row],[Age (Years)]]  &gt; 75, "YES", Table3[[#This Row],[Age (Years)]] &lt; 75, "NO"), "UNKNOWN")</f>
        <v>NO</v>
      </c>
      <c r="M517" s="8" t="str">
        <f>IF(Table3[[#This Row],[Drug_Cost_GBP]] &gt; Analysis_Sheet!$B$21, "Above Average", "Within Average")</f>
        <v>Within Average</v>
      </c>
      <c r="N517" s="39" t="str">
        <f t="shared" si="8"/>
        <v>April 2024</v>
      </c>
    </row>
    <row r="518" spans="1:14" x14ac:dyDescent="0.3">
      <c r="A518" s="5" t="s">
        <v>567</v>
      </c>
      <c r="B518" s="18">
        <v>57</v>
      </c>
      <c r="C518" s="6" t="s">
        <v>38</v>
      </c>
      <c r="D518" s="6" t="s">
        <v>898</v>
      </c>
      <c r="E518" s="6" t="s">
        <v>57</v>
      </c>
      <c r="F518" s="7" t="s">
        <v>900</v>
      </c>
      <c r="G518" s="6">
        <v>12</v>
      </c>
      <c r="H518" s="14">
        <v>1002.0675517241378</v>
      </c>
      <c r="I518" s="8" t="s">
        <v>16</v>
      </c>
      <c r="J518" s="8" t="str" cm="1">
        <f t="array" ref="J518">_xlfn.IFS(Table3[[#This Row],[Age (Years)]] &lt; 40, "Young", Table3[[#This Row],[Age (Years)]] &gt;= 40, "Middle", Table3[[#This Row],[Age (Years)]] &gt; 60, "Senior")</f>
        <v>Middle</v>
      </c>
      <c r="K518" s="8" t="str" cm="1">
        <f t="array" ref="K518">_xlfn.IFS(Table3[[#This Row],[Drug_Cost_GBP]] &gt; 1200, "High Cost", Table3[[#This Row],[Drug_Cost_GBP]] &lt; 1200, "Normal")</f>
        <v>Normal</v>
      </c>
      <c r="L518" s="8" t="str" cm="1">
        <f t="array" ref="L518">IFERROR(_xlfn.IFS(Table3[[#This Row],[Age (Years)]]  &gt; 75, "YES", Table3[[#This Row],[Age (Years)]] &lt; 75, "NO"), "UNKNOWN")</f>
        <v>NO</v>
      </c>
      <c r="M518" s="8" t="str">
        <f>IF(Table3[[#This Row],[Drug_Cost_GBP]] &gt; Analysis_Sheet!$B$21, "Above Average", "Within Average")</f>
        <v>Within Average</v>
      </c>
      <c r="N518" s="39" t="str">
        <f t="shared" si="8"/>
        <v>Unknown</v>
      </c>
    </row>
    <row r="519" spans="1:14" x14ac:dyDescent="0.3">
      <c r="A519" s="5" t="s">
        <v>573</v>
      </c>
      <c r="B519" s="18">
        <v>57</v>
      </c>
      <c r="C519" s="6" t="s">
        <v>38</v>
      </c>
      <c r="D519" s="6" t="s">
        <v>898</v>
      </c>
      <c r="E519" s="6" t="s">
        <v>34</v>
      </c>
      <c r="F519" s="7" t="s">
        <v>900</v>
      </c>
      <c r="G519" s="6">
        <v>12</v>
      </c>
      <c r="H519" s="14">
        <v>1002.0675517241378</v>
      </c>
      <c r="I519" s="8" t="s">
        <v>900</v>
      </c>
      <c r="J519" s="8" t="str" cm="1">
        <f t="array" ref="J519">_xlfn.IFS(Table3[[#This Row],[Age (Years)]] &lt; 40, "Young", Table3[[#This Row],[Age (Years)]] &gt;= 40, "Middle", Table3[[#This Row],[Age (Years)]] &gt; 60, "Senior")</f>
        <v>Middle</v>
      </c>
      <c r="K519" s="8" t="str" cm="1">
        <f t="array" ref="K519">_xlfn.IFS(Table3[[#This Row],[Drug_Cost_GBP]] &gt; 1200, "High Cost", Table3[[#This Row],[Drug_Cost_GBP]] &lt; 1200, "Normal")</f>
        <v>Normal</v>
      </c>
      <c r="L519" s="8" t="str" cm="1">
        <f t="array" ref="L519">IFERROR(_xlfn.IFS(Table3[[#This Row],[Age (Years)]]  &gt; 75, "YES", Table3[[#This Row],[Age (Years)]] &lt; 75, "NO"), "UNKNOWN")</f>
        <v>NO</v>
      </c>
      <c r="M519" s="8" t="str">
        <f>IF(Table3[[#This Row],[Drug_Cost_GBP]] &gt; Analysis_Sheet!$B$21, "Above Average", "Within Average")</f>
        <v>Within Average</v>
      </c>
      <c r="N519" s="39" t="str">
        <f t="shared" si="8"/>
        <v>Unknown</v>
      </c>
    </row>
    <row r="520" spans="1:14" x14ac:dyDescent="0.3">
      <c r="A520" s="5" t="s">
        <v>575</v>
      </c>
      <c r="B520" s="18">
        <v>57</v>
      </c>
      <c r="C520" s="6" t="s">
        <v>900</v>
      </c>
      <c r="D520" s="6" t="s">
        <v>900</v>
      </c>
      <c r="E520" s="6" t="s">
        <v>57</v>
      </c>
      <c r="F520" s="7" t="s">
        <v>900</v>
      </c>
      <c r="G520" s="6">
        <v>15</v>
      </c>
      <c r="H520" s="14">
        <v>1002.0675517241378</v>
      </c>
      <c r="I520" s="8" t="s">
        <v>900</v>
      </c>
      <c r="J520" s="8" t="str" cm="1">
        <f t="array" ref="J520">_xlfn.IFS(Table3[[#This Row],[Age (Years)]] &lt; 40, "Young", Table3[[#This Row],[Age (Years)]] &gt;= 40, "Middle", Table3[[#This Row],[Age (Years)]] &gt; 60, "Senior")</f>
        <v>Middle</v>
      </c>
      <c r="K520" s="8" t="str" cm="1">
        <f t="array" ref="K520">_xlfn.IFS(Table3[[#This Row],[Drug_Cost_GBP]] &gt; 1200, "High Cost", Table3[[#This Row],[Drug_Cost_GBP]] &lt; 1200, "Normal")</f>
        <v>Normal</v>
      </c>
      <c r="L520" s="8" t="str" cm="1">
        <f t="array" ref="L520">IFERROR(_xlfn.IFS(Table3[[#This Row],[Age (Years)]]  &gt; 75, "YES", Table3[[#This Row],[Age (Years)]] &lt; 75, "NO"), "UNKNOWN")</f>
        <v>NO</v>
      </c>
      <c r="M520" s="8" t="str">
        <f>IF(Table3[[#This Row],[Drug_Cost_GBP]] &gt; Analysis_Sheet!$B$21, "Above Average", "Within Average")</f>
        <v>Within Average</v>
      </c>
      <c r="N520" s="39" t="str">
        <f t="shared" si="8"/>
        <v>Unknown</v>
      </c>
    </row>
    <row r="521" spans="1:14" x14ac:dyDescent="0.3">
      <c r="A521" s="5" t="s">
        <v>577</v>
      </c>
      <c r="B521" s="18">
        <v>57</v>
      </c>
      <c r="C521" s="6" t="s">
        <v>38</v>
      </c>
      <c r="D521" s="6" t="s">
        <v>10</v>
      </c>
      <c r="E521" s="6" t="s">
        <v>43</v>
      </c>
      <c r="F521" s="7">
        <v>45372</v>
      </c>
      <c r="G521" s="6">
        <v>5</v>
      </c>
      <c r="H521" s="14">
        <v>613.14</v>
      </c>
      <c r="I521" s="8" t="s">
        <v>26</v>
      </c>
      <c r="J521" s="8" t="str" cm="1">
        <f t="array" ref="J521">_xlfn.IFS(Table3[[#This Row],[Age (Years)]] &lt; 40, "Young", Table3[[#This Row],[Age (Years)]] &gt;= 40, "Middle", Table3[[#This Row],[Age (Years)]] &gt; 60, "Senior")</f>
        <v>Middle</v>
      </c>
      <c r="K521" s="8" t="str" cm="1">
        <f t="array" ref="K521">_xlfn.IFS(Table3[[#This Row],[Drug_Cost_GBP]] &gt; 1200, "High Cost", Table3[[#This Row],[Drug_Cost_GBP]] &lt; 1200, "Normal")</f>
        <v>Normal</v>
      </c>
      <c r="L521" s="8" t="str" cm="1">
        <f t="array" ref="L521">IFERROR(_xlfn.IFS(Table3[[#This Row],[Age (Years)]]  &gt; 75, "YES", Table3[[#This Row],[Age (Years)]] &lt; 75, "NO"), "UNKNOWN")</f>
        <v>NO</v>
      </c>
      <c r="M521" s="8" t="str">
        <f>IF(Table3[[#This Row],[Drug_Cost_GBP]] &gt; Analysis_Sheet!$B$21, "Above Average", "Within Average")</f>
        <v>Within Average</v>
      </c>
      <c r="N521" s="39" t="str">
        <f t="shared" si="8"/>
        <v>March 2024</v>
      </c>
    </row>
    <row r="522" spans="1:14" x14ac:dyDescent="0.3">
      <c r="A522" s="5" t="s">
        <v>581</v>
      </c>
      <c r="B522" s="18">
        <v>57</v>
      </c>
      <c r="C522" s="6" t="s">
        <v>899</v>
      </c>
      <c r="D522" s="6" t="s">
        <v>900</v>
      </c>
      <c r="E522" s="6" t="s">
        <v>34</v>
      </c>
      <c r="F522" s="7">
        <v>45567</v>
      </c>
      <c r="G522" s="6">
        <v>12</v>
      </c>
      <c r="H522" s="14">
        <v>1002.0675517241378</v>
      </c>
      <c r="I522" s="8" t="s">
        <v>21</v>
      </c>
      <c r="J522" s="4" t="str" cm="1">
        <f t="array" ref="J522">_xlfn.IFS(Table3[[#This Row],[Age (Years)]] &lt; 40, "Young", Table3[[#This Row],[Age (Years)]] &gt;= 40, "Middle", Table3[[#This Row],[Age (Years)]] &gt; 60, "Senior")</f>
        <v>Middle</v>
      </c>
      <c r="K522" s="4" t="str" cm="1">
        <f t="array" ref="K522">_xlfn.IFS(Table3[[#This Row],[Drug_Cost_GBP]] &gt; 1200, "High Cost", Table3[[#This Row],[Drug_Cost_GBP]] &lt; 1200, "Normal")</f>
        <v>Normal</v>
      </c>
      <c r="L522" s="4" t="str" cm="1">
        <f t="array" ref="L522">IFERROR(_xlfn.IFS(Table3[[#This Row],[Age (Years)]]  &gt; 75, "YES", Table3[[#This Row],[Age (Years)]] &lt; 75, "NO"), "UNKNOWN")</f>
        <v>NO</v>
      </c>
      <c r="M522" s="4" t="str">
        <f>IF(Table3[[#This Row],[Drug_Cost_GBP]] &gt; Analysis_Sheet!$B$21, "Above Average", "Within Average")</f>
        <v>Within Average</v>
      </c>
      <c r="N522" s="39" t="str">
        <f t="shared" si="8"/>
        <v>October 2024</v>
      </c>
    </row>
    <row r="523" spans="1:14" x14ac:dyDescent="0.3">
      <c r="A523" s="1" t="s">
        <v>584</v>
      </c>
      <c r="B523" s="17">
        <v>57</v>
      </c>
      <c r="C523" s="2" t="s">
        <v>899</v>
      </c>
      <c r="D523" s="2" t="s">
        <v>14</v>
      </c>
      <c r="E523" s="2" t="s">
        <v>11</v>
      </c>
      <c r="F523" s="3">
        <v>45417</v>
      </c>
      <c r="G523" s="2">
        <v>12</v>
      </c>
      <c r="H523" s="13">
        <v>1002.0675517241378</v>
      </c>
      <c r="I523" s="4" t="s">
        <v>12</v>
      </c>
      <c r="J523" s="8" t="str" cm="1">
        <f t="array" ref="J523">_xlfn.IFS(Table3[[#This Row],[Age (Years)]] &lt; 40, "Young", Table3[[#This Row],[Age (Years)]] &gt;= 40, "Middle", Table3[[#This Row],[Age (Years)]] &gt; 60, "Senior")</f>
        <v>Middle</v>
      </c>
      <c r="K523" s="8" t="str" cm="1">
        <f t="array" ref="K523">_xlfn.IFS(Table3[[#This Row],[Drug_Cost_GBP]] &gt; 1200, "High Cost", Table3[[#This Row],[Drug_Cost_GBP]] &lt; 1200, "Normal")</f>
        <v>Normal</v>
      </c>
      <c r="L523" s="8" t="str" cm="1">
        <f t="array" ref="L523">IFERROR(_xlfn.IFS(Table3[[#This Row],[Age (Years)]]  &gt; 75, "YES", Table3[[#This Row],[Age (Years)]] &lt; 75, "NO"), "UNKNOWN")</f>
        <v>NO</v>
      </c>
      <c r="M523" s="8" t="str">
        <f>IF(Table3[[#This Row],[Drug_Cost_GBP]] &gt; Analysis_Sheet!$B$21, "Above Average", "Within Average")</f>
        <v>Within Average</v>
      </c>
      <c r="N523" s="39" t="str">
        <f t="shared" si="8"/>
        <v>May 2024</v>
      </c>
    </row>
    <row r="524" spans="1:14" x14ac:dyDescent="0.3">
      <c r="A524" s="5" t="s">
        <v>585</v>
      </c>
      <c r="B524" s="18">
        <v>57</v>
      </c>
      <c r="C524" s="6" t="s">
        <v>900</v>
      </c>
      <c r="D524" s="6" t="s">
        <v>898</v>
      </c>
      <c r="E524" s="6" t="s">
        <v>11</v>
      </c>
      <c r="F524" s="7">
        <v>45634</v>
      </c>
      <c r="G524" s="6">
        <v>20</v>
      </c>
      <c r="H524" s="14">
        <v>1002.0675517241378</v>
      </c>
      <c r="I524" s="8" t="s">
        <v>900</v>
      </c>
      <c r="J524" s="8" t="str" cm="1">
        <f t="array" ref="J524">_xlfn.IFS(Table3[[#This Row],[Age (Years)]] &lt; 40, "Young", Table3[[#This Row],[Age (Years)]] &gt;= 40, "Middle", Table3[[#This Row],[Age (Years)]] &gt; 60, "Senior")</f>
        <v>Middle</v>
      </c>
      <c r="K524" s="8" t="str" cm="1">
        <f t="array" ref="K524">_xlfn.IFS(Table3[[#This Row],[Drug_Cost_GBP]] &gt; 1200, "High Cost", Table3[[#This Row],[Drug_Cost_GBP]] &lt; 1200, "Normal")</f>
        <v>Normal</v>
      </c>
      <c r="L524" s="8" t="str" cm="1">
        <f t="array" ref="L524">IFERROR(_xlfn.IFS(Table3[[#This Row],[Age (Years)]]  &gt; 75, "YES", Table3[[#This Row],[Age (Years)]] &lt; 75, "NO"), "UNKNOWN")</f>
        <v>NO</v>
      </c>
      <c r="M524" s="8" t="str">
        <f>IF(Table3[[#This Row],[Drug_Cost_GBP]] &gt; Analysis_Sheet!$B$21, "Above Average", "Within Average")</f>
        <v>Within Average</v>
      </c>
      <c r="N524" s="39" t="str">
        <f t="shared" si="8"/>
        <v>December 2024</v>
      </c>
    </row>
    <row r="525" spans="1:14" x14ac:dyDescent="0.3">
      <c r="A525" s="5" t="s">
        <v>587</v>
      </c>
      <c r="B525" s="18">
        <v>57</v>
      </c>
      <c r="C525" s="6" t="s">
        <v>38</v>
      </c>
      <c r="D525" s="6" t="s">
        <v>51</v>
      </c>
      <c r="E525" s="6" t="s">
        <v>23</v>
      </c>
      <c r="F525" s="7">
        <v>45394</v>
      </c>
      <c r="G525" s="6">
        <v>12</v>
      </c>
      <c r="H525" s="14">
        <v>1548.73</v>
      </c>
      <c r="I525" s="8" t="s">
        <v>16</v>
      </c>
      <c r="J525" s="4" t="str" cm="1">
        <f t="array" ref="J525">_xlfn.IFS(Table3[[#This Row],[Age (Years)]] &lt; 40, "Young", Table3[[#This Row],[Age (Years)]] &gt;= 40, "Middle", Table3[[#This Row],[Age (Years)]] &gt; 60, "Senior")</f>
        <v>Middle</v>
      </c>
      <c r="K525" s="4" t="str" cm="1">
        <f t="array" ref="K525">_xlfn.IFS(Table3[[#This Row],[Drug_Cost_GBP]] &gt; 1200, "High Cost", Table3[[#This Row],[Drug_Cost_GBP]] &lt; 1200, "Normal")</f>
        <v>High Cost</v>
      </c>
      <c r="L525" s="4" t="str" cm="1">
        <f t="array" ref="L525">IFERROR(_xlfn.IFS(Table3[[#This Row],[Age (Years)]]  &gt; 75, "YES", Table3[[#This Row],[Age (Years)]] &lt; 75, "NO"), "UNKNOWN")</f>
        <v>NO</v>
      </c>
      <c r="M525" s="4" t="str">
        <f>IF(Table3[[#This Row],[Drug_Cost_GBP]] &gt; Analysis_Sheet!$B$21, "Above Average", "Within Average")</f>
        <v>Above Average</v>
      </c>
      <c r="N525" s="39" t="str">
        <f t="shared" si="8"/>
        <v>April 2024</v>
      </c>
    </row>
    <row r="526" spans="1:14" x14ac:dyDescent="0.3">
      <c r="A526" s="1" t="s">
        <v>590</v>
      </c>
      <c r="B526" s="17">
        <v>57</v>
      </c>
      <c r="C526" s="2" t="s">
        <v>38</v>
      </c>
      <c r="D526" s="2" t="s">
        <v>48</v>
      </c>
      <c r="E526" s="2" t="s">
        <v>57</v>
      </c>
      <c r="F526" s="3" t="s">
        <v>900</v>
      </c>
      <c r="G526" s="2">
        <v>12</v>
      </c>
      <c r="H526" s="13">
        <v>1129.1199999999999</v>
      </c>
      <c r="I526" s="4" t="s">
        <v>26</v>
      </c>
      <c r="J526" s="8" t="str" cm="1">
        <f t="array" ref="J526">_xlfn.IFS(Table3[[#This Row],[Age (Years)]] &lt; 40, "Young", Table3[[#This Row],[Age (Years)]] &gt;= 40, "Middle", Table3[[#This Row],[Age (Years)]] &gt; 60, "Senior")</f>
        <v>Middle</v>
      </c>
      <c r="K526" s="8" t="str" cm="1">
        <f t="array" ref="K526">_xlfn.IFS(Table3[[#This Row],[Drug_Cost_GBP]] &gt; 1200, "High Cost", Table3[[#This Row],[Drug_Cost_GBP]] &lt; 1200, "Normal")</f>
        <v>Normal</v>
      </c>
      <c r="L526" s="8" t="str" cm="1">
        <f t="array" ref="L526">IFERROR(_xlfn.IFS(Table3[[#This Row],[Age (Years)]]  &gt; 75, "YES", Table3[[#This Row],[Age (Years)]] &lt; 75, "NO"), "UNKNOWN")</f>
        <v>NO</v>
      </c>
      <c r="M526" s="8" t="str">
        <f>IF(Table3[[#This Row],[Drug_Cost_GBP]] &gt; Analysis_Sheet!$B$21, "Above Average", "Within Average")</f>
        <v>Above Average</v>
      </c>
      <c r="N526" s="39" t="str">
        <f t="shared" si="8"/>
        <v>Unknown</v>
      </c>
    </row>
    <row r="527" spans="1:14" x14ac:dyDescent="0.3">
      <c r="A527" s="5" t="s">
        <v>591</v>
      </c>
      <c r="B527" s="18">
        <v>57</v>
      </c>
      <c r="C527" s="6" t="s">
        <v>38</v>
      </c>
      <c r="D527" s="6" t="s">
        <v>14</v>
      </c>
      <c r="E527" s="6" t="s">
        <v>23</v>
      </c>
      <c r="F527" s="7">
        <v>45379</v>
      </c>
      <c r="G527" s="6">
        <v>12</v>
      </c>
      <c r="H527" s="14">
        <v>1002.0675517241378</v>
      </c>
      <c r="I527" s="8" t="s">
        <v>900</v>
      </c>
      <c r="J527" s="4" t="str" cm="1">
        <f t="array" ref="J527">_xlfn.IFS(Table3[[#This Row],[Age (Years)]] &lt; 40, "Young", Table3[[#This Row],[Age (Years)]] &gt;= 40, "Middle", Table3[[#This Row],[Age (Years)]] &gt; 60, "Senior")</f>
        <v>Middle</v>
      </c>
      <c r="K527" s="4" t="str" cm="1">
        <f t="array" ref="K527">_xlfn.IFS(Table3[[#This Row],[Drug_Cost_GBP]] &gt; 1200, "High Cost", Table3[[#This Row],[Drug_Cost_GBP]] &lt; 1200, "Normal")</f>
        <v>Normal</v>
      </c>
      <c r="L527" s="4" t="str" cm="1">
        <f t="array" ref="L527">IFERROR(_xlfn.IFS(Table3[[#This Row],[Age (Years)]]  &gt; 75, "YES", Table3[[#This Row],[Age (Years)]] &lt; 75, "NO"), "UNKNOWN")</f>
        <v>NO</v>
      </c>
      <c r="M527" s="4" t="str">
        <f>IF(Table3[[#This Row],[Drug_Cost_GBP]] &gt; Analysis_Sheet!$B$21, "Above Average", "Within Average")</f>
        <v>Within Average</v>
      </c>
      <c r="N527" s="39" t="str">
        <f t="shared" si="8"/>
        <v>March 2024</v>
      </c>
    </row>
    <row r="528" spans="1:14" x14ac:dyDescent="0.3">
      <c r="A528" s="1" t="s">
        <v>592</v>
      </c>
      <c r="B528" s="17">
        <v>57</v>
      </c>
      <c r="C528" s="2" t="s">
        <v>899</v>
      </c>
      <c r="D528" s="2" t="s">
        <v>900</v>
      </c>
      <c r="E528" s="2" t="s">
        <v>43</v>
      </c>
      <c r="F528" s="3">
        <v>45414</v>
      </c>
      <c r="G528" s="2">
        <v>12</v>
      </c>
      <c r="H528" s="13">
        <v>1002.0675517241378</v>
      </c>
      <c r="I528" s="4" t="s">
        <v>12</v>
      </c>
      <c r="J528" s="8" t="str" cm="1">
        <f t="array" ref="J528">_xlfn.IFS(Table3[[#This Row],[Age (Years)]] &lt; 40, "Young", Table3[[#This Row],[Age (Years)]] &gt;= 40, "Middle", Table3[[#This Row],[Age (Years)]] &gt; 60, "Senior")</f>
        <v>Middle</v>
      </c>
      <c r="K528" s="8" t="str" cm="1">
        <f t="array" ref="K528">_xlfn.IFS(Table3[[#This Row],[Drug_Cost_GBP]] &gt; 1200, "High Cost", Table3[[#This Row],[Drug_Cost_GBP]] &lt; 1200, "Normal")</f>
        <v>Normal</v>
      </c>
      <c r="L528" s="8" t="str" cm="1">
        <f t="array" ref="L528">IFERROR(_xlfn.IFS(Table3[[#This Row],[Age (Years)]]  &gt; 75, "YES", Table3[[#This Row],[Age (Years)]] &lt; 75, "NO"), "UNKNOWN")</f>
        <v>NO</v>
      </c>
      <c r="M528" s="8" t="str">
        <f>IF(Table3[[#This Row],[Drug_Cost_GBP]] &gt; Analysis_Sheet!$B$21, "Above Average", "Within Average")</f>
        <v>Within Average</v>
      </c>
      <c r="N528" s="39" t="str">
        <f t="shared" si="8"/>
        <v>May 2024</v>
      </c>
    </row>
    <row r="529" spans="1:14" x14ac:dyDescent="0.3">
      <c r="A529" s="5" t="s">
        <v>593</v>
      </c>
      <c r="B529" s="18">
        <v>57</v>
      </c>
      <c r="C529" s="6" t="s">
        <v>38</v>
      </c>
      <c r="D529" s="6" t="s">
        <v>898</v>
      </c>
      <c r="E529" s="6" t="s">
        <v>23</v>
      </c>
      <c r="F529" s="7">
        <v>45403</v>
      </c>
      <c r="G529" s="6">
        <v>1</v>
      </c>
      <c r="H529" s="14">
        <v>1002.0675517241378</v>
      </c>
      <c r="I529" s="8" t="s">
        <v>26</v>
      </c>
      <c r="J529" s="8" t="str" cm="1">
        <f t="array" ref="J529">_xlfn.IFS(Table3[[#This Row],[Age (Years)]] &lt; 40, "Young", Table3[[#This Row],[Age (Years)]] &gt;= 40, "Middle", Table3[[#This Row],[Age (Years)]] &gt; 60, "Senior")</f>
        <v>Middle</v>
      </c>
      <c r="K529" s="8" t="str" cm="1">
        <f t="array" ref="K529">_xlfn.IFS(Table3[[#This Row],[Drug_Cost_GBP]] &gt; 1200, "High Cost", Table3[[#This Row],[Drug_Cost_GBP]] &lt; 1200, "Normal")</f>
        <v>Normal</v>
      </c>
      <c r="L529" s="8" t="str" cm="1">
        <f t="array" ref="L529">IFERROR(_xlfn.IFS(Table3[[#This Row],[Age (Years)]]  &gt; 75, "YES", Table3[[#This Row],[Age (Years)]] &lt; 75, "NO"), "UNKNOWN")</f>
        <v>NO</v>
      </c>
      <c r="M529" s="8" t="str">
        <f>IF(Table3[[#This Row],[Drug_Cost_GBP]] &gt; Analysis_Sheet!$B$21, "Above Average", "Within Average")</f>
        <v>Within Average</v>
      </c>
      <c r="N529" s="39" t="str">
        <f t="shared" si="8"/>
        <v>April 2024</v>
      </c>
    </row>
    <row r="530" spans="1:14" x14ac:dyDescent="0.3">
      <c r="A530" s="5" t="s">
        <v>595</v>
      </c>
      <c r="B530" s="18">
        <v>57</v>
      </c>
      <c r="C530" s="6" t="s">
        <v>899</v>
      </c>
      <c r="D530" s="6" t="s">
        <v>898</v>
      </c>
      <c r="E530" s="6" t="s">
        <v>23</v>
      </c>
      <c r="F530" s="7">
        <v>45339</v>
      </c>
      <c r="G530" s="6">
        <v>12</v>
      </c>
      <c r="H530" s="14">
        <v>1413.42</v>
      </c>
      <c r="I530" s="8" t="s">
        <v>26</v>
      </c>
      <c r="J530" s="8" t="str" cm="1">
        <f t="array" ref="J530">_xlfn.IFS(Table3[[#This Row],[Age (Years)]] &lt; 40, "Young", Table3[[#This Row],[Age (Years)]] &gt;= 40, "Middle", Table3[[#This Row],[Age (Years)]] &gt; 60, "Senior")</f>
        <v>Middle</v>
      </c>
      <c r="K530" s="8" t="str" cm="1">
        <f t="array" ref="K530">_xlfn.IFS(Table3[[#This Row],[Drug_Cost_GBP]] &gt; 1200, "High Cost", Table3[[#This Row],[Drug_Cost_GBP]] &lt; 1200, "Normal")</f>
        <v>High Cost</v>
      </c>
      <c r="L530" s="8" t="str" cm="1">
        <f t="array" ref="L530">IFERROR(_xlfn.IFS(Table3[[#This Row],[Age (Years)]]  &gt; 75, "YES", Table3[[#This Row],[Age (Years)]] &lt; 75, "NO"), "UNKNOWN")</f>
        <v>NO</v>
      </c>
      <c r="M530" s="8" t="str">
        <f>IF(Table3[[#This Row],[Drug_Cost_GBP]] &gt; Analysis_Sheet!$B$21, "Above Average", "Within Average")</f>
        <v>Above Average</v>
      </c>
      <c r="N530" s="39" t="str">
        <f t="shared" si="8"/>
        <v>February 2024</v>
      </c>
    </row>
    <row r="531" spans="1:14" x14ac:dyDescent="0.3">
      <c r="A531" s="5" t="s">
        <v>597</v>
      </c>
      <c r="B531" s="18">
        <v>57</v>
      </c>
      <c r="C531" s="6" t="s">
        <v>899</v>
      </c>
      <c r="D531" s="6" t="s">
        <v>900</v>
      </c>
      <c r="E531" s="6" t="s">
        <v>34</v>
      </c>
      <c r="F531" s="7">
        <v>45464</v>
      </c>
      <c r="G531" s="6">
        <v>12</v>
      </c>
      <c r="H531" s="14">
        <v>1002.0675517241378</v>
      </c>
      <c r="I531" s="8" t="s">
        <v>900</v>
      </c>
      <c r="J531" s="4" t="str" cm="1">
        <f t="array" ref="J531">_xlfn.IFS(Table3[[#This Row],[Age (Years)]] &lt; 40, "Young", Table3[[#This Row],[Age (Years)]] &gt;= 40, "Middle", Table3[[#This Row],[Age (Years)]] &gt; 60, "Senior")</f>
        <v>Middle</v>
      </c>
      <c r="K531" s="4" t="str" cm="1">
        <f t="array" ref="K531">_xlfn.IFS(Table3[[#This Row],[Drug_Cost_GBP]] &gt; 1200, "High Cost", Table3[[#This Row],[Drug_Cost_GBP]] &lt; 1200, "Normal")</f>
        <v>Normal</v>
      </c>
      <c r="L531" s="4" t="str" cm="1">
        <f t="array" ref="L531">IFERROR(_xlfn.IFS(Table3[[#This Row],[Age (Years)]]  &gt; 75, "YES", Table3[[#This Row],[Age (Years)]] &lt; 75, "NO"), "UNKNOWN")</f>
        <v>NO</v>
      </c>
      <c r="M531" s="4" t="str">
        <f>IF(Table3[[#This Row],[Drug_Cost_GBP]] &gt; Analysis_Sheet!$B$21, "Above Average", "Within Average")</f>
        <v>Within Average</v>
      </c>
      <c r="N531" s="39" t="str">
        <f t="shared" si="8"/>
        <v>June 2024</v>
      </c>
    </row>
    <row r="532" spans="1:14" x14ac:dyDescent="0.3">
      <c r="A532" s="1" t="s">
        <v>598</v>
      </c>
      <c r="B532" s="17">
        <v>57</v>
      </c>
      <c r="C532" s="2" t="s">
        <v>38</v>
      </c>
      <c r="D532" s="2" t="s">
        <v>19</v>
      </c>
      <c r="E532" s="2" t="s">
        <v>11</v>
      </c>
      <c r="F532" s="3">
        <v>45450</v>
      </c>
      <c r="G532" s="2">
        <v>12</v>
      </c>
      <c r="H532" s="13">
        <v>1002.0675517241378</v>
      </c>
      <c r="I532" s="4" t="s">
        <v>900</v>
      </c>
      <c r="J532" s="8" t="str" cm="1">
        <f t="array" ref="J532">_xlfn.IFS(Table3[[#This Row],[Age (Years)]] &lt; 40, "Young", Table3[[#This Row],[Age (Years)]] &gt;= 40, "Middle", Table3[[#This Row],[Age (Years)]] &gt; 60, "Senior")</f>
        <v>Middle</v>
      </c>
      <c r="K532" s="8" t="str" cm="1">
        <f t="array" ref="K532">_xlfn.IFS(Table3[[#This Row],[Drug_Cost_GBP]] &gt; 1200, "High Cost", Table3[[#This Row],[Drug_Cost_GBP]] &lt; 1200, "Normal")</f>
        <v>Normal</v>
      </c>
      <c r="L532" s="8" t="str" cm="1">
        <f t="array" ref="L532">IFERROR(_xlfn.IFS(Table3[[#This Row],[Age (Years)]]  &gt; 75, "YES", Table3[[#This Row],[Age (Years)]] &lt; 75, "NO"), "UNKNOWN")</f>
        <v>NO</v>
      </c>
      <c r="M532" s="8" t="str">
        <f>IF(Table3[[#This Row],[Drug_Cost_GBP]] &gt; Analysis_Sheet!$B$21, "Above Average", "Within Average")</f>
        <v>Within Average</v>
      </c>
      <c r="N532" s="39" t="str">
        <f t="shared" si="8"/>
        <v>June 2024</v>
      </c>
    </row>
    <row r="533" spans="1:14" x14ac:dyDescent="0.3">
      <c r="A533" s="5" t="s">
        <v>599</v>
      </c>
      <c r="B533" s="18">
        <v>57</v>
      </c>
      <c r="C533" s="6" t="s">
        <v>38</v>
      </c>
      <c r="D533" s="6" t="s">
        <v>25</v>
      </c>
      <c r="E533" s="6" t="s">
        <v>43</v>
      </c>
      <c r="F533" s="7">
        <v>45635</v>
      </c>
      <c r="G533" s="6">
        <v>2</v>
      </c>
      <c r="H533" s="14">
        <v>1713.48</v>
      </c>
      <c r="I533" s="8" t="s">
        <v>21</v>
      </c>
      <c r="J533" s="4" t="str" cm="1">
        <f t="array" ref="J533">_xlfn.IFS(Table3[[#This Row],[Age (Years)]] &lt; 40, "Young", Table3[[#This Row],[Age (Years)]] &gt;= 40, "Middle", Table3[[#This Row],[Age (Years)]] &gt; 60, "Senior")</f>
        <v>Middle</v>
      </c>
      <c r="K533" s="4" t="str" cm="1">
        <f t="array" ref="K533">_xlfn.IFS(Table3[[#This Row],[Drug_Cost_GBP]] &gt; 1200, "High Cost", Table3[[#This Row],[Drug_Cost_GBP]] &lt; 1200, "Normal")</f>
        <v>High Cost</v>
      </c>
      <c r="L533" s="4" t="str" cm="1">
        <f t="array" ref="L533">IFERROR(_xlfn.IFS(Table3[[#This Row],[Age (Years)]]  &gt; 75, "YES", Table3[[#This Row],[Age (Years)]] &lt; 75, "NO"), "UNKNOWN")</f>
        <v>NO</v>
      </c>
      <c r="M533" s="4" t="str">
        <f>IF(Table3[[#This Row],[Drug_Cost_GBP]] &gt; Analysis_Sheet!$B$21, "Above Average", "Within Average")</f>
        <v>Above Average</v>
      </c>
      <c r="N533" s="39" t="str">
        <f t="shared" si="8"/>
        <v>December 2024</v>
      </c>
    </row>
    <row r="534" spans="1:14" x14ac:dyDescent="0.3">
      <c r="A534" s="1" t="s">
        <v>600</v>
      </c>
      <c r="B534" s="17">
        <v>57</v>
      </c>
      <c r="C534" s="2" t="s">
        <v>38</v>
      </c>
      <c r="D534" s="2" t="s">
        <v>48</v>
      </c>
      <c r="E534" s="2" t="s">
        <v>29</v>
      </c>
      <c r="F534" s="3">
        <v>45466</v>
      </c>
      <c r="G534" s="2">
        <v>14</v>
      </c>
      <c r="H534" s="13">
        <v>1002.0675517241378</v>
      </c>
      <c r="I534" s="4" t="s">
        <v>900</v>
      </c>
      <c r="J534" s="4" t="str" cm="1">
        <f t="array" ref="J534">_xlfn.IFS(Table3[[#This Row],[Age (Years)]] &lt; 40, "Young", Table3[[#This Row],[Age (Years)]] &gt;= 40, "Middle", Table3[[#This Row],[Age (Years)]] &gt; 60, "Senior")</f>
        <v>Middle</v>
      </c>
      <c r="K534" s="4" t="str" cm="1">
        <f t="array" ref="K534">_xlfn.IFS(Table3[[#This Row],[Drug_Cost_GBP]] &gt; 1200, "High Cost", Table3[[#This Row],[Drug_Cost_GBP]] &lt; 1200, "Normal")</f>
        <v>Normal</v>
      </c>
      <c r="L534" s="4" t="str" cm="1">
        <f t="array" ref="L534">IFERROR(_xlfn.IFS(Table3[[#This Row],[Age (Years)]]  &gt; 75, "YES", Table3[[#This Row],[Age (Years)]] &lt; 75, "NO"), "UNKNOWN")</f>
        <v>NO</v>
      </c>
      <c r="M534" s="4" t="str">
        <f>IF(Table3[[#This Row],[Drug_Cost_GBP]] &gt; Analysis_Sheet!$B$21, "Above Average", "Within Average")</f>
        <v>Within Average</v>
      </c>
      <c r="N534" s="39" t="str">
        <f t="shared" si="8"/>
        <v>June 2024</v>
      </c>
    </row>
    <row r="535" spans="1:14" x14ac:dyDescent="0.3">
      <c r="A535" s="1" t="s">
        <v>602</v>
      </c>
      <c r="B535" s="17">
        <v>57</v>
      </c>
      <c r="C535" s="2" t="s">
        <v>900</v>
      </c>
      <c r="D535" s="2" t="s">
        <v>25</v>
      </c>
      <c r="E535" s="2" t="s">
        <v>29</v>
      </c>
      <c r="F535" s="3">
        <v>45619</v>
      </c>
      <c r="G535" s="2">
        <v>12</v>
      </c>
      <c r="H535" s="13">
        <v>1566.13</v>
      </c>
      <c r="I535" s="4" t="s">
        <v>900</v>
      </c>
      <c r="J535" s="8" t="str" cm="1">
        <f t="array" ref="J535">_xlfn.IFS(Table3[[#This Row],[Age (Years)]] &lt; 40, "Young", Table3[[#This Row],[Age (Years)]] &gt;= 40, "Middle", Table3[[#This Row],[Age (Years)]] &gt; 60, "Senior")</f>
        <v>Middle</v>
      </c>
      <c r="K535" s="8" t="str" cm="1">
        <f t="array" ref="K535">_xlfn.IFS(Table3[[#This Row],[Drug_Cost_GBP]] &gt; 1200, "High Cost", Table3[[#This Row],[Drug_Cost_GBP]] &lt; 1200, "Normal")</f>
        <v>High Cost</v>
      </c>
      <c r="L535" s="8" t="str" cm="1">
        <f t="array" ref="L535">IFERROR(_xlfn.IFS(Table3[[#This Row],[Age (Years)]]  &gt; 75, "YES", Table3[[#This Row],[Age (Years)]] &lt; 75, "NO"), "UNKNOWN")</f>
        <v>NO</v>
      </c>
      <c r="M535" s="8" t="str">
        <f>IF(Table3[[#This Row],[Drug_Cost_GBP]] &gt; Analysis_Sheet!$B$21, "Above Average", "Within Average")</f>
        <v>Above Average</v>
      </c>
      <c r="N535" s="39" t="str">
        <f t="shared" si="8"/>
        <v>November 2024</v>
      </c>
    </row>
    <row r="536" spans="1:14" x14ac:dyDescent="0.3">
      <c r="A536" s="5" t="s">
        <v>605</v>
      </c>
      <c r="B536" s="18">
        <v>57</v>
      </c>
      <c r="C536" s="6" t="s">
        <v>900</v>
      </c>
      <c r="D536" s="6" t="s">
        <v>19</v>
      </c>
      <c r="E536" s="6" t="s">
        <v>57</v>
      </c>
      <c r="F536" s="7">
        <v>45500</v>
      </c>
      <c r="G536" s="6">
        <v>18</v>
      </c>
      <c r="H536" s="14">
        <v>238.18</v>
      </c>
      <c r="I536" s="8" t="s">
        <v>16</v>
      </c>
      <c r="J536" s="4" t="str" cm="1">
        <f t="array" ref="J536">_xlfn.IFS(Table3[[#This Row],[Age (Years)]] &lt; 40, "Young", Table3[[#This Row],[Age (Years)]] &gt;= 40, "Middle", Table3[[#This Row],[Age (Years)]] &gt; 60, "Senior")</f>
        <v>Middle</v>
      </c>
      <c r="K536" s="4" t="str" cm="1">
        <f t="array" ref="K536">_xlfn.IFS(Table3[[#This Row],[Drug_Cost_GBP]] &gt; 1200, "High Cost", Table3[[#This Row],[Drug_Cost_GBP]] &lt; 1200, "Normal")</f>
        <v>Normal</v>
      </c>
      <c r="L536" s="4" t="str" cm="1">
        <f t="array" ref="L536">IFERROR(_xlfn.IFS(Table3[[#This Row],[Age (Years)]]  &gt; 75, "YES", Table3[[#This Row],[Age (Years)]] &lt; 75, "NO"), "UNKNOWN")</f>
        <v>NO</v>
      </c>
      <c r="M536" s="4" t="str">
        <f>IF(Table3[[#This Row],[Drug_Cost_GBP]] &gt; Analysis_Sheet!$B$21, "Above Average", "Within Average")</f>
        <v>Within Average</v>
      </c>
      <c r="N536" s="39" t="str">
        <f t="shared" si="8"/>
        <v>July 2024</v>
      </c>
    </row>
    <row r="537" spans="1:14" x14ac:dyDescent="0.3">
      <c r="A537" s="1" t="s">
        <v>606</v>
      </c>
      <c r="B537" s="17">
        <v>57</v>
      </c>
      <c r="C537" s="2" t="s">
        <v>900</v>
      </c>
      <c r="D537" s="2" t="s">
        <v>51</v>
      </c>
      <c r="E537" s="2" t="s">
        <v>43</v>
      </c>
      <c r="F537" s="3">
        <v>45445</v>
      </c>
      <c r="G537" s="2">
        <v>12</v>
      </c>
      <c r="H537" s="13">
        <v>1002.0675517241378</v>
      </c>
      <c r="I537" s="4" t="s">
        <v>900</v>
      </c>
      <c r="J537" s="4" t="str" cm="1">
        <f t="array" ref="J537">_xlfn.IFS(Table3[[#This Row],[Age (Years)]] &lt; 40, "Young", Table3[[#This Row],[Age (Years)]] &gt;= 40, "Middle", Table3[[#This Row],[Age (Years)]] &gt; 60, "Senior")</f>
        <v>Middle</v>
      </c>
      <c r="K537" s="4" t="str" cm="1">
        <f t="array" ref="K537">_xlfn.IFS(Table3[[#This Row],[Drug_Cost_GBP]] &gt; 1200, "High Cost", Table3[[#This Row],[Drug_Cost_GBP]] &lt; 1200, "Normal")</f>
        <v>Normal</v>
      </c>
      <c r="L537" s="4" t="str" cm="1">
        <f t="array" ref="L537">IFERROR(_xlfn.IFS(Table3[[#This Row],[Age (Years)]]  &gt; 75, "YES", Table3[[#This Row],[Age (Years)]] &lt; 75, "NO"), "UNKNOWN")</f>
        <v>NO</v>
      </c>
      <c r="M537" s="4" t="str">
        <f>IF(Table3[[#This Row],[Drug_Cost_GBP]] &gt; Analysis_Sheet!$B$21, "Above Average", "Within Average")</f>
        <v>Within Average</v>
      </c>
      <c r="N537" s="39" t="str">
        <f t="shared" si="8"/>
        <v>June 2024</v>
      </c>
    </row>
    <row r="538" spans="1:14" x14ac:dyDescent="0.3">
      <c r="A538" s="1" t="s">
        <v>608</v>
      </c>
      <c r="B538" s="17">
        <v>57</v>
      </c>
      <c r="C538" s="2" t="s">
        <v>899</v>
      </c>
      <c r="D538" s="2" t="s">
        <v>25</v>
      </c>
      <c r="E538" s="2" t="s">
        <v>43</v>
      </c>
      <c r="F538" s="3">
        <v>45386</v>
      </c>
      <c r="G538" s="2">
        <v>12</v>
      </c>
      <c r="H538" s="13">
        <v>1002.0675517241378</v>
      </c>
      <c r="I538" s="4" t="s">
        <v>900</v>
      </c>
      <c r="J538" s="8" t="str" cm="1">
        <f t="array" ref="J538">_xlfn.IFS(Table3[[#This Row],[Age (Years)]] &lt; 40, "Young", Table3[[#This Row],[Age (Years)]] &gt;= 40, "Middle", Table3[[#This Row],[Age (Years)]] &gt; 60, "Senior")</f>
        <v>Middle</v>
      </c>
      <c r="K538" s="8" t="str" cm="1">
        <f t="array" ref="K538">_xlfn.IFS(Table3[[#This Row],[Drug_Cost_GBP]] &gt; 1200, "High Cost", Table3[[#This Row],[Drug_Cost_GBP]] &lt; 1200, "Normal")</f>
        <v>Normal</v>
      </c>
      <c r="L538" s="8" t="str" cm="1">
        <f t="array" ref="L538">IFERROR(_xlfn.IFS(Table3[[#This Row],[Age (Years)]]  &gt; 75, "YES", Table3[[#This Row],[Age (Years)]] &lt; 75, "NO"), "UNKNOWN")</f>
        <v>NO</v>
      </c>
      <c r="M538" s="8" t="str">
        <f>IF(Table3[[#This Row],[Drug_Cost_GBP]] &gt; Analysis_Sheet!$B$21, "Above Average", "Within Average")</f>
        <v>Within Average</v>
      </c>
      <c r="N538" s="39" t="str">
        <f t="shared" si="8"/>
        <v>April 2024</v>
      </c>
    </row>
    <row r="539" spans="1:14" x14ac:dyDescent="0.3">
      <c r="A539" s="5" t="s">
        <v>609</v>
      </c>
      <c r="B539" s="18">
        <v>57</v>
      </c>
      <c r="C539" s="6" t="s">
        <v>38</v>
      </c>
      <c r="D539" s="6" t="s">
        <v>25</v>
      </c>
      <c r="E539" s="6" t="s">
        <v>23</v>
      </c>
      <c r="F539" s="7">
        <v>45354</v>
      </c>
      <c r="G539" s="6">
        <v>4</v>
      </c>
      <c r="H539" s="14">
        <v>1679.79</v>
      </c>
      <c r="I539" s="8" t="s">
        <v>900</v>
      </c>
      <c r="J539" s="4" t="str" cm="1">
        <f t="array" ref="J539">_xlfn.IFS(Table3[[#This Row],[Age (Years)]] &lt; 40, "Young", Table3[[#This Row],[Age (Years)]] &gt;= 40, "Middle", Table3[[#This Row],[Age (Years)]] &gt; 60, "Senior")</f>
        <v>Middle</v>
      </c>
      <c r="K539" s="4" t="str" cm="1">
        <f t="array" ref="K539">_xlfn.IFS(Table3[[#This Row],[Drug_Cost_GBP]] &gt; 1200, "High Cost", Table3[[#This Row],[Drug_Cost_GBP]] &lt; 1200, "Normal")</f>
        <v>High Cost</v>
      </c>
      <c r="L539" s="4" t="str" cm="1">
        <f t="array" ref="L539">IFERROR(_xlfn.IFS(Table3[[#This Row],[Age (Years)]]  &gt; 75, "YES", Table3[[#This Row],[Age (Years)]] &lt; 75, "NO"), "UNKNOWN")</f>
        <v>NO</v>
      </c>
      <c r="M539" s="4" t="str">
        <f>IF(Table3[[#This Row],[Drug_Cost_GBP]] &gt; Analysis_Sheet!$B$21, "Above Average", "Within Average")</f>
        <v>Above Average</v>
      </c>
      <c r="N539" s="39" t="str">
        <f t="shared" si="8"/>
        <v>March 2024</v>
      </c>
    </row>
    <row r="540" spans="1:14" x14ac:dyDescent="0.3">
      <c r="A540" s="1" t="s">
        <v>610</v>
      </c>
      <c r="B540" s="17">
        <v>57</v>
      </c>
      <c r="C540" s="2" t="s">
        <v>38</v>
      </c>
      <c r="D540" s="2" t="s">
        <v>10</v>
      </c>
      <c r="E540" s="2" t="s">
        <v>43</v>
      </c>
      <c r="F540" s="3">
        <v>45517</v>
      </c>
      <c r="G540" s="2">
        <v>12</v>
      </c>
      <c r="H540" s="13">
        <v>1002.0675517241378</v>
      </c>
      <c r="I540" s="4" t="s">
        <v>21</v>
      </c>
      <c r="J540" s="8" t="str" cm="1">
        <f t="array" ref="J540">_xlfn.IFS(Table3[[#This Row],[Age (Years)]] &lt; 40, "Young", Table3[[#This Row],[Age (Years)]] &gt;= 40, "Middle", Table3[[#This Row],[Age (Years)]] &gt; 60, "Senior")</f>
        <v>Middle</v>
      </c>
      <c r="K540" s="8" t="str" cm="1">
        <f t="array" ref="K540">_xlfn.IFS(Table3[[#This Row],[Drug_Cost_GBP]] &gt; 1200, "High Cost", Table3[[#This Row],[Drug_Cost_GBP]] &lt; 1200, "Normal")</f>
        <v>Normal</v>
      </c>
      <c r="L540" s="8" t="str" cm="1">
        <f t="array" ref="L540">IFERROR(_xlfn.IFS(Table3[[#This Row],[Age (Years)]]  &gt; 75, "YES", Table3[[#This Row],[Age (Years)]] &lt; 75, "NO"), "UNKNOWN")</f>
        <v>NO</v>
      </c>
      <c r="M540" s="8" t="str">
        <f>IF(Table3[[#This Row],[Drug_Cost_GBP]] &gt; Analysis_Sheet!$B$21, "Above Average", "Within Average")</f>
        <v>Within Average</v>
      </c>
      <c r="N540" s="39" t="str">
        <f t="shared" si="8"/>
        <v>August 2024</v>
      </c>
    </row>
    <row r="541" spans="1:14" x14ac:dyDescent="0.3">
      <c r="A541" s="5" t="s">
        <v>611</v>
      </c>
      <c r="B541" s="18">
        <v>57</v>
      </c>
      <c r="C541" s="6" t="s">
        <v>38</v>
      </c>
      <c r="D541" s="6" t="s">
        <v>14</v>
      </c>
      <c r="E541" s="6" t="s">
        <v>57</v>
      </c>
      <c r="F541" s="7">
        <v>45329</v>
      </c>
      <c r="G541" s="6">
        <v>16</v>
      </c>
      <c r="H541" s="14">
        <v>1002.0675517241378</v>
      </c>
      <c r="I541" s="8" t="s">
        <v>12</v>
      </c>
      <c r="J541" s="8" t="str" cm="1">
        <f t="array" ref="J541">_xlfn.IFS(Table3[[#This Row],[Age (Years)]] &lt; 40, "Young", Table3[[#This Row],[Age (Years)]] &gt;= 40, "Middle", Table3[[#This Row],[Age (Years)]] &gt; 60, "Senior")</f>
        <v>Middle</v>
      </c>
      <c r="K541" s="8" t="str" cm="1">
        <f t="array" ref="K541">_xlfn.IFS(Table3[[#This Row],[Drug_Cost_GBP]] &gt; 1200, "High Cost", Table3[[#This Row],[Drug_Cost_GBP]] &lt; 1200, "Normal")</f>
        <v>Normal</v>
      </c>
      <c r="L541" s="8" t="str" cm="1">
        <f t="array" ref="L541">IFERROR(_xlfn.IFS(Table3[[#This Row],[Age (Years)]]  &gt; 75, "YES", Table3[[#This Row],[Age (Years)]] &lt; 75, "NO"), "UNKNOWN")</f>
        <v>NO</v>
      </c>
      <c r="M541" s="8" t="str">
        <f>IF(Table3[[#This Row],[Drug_Cost_GBP]] &gt; Analysis_Sheet!$B$21, "Above Average", "Within Average")</f>
        <v>Within Average</v>
      </c>
      <c r="N541" s="39" t="str">
        <f t="shared" si="8"/>
        <v>February 2024</v>
      </c>
    </row>
    <row r="542" spans="1:14" x14ac:dyDescent="0.3">
      <c r="A542" s="5" t="s">
        <v>613</v>
      </c>
      <c r="B542" s="18">
        <v>57</v>
      </c>
      <c r="C542" s="6" t="s">
        <v>900</v>
      </c>
      <c r="D542" s="6" t="s">
        <v>10</v>
      </c>
      <c r="E542" s="6" t="s">
        <v>11</v>
      </c>
      <c r="F542" s="7">
        <v>45368</v>
      </c>
      <c r="G542" s="6">
        <v>12</v>
      </c>
      <c r="H542" s="14">
        <v>1002.0675517241378</v>
      </c>
      <c r="I542" s="8" t="s">
        <v>12</v>
      </c>
      <c r="J542" s="8" t="str" cm="1">
        <f t="array" ref="J542">_xlfn.IFS(Table3[[#This Row],[Age (Years)]] &lt; 40, "Young", Table3[[#This Row],[Age (Years)]] &gt;= 40, "Middle", Table3[[#This Row],[Age (Years)]] &gt; 60, "Senior")</f>
        <v>Middle</v>
      </c>
      <c r="K542" s="8" t="str" cm="1">
        <f t="array" ref="K542">_xlfn.IFS(Table3[[#This Row],[Drug_Cost_GBP]] &gt; 1200, "High Cost", Table3[[#This Row],[Drug_Cost_GBP]] &lt; 1200, "Normal")</f>
        <v>Normal</v>
      </c>
      <c r="L542" s="8" t="str" cm="1">
        <f t="array" ref="L542">IFERROR(_xlfn.IFS(Table3[[#This Row],[Age (Years)]]  &gt; 75, "YES", Table3[[#This Row],[Age (Years)]] &lt; 75, "NO"), "UNKNOWN")</f>
        <v>NO</v>
      </c>
      <c r="M542" s="8" t="str">
        <f>IF(Table3[[#This Row],[Drug_Cost_GBP]] &gt; Analysis_Sheet!$B$21, "Above Average", "Within Average")</f>
        <v>Within Average</v>
      </c>
      <c r="N542" s="39" t="str">
        <f t="shared" si="8"/>
        <v>March 2024</v>
      </c>
    </row>
    <row r="543" spans="1:14" x14ac:dyDescent="0.3">
      <c r="A543" s="5" t="s">
        <v>615</v>
      </c>
      <c r="B543" s="18">
        <v>57</v>
      </c>
      <c r="C543" s="6" t="s">
        <v>899</v>
      </c>
      <c r="D543" s="6" t="s">
        <v>25</v>
      </c>
      <c r="E543" s="6" t="s">
        <v>23</v>
      </c>
      <c r="F543" s="7">
        <v>45423</v>
      </c>
      <c r="G543" s="6">
        <v>12</v>
      </c>
      <c r="H543" s="14">
        <v>1002.0675517241378</v>
      </c>
      <c r="I543" s="8" t="s">
        <v>900</v>
      </c>
      <c r="J543" s="4" t="str" cm="1">
        <f t="array" ref="J543">_xlfn.IFS(Table3[[#This Row],[Age (Years)]] &lt; 40, "Young", Table3[[#This Row],[Age (Years)]] &gt;= 40, "Middle", Table3[[#This Row],[Age (Years)]] &gt; 60, "Senior")</f>
        <v>Middle</v>
      </c>
      <c r="K543" s="4" t="str" cm="1">
        <f t="array" ref="K543">_xlfn.IFS(Table3[[#This Row],[Drug_Cost_GBP]] &gt; 1200, "High Cost", Table3[[#This Row],[Drug_Cost_GBP]] &lt; 1200, "Normal")</f>
        <v>Normal</v>
      </c>
      <c r="L543" s="4" t="str" cm="1">
        <f t="array" ref="L543">IFERROR(_xlfn.IFS(Table3[[#This Row],[Age (Years)]]  &gt; 75, "YES", Table3[[#This Row],[Age (Years)]] &lt; 75, "NO"), "UNKNOWN")</f>
        <v>NO</v>
      </c>
      <c r="M543" s="4" t="str">
        <f>IF(Table3[[#This Row],[Drug_Cost_GBP]] &gt; Analysis_Sheet!$B$21, "Above Average", "Within Average")</f>
        <v>Within Average</v>
      </c>
      <c r="N543" s="39" t="str">
        <f t="shared" si="8"/>
        <v>May 2024</v>
      </c>
    </row>
    <row r="544" spans="1:14" x14ac:dyDescent="0.3">
      <c r="A544" s="1" t="s">
        <v>616</v>
      </c>
      <c r="B544" s="17">
        <v>57</v>
      </c>
      <c r="C544" s="2" t="s">
        <v>899</v>
      </c>
      <c r="D544" s="2" t="s">
        <v>14</v>
      </c>
      <c r="E544" s="2" t="s">
        <v>43</v>
      </c>
      <c r="F544" s="3">
        <v>45336</v>
      </c>
      <c r="G544" s="2">
        <v>12</v>
      </c>
      <c r="H544" s="13">
        <v>1002.0675517241378</v>
      </c>
      <c r="I544" s="4" t="s">
        <v>900</v>
      </c>
      <c r="J544" s="4" t="str" cm="1">
        <f t="array" ref="J544">_xlfn.IFS(Table3[[#This Row],[Age (Years)]] &lt; 40, "Young", Table3[[#This Row],[Age (Years)]] &gt;= 40, "Middle", Table3[[#This Row],[Age (Years)]] &gt; 60, "Senior")</f>
        <v>Middle</v>
      </c>
      <c r="K544" s="4" t="str" cm="1">
        <f t="array" ref="K544">_xlfn.IFS(Table3[[#This Row],[Drug_Cost_GBP]] &gt; 1200, "High Cost", Table3[[#This Row],[Drug_Cost_GBP]] &lt; 1200, "Normal")</f>
        <v>Normal</v>
      </c>
      <c r="L544" s="4" t="str" cm="1">
        <f t="array" ref="L544">IFERROR(_xlfn.IFS(Table3[[#This Row],[Age (Years)]]  &gt; 75, "YES", Table3[[#This Row],[Age (Years)]] &lt; 75, "NO"), "UNKNOWN")</f>
        <v>NO</v>
      </c>
      <c r="M544" s="4" t="str">
        <f>IF(Table3[[#This Row],[Drug_Cost_GBP]] &gt; Analysis_Sheet!$B$21, "Above Average", "Within Average")</f>
        <v>Within Average</v>
      </c>
      <c r="N544" s="39" t="str">
        <f t="shared" si="8"/>
        <v>February 2024</v>
      </c>
    </row>
    <row r="545" spans="1:14" x14ac:dyDescent="0.3">
      <c r="A545" s="1" t="s">
        <v>618</v>
      </c>
      <c r="B545" s="17">
        <v>57</v>
      </c>
      <c r="C545" s="2" t="s">
        <v>38</v>
      </c>
      <c r="D545" s="2" t="s">
        <v>51</v>
      </c>
      <c r="E545" s="2" t="s">
        <v>34</v>
      </c>
      <c r="F545" s="3">
        <v>45389</v>
      </c>
      <c r="G545" s="2">
        <v>12</v>
      </c>
      <c r="H545" s="13">
        <v>1002.0675517241378</v>
      </c>
      <c r="I545" s="4" t="s">
        <v>16</v>
      </c>
      <c r="J545" s="8" t="str" cm="1">
        <f t="array" ref="J545">_xlfn.IFS(Table3[[#This Row],[Age (Years)]] &lt; 40, "Young", Table3[[#This Row],[Age (Years)]] &gt;= 40, "Middle", Table3[[#This Row],[Age (Years)]] &gt; 60, "Senior")</f>
        <v>Middle</v>
      </c>
      <c r="K545" s="8" t="str" cm="1">
        <f t="array" ref="K545">_xlfn.IFS(Table3[[#This Row],[Drug_Cost_GBP]] &gt; 1200, "High Cost", Table3[[#This Row],[Drug_Cost_GBP]] &lt; 1200, "Normal")</f>
        <v>Normal</v>
      </c>
      <c r="L545" s="8" t="str" cm="1">
        <f t="array" ref="L545">IFERROR(_xlfn.IFS(Table3[[#This Row],[Age (Years)]]  &gt; 75, "YES", Table3[[#This Row],[Age (Years)]] &lt; 75, "NO"), "UNKNOWN")</f>
        <v>NO</v>
      </c>
      <c r="M545" s="8" t="str">
        <f>IF(Table3[[#This Row],[Drug_Cost_GBP]] &gt; Analysis_Sheet!$B$21, "Above Average", "Within Average")</f>
        <v>Within Average</v>
      </c>
      <c r="N545" s="39" t="str">
        <f t="shared" si="8"/>
        <v>April 2024</v>
      </c>
    </row>
    <row r="546" spans="1:14" x14ac:dyDescent="0.3">
      <c r="A546" s="5" t="s">
        <v>619</v>
      </c>
      <c r="B546" s="18">
        <v>57</v>
      </c>
      <c r="C546" s="6" t="s">
        <v>900</v>
      </c>
      <c r="D546" s="6" t="s">
        <v>51</v>
      </c>
      <c r="E546" s="6" t="s">
        <v>29</v>
      </c>
      <c r="F546" s="7" t="s">
        <v>900</v>
      </c>
      <c r="G546" s="6">
        <v>12</v>
      </c>
      <c r="H546" s="14">
        <v>1002.0675517241378</v>
      </c>
      <c r="I546" s="8" t="s">
        <v>21</v>
      </c>
      <c r="J546" s="8" t="str" cm="1">
        <f t="array" ref="J546">_xlfn.IFS(Table3[[#This Row],[Age (Years)]] &lt; 40, "Young", Table3[[#This Row],[Age (Years)]] &gt;= 40, "Middle", Table3[[#This Row],[Age (Years)]] &gt; 60, "Senior")</f>
        <v>Middle</v>
      </c>
      <c r="K546" s="8" t="str" cm="1">
        <f t="array" ref="K546">_xlfn.IFS(Table3[[#This Row],[Drug_Cost_GBP]] &gt; 1200, "High Cost", Table3[[#This Row],[Drug_Cost_GBP]] &lt; 1200, "Normal")</f>
        <v>Normal</v>
      </c>
      <c r="L546" s="8" t="str" cm="1">
        <f t="array" ref="L546">IFERROR(_xlfn.IFS(Table3[[#This Row],[Age (Years)]]  &gt; 75, "YES", Table3[[#This Row],[Age (Years)]] &lt; 75, "NO"), "UNKNOWN")</f>
        <v>NO</v>
      </c>
      <c r="M546" s="8" t="str">
        <f>IF(Table3[[#This Row],[Drug_Cost_GBP]] &gt; Analysis_Sheet!$B$21, "Above Average", "Within Average")</f>
        <v>Within Average</v>
      </c>
      <c r="N546" s="39" t="str">
        <f t="shared" si="8"/>
        <v>Unknown</v>
      </c>
    </row>
    <row r="547" spans="1:14" x14ac:dyDescent="0.3">
      <c r="A547" s="5" t="s">
        <v>621</v>
      </c>
      <c r="B547" s="18">
        <v>57</v>
      </c>
      <c r="C547" s="6" t="s">
        <v>38</v>
      </c>
      <c r="D547" s="6" t="s">
        <v>14</v>
      </c>
      <c r="E547" s="6" t="s">
        <v>29</v>
      </c>
      <c r="F547" s="7">
        <v>45440</v>
      </c>
      <c r="G547" s="6">
        <v>12</v>
      </c>
      <c r="H547" s="14">
        <v>344.99</v>
      </c>
      <c r="I547" s="8" t="s">
        <v>26</v>
      </c>
      <c r="J547" s="4" t="str" cm="1">
        <f t="array" ref="J547">_xlfn.IFS(Table3[[#This Row],[Age (Years)]] &lt; 40, "Young", Table3[[#This Row],[Age (Years)]] &gt;= 40, "Middle", Table3[[#This Row],[Age (Years)]] &gt; 60, "Senior")</f>
        <v>Middle</v>
      </c>
      <c r="K547" s="4" t="str" cm="1">
        <f t="array" ref="K547">_xlfn.IFS(Table3[[#This Row],[Drug_Cost_GBP]] &gt; 1200, "High Cost", Table3[[#This Row],[Drug_Cost_GBP]] &lt; 1200, "Normal")</f>
        <v>Normal</v>
      </c>
      <c r="L547" s="4" t="str" cm="1">
        <f t="array" ref="L547">IFERROR(_xlfn.IFS(Table3[[#This Row],[Age (Years)]]  &gt; 75, "YES", Table3[[#This Row],[Age (Years)]] &lt; 75, "NO"), "UNKNOWN")</f>
        <v>NO</v>
      </c>
      <c r="M547" s="4" t="str">
        <f>IF(Table3[[#This Row],[Drug_Cost_GBP]] &gt; Analysis_Sheet!$B$21, "Above Average", "Within Average")</f>
        <v>Within Average</v>
      </c>
      <c r="N547" s="39" t="str">
        <f t="shared" si="8"/>
        <v>May 2024</v>
      </c>
    </row>
    <row r="548" spans="1:14" x14ac:dyDescent="0.3">
      <c r="A548" s="1" t="s">
        <v>622</v>
      </c>
      <c r="B548" s="17">
        <v>57</v>
      </c>
      <c r="C548" s="2" t="s">
        <v>38</v>
      </c>
      <c r="D548" s="2" t="s">
        <v>19</v>
      </c>
      <c r="E548" s="2" t="s">
        <v>43</v>
      </c>
      <c r="F548" s="3">
        <v>45554</v>
      </c>
      <c r="G548" s="2">
        <v>12</v>
      </c>
      <c r="H548" s="13">
        <v>1002.0675517241378</v>
      </c>
      <c r="I548" s="4" t="s">
        <v>12</v>
      </c>
      <c r="J548" s="8" t="str" cm="1">
        <f t="array" ref="J548">_xlfn.IFS(Table3[[#This Row],[Age (Years)]] &lt; 40, "Young", Table3[[#This Row],[Age (Years)]] &gt;= 40, "Middle", Table3[[#This Row],[Age (Years)]] &gt; 60, "Senior")</f>
        <v>Middle</v>
      </c>
      <c r="K548" s="8" t="str" cm="1">
        <f t="array" ref="K548">_xlfn.IFS(Table3[[#This Row],[Drug_Cost_GBP]] &gt; 1200, "High Cost", Table3[[#This Row],[Drug_Cost_GBP]] &lt; 1200, "Normal")</f>
        <v>Normal</v>
      </c>
      <c r="L548" s="8" t="str" cm="1">
        <f t="array" ref="L548">IFERROR(_xlfn.IFS(Table3[[#This Row],[Age (Years)]]  &gt; 75, "YES", Table3[[#This Row],[Age (Years)]] &lt; 75, "NO"), "UNKNOWN")</f>
        <v>NO</v>
      </c>
      <c r="M548" s="8" t="str">
        <f>IF(Table3[[#This Row],[Drug_Cost_GBP]] &gt; Analysis_Sheet!$B$21, "Above Average", "Within Average")</f>
        <v>Within Average</v>
      </c>
      <c r="N548" s="39" t="str">
        <f t="shared" si="8"/>
        <v>September 2024</v>
      </c>
    </row>
    <row r="549" spans="1:14" x14ac:dyDescent="0.3">
      <c r="A549" s="5" t="s">
        <v>623</v>
      </c>
      <c r="B549" s="18">
        <v>57</v>
      </c>
      <c r="C549" s="6" t="s">
        <v>899</v>
      </c>
      <c r="D549" s="6" t="s">
        <v>48</v>
      </c>
      <c r="E549" s="6" t="s">
        <v>57</v>
      </c>
      <c r="F549" s="7">
        <v>45649</v>
      </c>
      <c r="G549" s="6">
        <v>12</v>
      </c>
      <c r="H549" s="14">
        <v>1470.23</v>
      </c>
      <c r="I549" s="8" t="s">
        <v>26</v>
      </c>
      <c r="J549" s="8" t="str" cm="1">
        <f t="array" ref="J549">_xlfn.IFS(Table3[[#This Row],[Age (Years)]] &lt; 40, "Young", Table3[[#This Row],[Age (Years)]] &gt;= 40, "Middle", Table3[[#This Row],[Age (Years)]] &gt; 60, "Senior")</f>
        <v>Middle</v>
      </c>
      <c r="K549" s="8" t="str" cm="1">
        <f t="array" ref="K549">_xlfn.IFS(Table3[[#This Row],[Drug_Cost_GBP]] &gt; 1200, "High Cost", Table3[[#This Row],[Drug_Cost_GBP]] &lt; 1200, "Normal")</f>
        <v>High Cost</v>
      </c>
      <c r="L549" s="8" t="str" cm="1">
        <f t="array" ref="L549">IFERROR(_xlfn.IFS(Table3[[#This Row],[Age (Years)]]  &gt; 75, "YES", Table3[[#This Row],[Age (Years)]] &lt; 75, "NO"), "UNKNOWN")</f>
        <v>NO</v>
      </c>
      <c r="M549" s="8" t="str">
        <f>IF(Table3[[#This Row],[Drug_Cost_GBP]] &gt; Analysis_Sheet!$B$21, "Above Average", "Within Average")</f>
        <v>Above Average</v>
      </c>
      <c r="N549" s="39" t="str">
        <f t="shared" si="8"/>
        <v>December 2024</v>
      </c>
    </row>
    <row r="550" spans="1:14" x14ac:dyDescent="0.3">
      <c r="A550" s="5" t="s">
        <v>625</v>
      </c>
      <c r="B550" s="18">
        <v>57</v>
      </c>
      <c r="C550" s="6" t="s">
        <v>38</v>
      </c>
      <c r="D550" s="6" t="s">
        <v>898</v>
      </c>
      <c r="E550" s="6" t="s">
        <v>43</v>
      </c>
      <c r="F550" s="7">
        <v>45343</v>
      </c>
      <c r="G550" s="6">
        <v>11</v>
      </c>
      <c r="H550" s="14">
        <v>1002.0675517241378</v>
      </c>
      <c r="I550" s="8" t="s">
        <v>900</v>
      </c>
      <c r="J550" s="4" t="str" cm="1">
        <f t="array" ref="J550">_xlfn.IFS(Table3[[#This Row],[Age (Years)]] &lt; 40, "Young", Table3[[#This Row],[Age (Years)]] &gt;= 40, "Middle", Table3[[#This Row],[Age (Years)]] &gt; 60, "Senior")</f>
        <v>Middle</v>
      </c>
      <c r="K550" s="4" t="str" cm="1">
        <f t="array" ref="K550">_xlfn.IFS(Table3[[#This Row],[Drug_Cost_GBP]] &gt; 1200, "High Cost", Table3[[#This Row],[Drug_Cost_GBP]] &lt; 1200, "Normal")</f>
        <v>Normal</v>
      </c>
      <c r="L550" s="4" t="str" cm="1">
        <f t="array" ref="L550">IFERROR(_xlfn.IFS(Table3[[#This Row],[Age (Years)]]  &gt; 75, "YES", Table3[[#This Row],[Age (Years)]] &lt; 75, "NO"), "UNKNOWN")</f>
        <v>NO</v>
      </c>
      <c r="M550" s="4" t="str">
        <f>IF(Table3[[#This Row],[Drug_Cost_GBP]] &gt; Analysis_Sheet!$B$21, "Above Average", "Within Average")</f>
        <v>Within Average</v>
      </c>
      <c r="N550" s="39" t="str">
        <f t="shared" si="8"/>
        <v>February 2024</v>
      </c>
    </row>
    <row r="551" spans="1:14" x14ac:dyDescent="0.3">
      <c r="A551" s="1" t="s">
        <v>628</v>
      </c>
      <c r="B551" s="17">
        <v>57</v>
      </c>
      <c r="C551" s="2" t="s">
        <v>38</v>
      </c>
      <c r="D551" s="2" t="s">
        <v>51</v>
      </c>
      <c r="E551" s="2" t="s">
        <v>23</v>
      </c>
      <c r="F551" s="3">
        <v>45543</v>
      </c>
      <c r="G551" s="2">
        <v>12</v>
      </c>
      <c r="H551" s="13">
        <v>1002.0675517241378</v>
      </c>
      <c r="I551" s="4" t="s">
        <v>16</v>
      </c>
      <c r="J551" s="4" t="str" cm="1">
        <f t="array" ref="J551">_xlfn.IFS(Table3[[#This Row],[Age (Years)]] &lt; 40, "Young", Table3[[#This Row],[Age (Years)]] &gt;= 40, "Middle", Table3[[#This Row],[Age (Years)]] &gt; 60, "Senior")</f>
        <v>Middle</v>
      </c>
      <c r="K551" s="4" t="str" cm="1">
        <f t="array" ref="K551">_xlfn.IFS(Table3[[#This Row],[Drug_Cost_GBP]] &gt; 1200, "High Cost", Table3[[#This Row],[Drug_Cost_GBP]] &lt; 1200, "Normal")</f>
        <v>Normal</v>
      </c>
      <c r="L551" s="4" t="str" cm="1">
        <f t="array" ref="L551">IFERROR(_xlfn.IFS(Table3[[#This Row],[Age (Years)]]  &gt; 75, "YES", Table3[[#This Row],[Age (Years)]] &lt; 75, "NO"), "UNKNOWN")</f>
        <v>NO</v>
      </c>
      <c r="M551" s="4" t="str">
        <f>IF(Table3[[#This Row],[Drug_Cost_GBP]] &gt; Analysis_Sheet!$B$21, "Above Average", "Within Average")</f>
        <v>Within Average</v>
      </c>
      <c r="N551" s="39" t="str">
        <f t="shared" si="8"/>
        <v>September 2024</v>
      </c>
    </row>
    <row r="552" spans="1:14" x14ac:dyDescent="0.3">
      <c r="A552" s="1" t="s">
        <v>630</v>
      </c>
      <c r="B552" s="17">
        <v>57</v>
      </c>
      <c r="C552" s="2" t="s">
        <v>38</v>
      </c>
      <c r="D552" s="2" t="s">
        <v>25</v>
      </c>
      <c r="E552" s="2" t="s">
        <v>11</v>
      </c>
      <c r="F552" s="3">
        <v>45417</v>
      </c>
      <c r="G552" s="2">
        <v>12</v>
      </c>
      <c r="H552" s="13">
        <v>933.67</v>
      </c>
      <c r="I552" s="4" t="s">
        <v>12</v>
      </c>
      <c r="J552" s="8" t="str" cm="1">
        <f t="array" ref="J552">_xlfn.IFS(Table3[[#This Row],[Age (Years)]] &lt; 40, "Young", Table3[[#This Row],[Age (Years)]] &gt;= 40, "Middle", Table3[[#This Row],[Age (Years)]] &gt; 60, "Senior")</f>
        <v>Middle</v>
      </c>
      <c r="K552" s="8" t="str" cm="1">
        <f t="array" ref="K552">_xlfn.IFS(Table3[[#This Row],[Drug_Cost_GBP]] &gt; 1200, "High Cost", Table3[[#This Row],[Drug_Cost_GBP]] &lt; 1200, "Normal")</f>
        <v>Normal</v>
      </c>
      <c r="L552" s="8" t="str" cm="1">
        <f t="array" ref="L552">IFERROR(_xlfn.IFS(Table3[[#This Row],[Age (Years)]]  &gt; 75, "YES", Table3[[#This Row],[Age (Years)]] &lt; 75, "NO"), "UNKNOWN")</f>
        <v>NO</v>
      </c>
      <c r="M552" s="8" t="str">
        <f>IF(Table3[[#This Row],[Drug_Cost_GBP]] &gt; Analysis_Sheet!$B$21, "Above Average", "Within Average")</f>
        <v>Within Average</v>
      </c>
      <c r="N552" s="39" t="str">
        <f t="shared" si="8"/>
        <v>May 2024</v>
      </c>
    </row>
    <row r="553" spans="1:14" x14ac:dyDescent="0.3">
      <c r="A553" s="5" t="s">
        <v>631</v>
      </c>
      <c r="B553" s="18">
        <v>57</v>
      </c>
      <c r="C553" s="6" t="s">
        <v>899</v>
      </c>
      <c r="D553" s="6" t="s">
        <v>14</v>
      </c>
      <c r="E553" s="6" t="s">
        <v>23</v>
      </c>
      <c r="F553" s="7">
        <v>45636</v>
      </c>
      <c r="G553" s="6">
        <v>3</v>
      </c>
      <c r="H553" s="14">
        <v>1002.0675517241378</v>
      </c>
      <c r="I553" s="8" t="s">
        <v>900</v>
      </c>
      <c r="J553" s="4" t="str" cm="1">
        <f t="array" ref="J553">_xlfn.IFS(Table3[[#This Row],[Age (Years)]] &lt; 40, "Young", Table3[[#This Row],[Age (Years)]] &gt;= 40, "Middle", Table3[[#This Row],[Age (Years)]] &gt; 60, "Senior")</f>
        <v>Middle</v>
      </c>
      <c r="K553" s="4" t="str" cm="1">
        <f t="array" ref="K553">_xlfn.IFS(Table3[[#This Row],[Drug_Cost_GBP]] &gt; 1200, "High Cost", Table3[[#This Row],[Drug_Cost_GBP]] &lt; 1200, "Normal")</f>
        <v>Normal</v>
      </c>
      <c r="L553" s="4" t="str" cm="1">
        <f t="array" ref="L553">IFERROR(_xlfn.IFS(Table3[[#This Row],[Age (Years)]]  &gt; 75, "YES", Table3[[#This Row],[Age (Years)]] &lt; 75, "NO"), "UNKNOWN")</f>
        <v>NO</v>
      </c>
      <c r="M553" s="4" t="str">
        <f>IF(Table3[[#This Row],[Drug_Cost_GBP]] &gt; Analysis_Sheet!$B$21, "Above Average", "Within Average")</f>
        <v>Within Average</v>
      </c>
      <c r="N553" s="39" t="str">
        <f t="shared" si="8"/>
        <v>December 2024</v>
      </c>
    </row>
    <row r="554" spans="1:14" x14ac:dyDescent="0.3">
      <c r="A554" s="1" t="s">
        <v>632</v>
      </c>
      <c r="B554" s="17">
        <v>57</v>
      </c>
      <c r="C554" s="2" t="s">
        <v>899</v>
      </c>
      <c r="D554" s="2" t="s">
        <v>10</v>
      </c>
      <c r="E554" s="2" t="s">
        <v>29</v>
      </c>
      <c r="F554" s="3">
        <v>45448</v>
      </c>
      <c r="G554" s="2">
        <v>5</v>
      </c>
      <c r="H554" s="13">
        <v>1002.0675517241378</v>
      </c>
      <c r="I554" s="4" t="s">
        <v>900</v>
      </c>
      <c r="J554" s="8" t="str" cm="1">
        <f t="array" ref="J554">_xlfn.IFS(Table3[[#This Row],[Age (Years)]] &lt; 40, "Young", Table3[[#This Row],[Age (Years)]] &gt;= 40, "Middle", Table3[[#This Row],[Age (Years)]] &gt; 60, "Senior")</f>
        <v>Middle</v>
      </c>
      <c r="K554" s="8" t="str" cm="1">
        <f t="array" ref="K554">_xlfn.IFS(Table3[[#This Row],[Drug_Cost_GBP]] &gt; 1200, "High Cost", Table3[[#This Row],[Drug_Cost_GBP]] &lt; 1200, "Normal")</f>
        <v>Normal</v>
      </c>
      <c r="L554" s="8" t="str" cm="1">
        <f t="array" ref="L554">IFERROR(_xlfn.IFS(Table3[[#This Row],[Age (Years)]]  &gt; 75, "YES", Table3[[#This Row],[Age (Years)]] &lt; 75, "NO"), "UNKNOWN")</f>
        <v>NO</v>
      </c>
      <c r="M554" s="8" t="str">
        <f>IF(Table3[[#This Row],[Drug_Cost_GBP]] &gt; Analysis_Sheet!$B$21, "Above Average", "Within Average")</f>
        <v>Within Average</v>
      </c>
      <c r="N554" s="39" t="str">
        <f t="shared" si="8"/>
        <v>June 2024</v>
      </c>
    </row>
    <row r="555" spans="1:14" x14ac:dyDescent="0.3">
      <c r="A555" s="5" t="s">
        <v>633</v>
      </c>
      <c r="B555" s="18">
        <v>57</v>
      </c>
      <c r="C555" s="6" t="s">
        <v>900</v>
      </c>
      <c r="D555" s="6" t="s">
        <v>14</v>
      </c>
      <c r="E555" s="6" t="s">
        <v>43</v>
      </c>
      <c r="F555" s="7">
        <v>45341</v>
      </c>
      <c r="G555" s="6">
        <v>12</v>
      </c>
      <c r="H555" s="14">
        <v>1002.0675517241378</v>
      </c>
      <c r="I555" s="8" t="s">
        <v>16</v>
      </c>
      <c r="J555" s="4" t="str" cm="1">
        <f t="array" ref="J555">_xlfn.IFS(Table3[[#This Row],[Age (Years)]] &lt; 40, "Young", Table3[[#This Row],[Age (Years)]] &gt;= 40, "Middle", Table3[[#This Row],[Age (Years)]] &gt; 60, "Senior")</f>
        <v>Middle</v>
      </c>
      <c r="K555" s="4" t="str" cm="1">
        <f t="array" ref="K555">_xlfn.IFS(Table3[[#This Row],[Drug_Cost_GBP]] &gt; 1200, "High Cost", Table3[[#This Row],[Drug_Cost_GBP]] &lt; 1200, "Normal")</f>
        <v>Normal</v>
      </c>
      <c r="L555" s="4" t="str" cm="1">
        <f t="array" ref="L555">IFERROR(_xlfn.IFS(Table3[[#This Row],[Age (Years)]]  &gt; 75, "YES", Table3[[#This Row],[Age (Years)]] &lt; 75, "NO"), "UNKNOWN")</f>
        <v>NO</v>
      </c>
      <c r="M555" s="4" t="str">
        <f>IF(Table3[[#This Row],[Drug_Cost_GBP]] &gt; Analysis_Sheet!$B$21, "Above Average", "Within Average")</f>
        <v>Within Average</v>
      </c>
      <c r="N555" s="39" t="str">
        <f t="shared" si="8"/>
        <v>February 2024</v>
      </c>
    </row>
    <row r="556" spans="1:14" x14ac:dyDescent="0.3">
      <c r="A556" s="1" t="s">
        <v>634</v>
      </c>
      <c r="B556" s="17">
        <v>57</v>
      </c>
      <c r="C556" s="2" t="s">
        <v>899</v>
      </c>
      <c r="D556" s="2" t="s">
        <v>14</v>
      </c>
      <c r="E556" s="2" t="s">
        <v>23</v>
      </c>
      <c r="F556" s="3" t="s">
        <v>900</v>
      </c>
      <c r="G556" s="2">
        <v>14</v>
      </c>
      <c r="H556" s="13">
        <v>1227.45</v>
      </c>
      <c r="I556" s="4" t="s">
        <v>26</v>
      </c>
      <c r="J556" s="8" t="str" cm="1">
        <f t="array" ref="J556">_xlfn.IFS(Table3[[#This Row],[Age (Years)]] &lt; 40, "Young", Table3[[#This Row],[Age (Years)]] &gt;= 40, "Middle", Table3[[#This Row],[Age (Years)]] &gt; 60, "Senior")</f>
        <v>Middle</v>
      </c>
      <c r="K556" s="8" t="str" cm="1">
        <f t="array" ref="K556">_xlfn.IFS(Table3[[#This Row],[Drug_Cost_GBP]] &gt; 1200, "High Cost", Table3[[#This Row],[Drug_Cost_GBP]] &lt; 1200, "Normal")</f>
        <v>High Cost</v>
      </c>
      <c r="L556" s="8" t="str" cm="1">
        <f t="array" ref="L556">IFERROR(_xlfn.IFS(Table3[[#This Row],[Age (Years)]]  &gt; 75, "YES", Table3[[#This Row],[Age (Years)]] &lt; 75, "NO"), "UNKNOWN")</f>
        <v>NO</v>
      </c>
      <c r="M556" s="8" t="str">
        <f>IF(Table3[[#This Row],[Drug_Cost_GBP]] &gt; Analysis_Sheet!$B$21, "Above Average", "Within Average")</f>
        <v>Above Average</v>
      </c>
      <c r="N556" s="39" t="str">
        <f t="shared" si="8"/>
        <v>Unknown</v>
      </c>
    </row>
    <row r="557" spans="1:14" x14ac:dyDescent="0.3">
      <c r="A557" s="5" t="s">
        <v>635</v>
      </c>
      <c r="B557" s="18">
        <v>57</v>
      </c>
      <c r="C557" s="6" t="s">
        <v>900</v>
      </c>
      <c r="D557" s="6" t="s">
        <v>14</v>
      </c>
      <c r="E557" s="6" t="s">
        <v>34</v>
      </c>
      <c r="F557" s="7" t="s">
        <v>900</v>
      </c>
      <c r="G557" s="6">
        <v>9</v>
      </c>
      <c r="H557" s="14">
        <v>1002.0675517241378</v>
      </c>
      <c r="I557" s="8" t="s">
        <v>21</v>
      </c>
      <c r="J557" s="4" t="str" cm="1">
        <f t="array" ref="J557">_xlfn.IFS(Table3[[#This Row],[Age (Years)]] &lt; 40, "Young", Table3[[#This Row],[Age (Years)]] &gt;= 40, "Middle", Table3[[#This Row],[Age (Years)]] &gt; 60, "Senior")</f>
        <v>Middle</v>
      </c>
      <c r="K557" s="4" t="str" cm="1">
        <f t="array" ref="K557">_xlfn.IFS(Table3[[#This Row],[Drug_Cost_GBP]] &gt; 1200, "High Cost", Table3[[#This Row],[Drug_Cost_GBP]] &lt; 1200, "Normal")</f>
        <v>Normal</v>
      </c>
      <c r="L557" s="4" t="str" cm="1">
        <f t="array" ref="L557">IFERROR(_xlfn.IFS(Table3[[#This Row],[Age (Years)]]  &gt; 75, "YES", Table3[[#This Row],[Age (Years)]] &lt; 75, "NO"), "UNKNOWN")</f>
        <v>NO</v>
      </c>
      <c r="M557" s="4" t="str">
        <f>IF(Table3[[#This Row],[Drug_Cost_GBP]] &gt; Analysis_Sheet!$B$21, "Above Average", "Within Average")</f>
        <v>Within Average</v>
      </c>
      <c r="N557" s="39" t="str">
        <f t="shared" si="8"/>
        <v>Unknown</v>
      </c>
    </row>
    <row r="558" spans="1:14" x14ac:dyDescent="0.3">
      <c r="A558" s="1" t="s">
        <v>636</v>
      </c>
      <c r="B558" s="17">
        <v>57</v>
      </c>
      <c r="C558" s="2" t="s">
        <v>38</v>
      </c>
      <c r="D558" s="2" t="s">
        <v>48</v>
      </c>
      <c r="E558" s="2" t="s">
        <v>23</v>
      </c>
      <c r="F558" s="3">
        <v>45637</v>
      </c>
      <c r="G558" s="2">
        <v>1</v>
      </c>
      <c r="H558" s="13">
        <v>1002.0675517241378</v>
      </c>
      <c r="I558" s="4" t="s">
        <v>900</v>
      </c>
      <c r="J558" s="8" t="str" cm="1">
        <f t="array" ref="J558">_xlfn.IFS(Table3[[#This Row],[Age (Years)]] &lt; 40, "Young", Table3[[#This Row],[Age (Years)]] &gt;= 40, "Middle", Table3[[#This Row],[Age (Years)]] &gt; 60, "Senior")</f>
        <v>Middle</v>
      </c>
      <c r="K558" s="8" t="str" cm="1">
        <f t="array" ref="K558">_xlfn.IFS(Table3[[#This Row],[Drug_Cost_GBP]] &gt; 1200, "High Cost", Table3[[#This Row],[Drug_Cost_GBP]] &lt; 1200, "Normal")</f>
        <v>Normal</v>
      </c>
      <c r="L558" s="8" t="str" cm="1">
        <f t="array" ref="L558">IFERROR(_xlfn.IFS(Table3[[#This Row],[Age (Years)]]  &gt; 75, "YES", Table3[[#This Row],[Age (Years)]] &lt; 75, "NO"), "UNKNOWN")</f>
        <v>NO</v>
      </c>
      <c r="M558" s="8" t="str">
        <f>IF(Table3[[#This Row],[Drug_Cost_GBP]] &gt; Analysis_Sheet!$B$21, "Above Average", "Within Average")</f>
        <v>Within Average</v>
      </c>
      <c r="N558" s="39" t="str">
        <f t="shared" si="8"/>
        <v>December 2024</v>
      </c>
    </row>
    <row r="559" spans="1:14" x14ac:dyDescent="0.3">
      <c r="A559" s="5" t="s">
        <v>637</v>
      </c>
      <c r="B559" s="18">
        <v>57</v>
      </c>
      <c r="C559" s="6" t="s">
        <v>38</v>
      </c>
      <c r="D559" s="6" t="s">
        <v>900</v>
      </c>
      <c r="E559" s="6" t="s">
        <v>43</v>
      </c>
      <c r="F559" s="7">
        <v>45375</v>
      </c>
      <c r="G559" s="6">
        <v>12</v>
      </c>
      <c r="H559" s="14">
        <v>525.79</v>
      </c>
      <c r="I559" s="8" t="s">
        <v>16</v>
      </c>
      <c r="J559" s="4" t="str" cm="1">
        <f t="array" ref="J559">_xlfn.IFS(Table3[[#This Row],[Age (Years)]] &lt; 40, "Young", Table3[[#This Row],[Age (Years)]] &gt;= 40, "Middle", Table3[[#This Row],[Age (Years)]] &gt; 60, "Senior")</f>
        <v>Middle</v>
      </c>
      <c r="K559" s="4" t="str" cm="1">
        <f t="array" ref="K559">_xlfn.IFS(Table3[[#This Row],[Drug_Cost_GBP]] &gt; 1200, "High Cost", Table3[[#This Row],[Drug_Cost_GBP]] &lt; 1200, "Normal")</f>
        <v>Normal</v>
      </c>
      <c r="L559" s="4" t="str" cm="1">
        <f t="array" ref="L559">IFERROR(_xlfn.IFS(Table3[[#This Row],[Age (Years)]]  &gt; 75, "YES", Table3[[#This Row],[Age (Years)]] &lt; 75, "NO"), "UNKNOWN")</f>
        <v>NO</v>
      </c>
      <c r="M559" s="4" t="str">
        <f>IF(Table3[[#This Row],[Drug_Cost_GBP]] &gt; Analysis_Sheet!$B$21, "Above Average", "Within Average")</f>
        <v>Within Average</v>
      </c>
      <c r="N559" s="39" t="str">
        <f t="shared" si="8"/>
        <v>March 2024</v>
      </c>
    </row>
    <row r="560" spans="1:14" x14ac:dyDescent="0.3">
      <c r="A560" s="1" t="s">
        <v>638</v>
      </c>
      <c r="B560" s="17">
        <v>57</v>
      </c>
      <c r="C560" s="2" t="s">
        <v>899</v>
      </c>
      <c r="D560" s="2" t="s">
        <v>51</v>
      </c>
      <c r="E560" s="2" t="s">
        <v>34</v>
      </c>
      <c r="F560" s="3">
        <v>45504</v>
      </c>
      <c r="G560" s="2">
        <v>12</v>
      </c>
      <c r="H560" s="13">
        <v>278.12</v>
      </c>
      <c r="I560" s="4" t="s">
        <v>26</v>
      </c>
      <c r="J560" s="8" t="str" cm="1">
        <f t="array" ref="J560">_xlfn.IFS(Table3[[#This Row],[Age (Years)]] &lt; 40, "Young", Table3[[#This Row],[Age (Years)]] &gt;= 40, "Middle", Table3[[#This Row],[Age (Years)]] &gt; 60, "Senior")</f>
        <v>Middle</v>
      </c>
      <c r="K560" s="8" t="str" cm="1">
        <f t="array" ref="K560">_xlfn.IFS(Table3[[#This Row],[Drug_Cost_GBP]] &gt; 1200, "High Cost", Table3[[#This Row],[Drug_Cost_GBP]] &lt; 1200, "Normal")</f>
        <v>Normal</v>
      </c>
      <c r="L560" s="8" t="str" cm="1">
        <f t="array" ref="L560">IFERROR(_xlfn.IFS(Table3[[#This Row],[Age (Years)]]  &gt; 75, "YES", Table3[[#This Row],[Age (Years)]] &lt; 75, "NO"), "UNKNOWN")</f>
        <v>NO</v>
      </c>
      <c r="M560" s="8" t="str">
        <f>IF(Table3[[#This Row],[Drug_Cost_GBP]] &gt; Analysis_Sheet!$B$21, "Above Average", "Within Average")</f>
        <v>Within Average</v>
      </c>
      <c r="N560" s="39" t="str">
        <f t="shared" si="8"/>
        <v>July 2024</v>
      </c>
    </row>
    <row r="561" spans="1:14" x14ac:dyDescent="0.3">
      <c r="A561" s="5" t="s">
        <v>639</v>
      </c>
      <c r="B561" s="18">
        <v>57</v>
      </c>
      <c r="C561" s="6" t="s">
        <v>899</v>
      </c>
      <c r="D561" s="6" t="s">
        <v>19</v>
      </c>
      <c r="E561" s="6" t="s">
        <v>11</v>
      </c>
      <c r="F561" s="7">
        <v>45397</v>
      </c>
      <c r="G561" s="6">
        <v>12</v>
      </c>
      <c r="H561" s="14">
        <v>1002.0675517241378</v>
      </c>
      <c r="I561" s="8" t="s">
        <v>12</v>
      </c>
      <c r="J561" s="8" t="str" cm="1">
        <f t="array" ref="J561">_xlfn.IFS(Table3[[#This Row],[Age (Years)]] &lt; 40, "Young", Table3[[#This Row],[Age (Years)]] &gt;= 40, "Middle", Table3[[#This Row],[Age (Years)]] &gt; 60, "Senior")</f>
        <v>Middle</v>
      </c>
      <c r="K561" s="8" t="str" cm="1">
        <f t="array" ref="K561">_xlfn.IFS(Table3[[#This Row],[Drug_Cost_GBP]] &gt; 1200, "High Cost", Table3[[#This Row],[Drug_Cost_GBP]] &lt; 1200, "Normal")</f>
        <v>Normal</v>
      </c>
      <c r="L561" s="8" t="str" cm="1">
        <f t="array" ref="L561">IFERROR(_xlfn.IFS(Table3[[#This Row],[Age (Years)]]  &gt; 75, "YES", Table3[[#This Row],[Age (Years)]] &lt; 75, "NO"), "UNKNOWN")</f>
        <v>NO</v>
      </c>
      <c r="M561" s="8" t="str">
        <f>IF(Table3[[#This Row],[Drug_Cost_GBP]] &gt; Analysis_Sheet!$B$21, "Above Average", "Within Average")</f>
        <v>Within Average</v>
      </c>
      <c r="N561" s="39" t="str">
        <f t="shared" si="8"/>
        <v>April 2024</v>
      </c>
    </row>
    <row r="562" spans="1:14" x14ac:dyDescent="0.3">
      <c r="A562" s="5" t="s">
        <v>641</v>
      </c>
      <c r="B562" s="18">
        <v>57</v>
      </c>
      <c r="C562" s="6" t="s">
        <v>38</v>
      </c>
      <c r="D562" s="6" t="s">
        <v>10</v>
      </c>
      <c r="E562" s="6" t="s">
        <v>43</v>
      </c>
      <c r="F562" s="7">
        <v>45622</v>
      </c>
      <c r="G562" s="6">
        <v>12</v>
      </c>
      <c r="H562" s="14">
        <v>1061.06</v>
      </c>
      <c r="I562" s="8" t="s">
        <v>16</v>
      </c>
      <c r="J562" s="4" t="str" cm="1">
        <f t="array" ref="J562">_xlfn.IFS(Table3[[#This Row],[Age (Years)]] &lt; 40, "Young", Table3[[#This Row],[Age (Years)]] &gt;= 40, "Middle", Table3[[#This Row],[Age (Years)]] &gt; 60, "Senior")</f>
        <v>Middle</v>
      </c>
      <c r="K562" s="4" t="str" cm="1">
        <f t="array" ref="K562">_xlfn.IFS(Table3[[#This Row],[Drug_Cost_GBP]] &gt; 1200, "High Cost", Table3[[#This Row],[Drug_Cost_GBP]] &lt; 1200, "Normal")</f>
        <v>Normal</v>
      </c>
      <c r="L562" s="4" t="str" cm="1">
        <f t="array" ref="L562">IFERROR(_xlfn.IFS(Table3[[#This Row],[Age (Years)]]  &gt; 75, "YES", Table3[[#This Row],[Age (Years)]] &lt; 75, "NO"), "UNKNOWN")</f>
        <v>NO</v>
      </c>
      <c r="M562" s="4" t="str">
        <f>IF(Table3[[#This Row],[Drug_Cost_GBP]] &gt; Analysis_Sheet!$B$21, "Above Average", "Within Average")</f>
        <v>Above Average</v>
      </c>
      <c r="N562" s="39" t="str">
        <f t="shared" si="8"/>
        <v>November 2024</v>
      </c>
    </row>
    <row r="563" spans="1:14" x14ac:dyDescent="0.3">
      <c r="A563" s="1" t="s">
        <v>644</v>
      </c>
      <c r="B563" s="17">
        <v>57</v>
      </c>
      <c r="C563" s="2" t="s">
        <v>900</v>
      </c>
      <c r="D563" s="2" t="s">
        <v>10</v>
      </c>
      <c r="E563" s="2" t="s">
        <v>43</v>
      </c>
      <c r="F563" s="3">
        <v>45473</v>
      </c>
      <c r="G563" s="2">
        <v>3</v>
      </c>
      <c r="H563" s="13">
        <v>1002.0675517241378</v>
      </c>
      <c r="I563" s="4" t="s">
        <v>21</v>
      </c>
      <c r="J563" s="4" t="str" cm="1">
        <f t="array" ref="J563">_xlfn.IFS(Table3[[#This Row],[Age (Years)]] &lt; 40, "Young", Table3[[#This Row],[Age (Years)]] &gt;= 40, "Middle", Table3[[#This Row],[Age (Years)]] &gt; 60, "Senior")</f>
        <v>Middle</v>
      </c>
      <c r="K563" s="4" t="str" cm="1">
        <f t="array" ref="K563">_xlfn.IFS(Table3[[#This Row],[Drug_Cost_GBP]] &gt; 1200, "High Cost", Table3[[#This Row],[Drug_Cost_GBP]] &lt; 1200, "Normal")</f>
        <v>Normal</v>
      </c>
      <c r="L563" s="4" t="str" cm="1">
        <f t="array" ref="L563">IFERROR(_xlfn.IFS(Table3[[#This Row],[Age (Years)]]  &gt; 75, "YES", Table3[[#This Row],[Age (Years)]] &lt; 75, "NO"), "UNKNOWN")</f>
        <v>NO</v>
      </c>
      <c r="M563" s="4" t="str">
        <f>IF(Table3[[#This Row],[Drug_Cost_GBP]] &gt; Analysis_Sheet!$B$21, "Above Average", "Within Average")</f>
        <v>Within Average</v>
      </c>
      <c r="N563" s="39" t="str">
        <f t="shared" si="8"/>
        <v>June 2024</v>
      </c>
    </row>
    <row r="564" spans="1:14" x14ac:dyDescent="0.3">
      <c r="A564" s="1" t="s">
        <v>646</v>
      </c>
      <c r="B564" s="17">
        <v>57</v>
      </c>
      <c r="C564" s="2" t="s">
        <v>38</v>
      </c>
      <c r="D564" s="2" t="s">
        <v>48</v>
      </c>
      <c r="E564" s="2" t="s">
        <v>43</v>
      </c>
      <c r="F564" s="3">
        <v>45485</v>
      </c>
      <c r="G564" s="2">
        <v>12</v>
      </c>
      <c r="H564" s="13">
        <v>1002.0675517241378</v>
      </c>
      <c r="I564" s="4" t="s">
        <v>12</v>
      </c>
      <c r="J564" s="8" t="str" cm="1">
        <f t="array" ref="J564">_xlfn.IFS(Table3[[#This Row],[Age (Years)]] &lt; 40, "Young", Table3[[#This Row],[Age (Years)]] &gt;= 40, "Middle", Table3[[#This Row],[Age (Years)]] &gt; 60, "Senior")</f>
        <v>Middle</v>
      </c>
      <c r="K564" s="8" t="str" cm="1">
        <f t="array" ref="K564">_xlfn.IFS(Table3[[#This Row],[Drug_Cost_GBP]] &gt; 1200, "High Cost", Table3[[#This Row],[Drug_Cost_GBP]] &lt; 1200, "Normal")</f>
        <v>Normal</v>
      </c>
      <c r="L564" s="8" t="str" cm="1">
        <f t="array" ref="L564">IFERROR(_xlfn.IFS(Table3[[#This Row],[Age (Years)]]  &gt; 75, "YES", Table3[[#This Row],[Age (Years)]] &lt; 75, "NO"), "UNKNOWN")</f>
        <v>NO</v>
      </c>
      <c r="M564" s="8" t="str">
        <f>IF(Table3[[#This Row],[Drug_Cost_GBP]] &gt; Analysis_Sheet!$B$21, "Above Average", "Within Average")</f>
        <v>Within Average</v>
      </c>
      <c r="N564" s="39" t="str">
        <f t="shared" si="8"/>
        <v>July 2024</v>
      </c>
    </row>
    <row r="565" spans="1:14" x14ac:dyDescent="0.3">
      <c r="A565" s="5" t="s">
        <v>649</v>
      </c>
      <c r="B565" s="18">
        <v>57</v>
      </c>
      <c r="C565" s="6" t="s">
        <v>38</v>
      </c>
      <c r="D565" s="6" t="s">
        <v>898</v>
      </c>
      <c r="E565" s="6" t="s">
        <v>57</v>
      </c>
      <c r="F565" s="7">
        <v>45549</v>
      </c>
      <c r="G565" s="6">
        <v>12</v>
      </c>
      <c r="H565" s="14">
        <v>1002.0675517241378</v>
      </c>
      <c r="I565" s="8" t="s">
        <v>16</v>
      </c>
      <c r="J565" s="8" t="str" cm="1">
        <f t="array" ref="J565">_xlfn.IFS(Table3[[#This Row],[Age (Years)]] &lt; 40, "Young", Table3[[#This Row],[Age (Years)]] &gt;= 40, "Middle", Table3[[#This Row],[Age (Years)]] &gt; 60, "Senior")</f>
        <v>Middle</v>
      </c>
      <c r="K565" s="8" t="str" cm="1">
        <f t="array" ref="K565">_xlfn.IFS(Table3[[#This Row],[Drug_Cost_GBP]] &gt; 1200, "High Cost", Table3[[#This Row],[Drug_Cost_GBP]] &lt; 1200, "Normal")</f>
        <v>Normal</v>
      </c>
      <c r="L565" s="8" t="str" cm="1">
        <f t="array" ref="L565">IFERROR(_xlfn.IFS(Table3[[#This Row],[Age (Years)]]  &gt; 75, "YES", Table3[[#This Row],[Age (Years)]] &lt; 75, "NO"), "UNKNOWN")</f>
        <v>NO</v>
      </c>
      <c r="M565" s="8" t="str">
        <f>IF(Table3[[#This Row],[Drug_Cost_GBP]] &gt; Analysis_Sheet!$B$21, "Above Average", "Within Average")</f>
        <v>Within Average</v>
      </c>
      <c r="N565" s="39" t="str">
        <f t="shared" si="8"/>
        <v>September 2024</v>
      </c>
    </row>
    <row r="566" spans="1:14" x14ac:dyDescent="0.3">
      <c r="A566" s="5" t="s">
        <v>651</v>
      </c>
      <c r="B566" s="18">
        <v>57</v>
      </c>
      <c r="C566" s="6" t="s">
        <v>899</v>
      </c>
      <c r="D566" s="6" t="s">
        <v>10</v>
      </c>
      <c r="E566" s="6" t="s">
        <v>43</v>
      </c>
      <c r="F566" s="7">
        <v>45585</v>
      </c>
      <c r="G566" s="6">
        <v>12</v>
      </c>
      <c r="H566" s="14">
        <v>712.1</v>
      </c>
      <c r="I566" s="8" t="s">
        <v>900</v>
      </c>
      <c r="J566" s="4" t="str" cm="1">
        <f t="array" ref="J566">_xlfn.IFS(Table3[[#This Row],[Age (Years)]] &lt; 40, "Young", Table3[[#This Row],[Age (Years)]] &gt;= 40, "Middle", Table3[[#This Row],[Age (Years)]] &gt; 60, "Senior")</f>
        <v>Middle</v>
      </c>
      <c r="K566" s="4" t="str" cm="1">
        <f t="array" ref="K566">_xlfn.IFS(Table3[[#This Row],[Drug_Cost_GBP]] &gt; 1200, "High Cost", Table3[[#This Row],[Drug_Cost_GBP]] &lt; 1200, "Normal")</f>
        <v>Normal</v>
      </c>
      <c r="L566" s="4" t="str" cm="1">
        <f t="array" ref="L566">IFERROR(_xlfn.IFS(Table3[[#This Row],[Age (Years)]]  &gt; 75, "YES", Table3[[#This Row],[Age (Years)]] &lt; 75, "NO"), "UNKNOWN")</f>
        <v>NO</v>
      </c>
      <c r="M566" s="4" t="str">
        <f>IF(Table3[[#This Row],[Drug_Cost_GBP]] &gt; Analysis_Sheet!$B$21, "Above Average", "Within Average")</f>
        <v>Within Average</v>
      </c>
      <c r="N566" s="39" t="str">
        <f t="shared" si="8"/>
        <v>October 2024</v>
      </c>
    </row>
    <row r="567" spans="1:14" x14ac:dyDescent="0.3">
      <c r="A567" s="1" t="s">
        <v>652</v>
      </c>
      <c r="B567" s="17">
        <v>57</v>
      </c>
      <c r="C567" s="2" t="s">
        <v>899</v>
      </c>
      <c r="D567" s="2" t="s">
        <v>48</v>
      </c>
      <c r="E567" s="2" t="s">
        <v>57</v>
      </c>
      <c r="F567" s="3" t="s">
        <v>900</v>
      </c>
      <c r="G567" s="2">
        <v>12</v>
      </c>
      <c r="H567" s="13">
        <v>1002.0675517241378</v>
      </c>
      <c r="I567" s="4" t="s">
        <v>16</v>
      </c>
      <c r="J567" s="4" t="str" cm="1">
        <f t="array" ref="J567">_xlfn.IFS(Table3[[#This Row],[Age (Years)]] &lt; 40, "Young", Table3[[#This Row],[Age (Years)]] &gt;= 40, "Middle", Table3[[#This Row],[Age (Years)]] &gt; 60, "Senior")</f>
        <v>Middle</v>
      </c>
      <c r="K567" s="4" t="str" cm="1">
        <f t="array" ref="K567">_xlfn.IFS(Table3[[#This Row],[Drug_Cost_GBP]] &gt; 1200, "High Cost", Table3[[#This Row],[Drug_Cost_GBP]] &lt; 1200, "Normal")</f>
        <v>Normal</v>
      </c>
      <c r="L567" s="4" t="str" cm="1">
        <f t="array" ref="L567">IFERROR(_xlfn.IFS(Table3[[#This Row],[Age (Years)]]  &gt; 75, "YES", Table3[[#This Row],[Age (Years)]] &lt; 75, "NO"), "UNKNOWN")</f>
        <v>NO</v>
      </c>
      <c r="M567" s="4" t="str">
        <f>IF(Table3[[#This Row],[Drug_Cost_GBP]] &gt; Analysis_Sheet!$B$21, "Above Average", "Within Average")</f>
        <v>Within Average</v>
      </c>
      <c r="N567" s="39" t="str">
        <f t="shared" si="8"/>
        <v>Unknown</v>
      </c>
    </row>
    <row r="568" spans="1:14" x14ac:dyDescent="0.3">
      <c r="A568" s="1" t="s">
        <v>654</v>
      </c>
      <c r="B568" s="17">
        <v>57</v>
      </c>
      <c r="C568" s="2" t="s">
        <v>38</v>
      </c>
      <c r="D568" s="2" t="s">
        <v>900</v>
      </c>
      <c r="E568" s="2" t="s">
        <v>23</v>
      </c>
      <c r="F568" s="3">
        <v>45408</v>
      </c>
      <c r="G568" s="2">
        <v>12</v>
      </c>
      <c r="H568" s="13">
        <v>1002.0675517241378</v>
      </c>
      <c r="I568" s="4" t="s">
        <v>900</v>
      </c>
      <c r="J568" s="8" t="str" cm="1">
        <f t="array" ref="J568">_xlfn.IFS(Table3[[#This Row],[Age (Years)]] &lt; 40, "Young", Table3[[#This Row],[Age (Years)]] &gt;= 40, "Middle", Table3[[#This Row],[Age (Years)]] &gt; 60, "Senior")</f>
        <v>Middle</v>
      </c>
      <c r="K568" s="8" t="str" cm="1">
        <f t="array" ref="K568">_xlfn.IFS(Table3[[#This Row],[Drug_Cost_GBP]] &gt; 1200, "High Cost", Table3[[#This Row],[Drug_Cost_GBP]] &lt; 1200, "Normal")</f>
        <v>Normal</v>
      </c>
      <c r="L568" s="8" t="str" cm="1">
        <f t="array" ref="L568">IFERROR(_xlfn.IFS(Table3[[#This Row],[Age (Years)]]  &gt; 75, "YES", Table3[[#This Row],[Age (Years)]] &lt; 75, "NO"), "UNKNOWN")</f>
        <v>NO</v>
      </c>
      <c r="M568" s="8" t="str">
        <f>IF(Table3[[#This Row],[Drug_Cost_GBP]] &gt; Analysis_Sheet!$B$21, "Above Average", "Within Average")</f>
        <v>Within Average</v>
      </c>
      <c r="N568" s="39" t="str">
        <f t="shared" si="8"/>
        <v>April 2024</v>
      </c>
    </row>
    <row r="569" spans="1:14" x14ac:dyDescent="0.3">
      <c r="A569" s="5" t="s">
        <v>655</v>
      </c>
      <c r="B569" s="18">
        <v>57</v>
      </c>
      <c r="C569" s="6" t="s">
        <v>899</v>
      </c>
      <c r="D569" s="6" t="s">
        <v>14</v>
      </c>
      <c r="E569" s="6" t="s">
        <v>29</v>
      </c>
      <c r="F569" s="7" t="s">
        <v>900</v>
      </c>
      <c r="G569" s="6">
        <v>1</v>
      </c>
      <c r="H569" s="14">
        <v>1002.0675517241378</v>
      </c>
      <c r="I569" s="8" t="s">
        <v>12</v>
      </c>
      <c r="J569" s="4" t="str" cm="1">
        <f t="array" ref="J569">_xlfn.IFS(Table3[[#This Row],[Age (Years)]] &lt; 40, "Young", Table3[[#This Row],[Age (Years)]] &gt;= 40, "Middle", Table3[[#This Row],[Age (Years)]] &gt; 60, "Senior")</f>
        <v>Middle</v>
      </c>
      <c r="K569" s="4" t="str" cm="1">
        <f t="array" ref="K569">_xlfn.IFS(Table3[[#This Row],[Drug_Cost_GBP]] &gt; 1200, "High Cost", Table3[[#This Row],[Drug_Cost_GBP]] &lt; 1200, "Normal")</f>
        <v>Normal</v>
      </c>
      <c r="L569" s="4" t="str" cm="1">
        <f t="array" ref="L569">IFERROR(_xlfn.IFS(Table3[[#This Row],[Age (Years)]]  &gt; 75, "YES", Table3[[#This Row],[Age (Years)]] &lt; 75, "NO"), "UNKNOWN")</f>
        <v>NO</v>
      </c>
      <c r="M569" s="4" t="str">
        <f>IF(Table3[[#This Row],[Drug_Cost_GBP]] &gt; Analysis_Sheet!$B$21, "Above Average", "Within Average")</f>
        <v>Within Average</v>
      </c>
      <c r="N569" s="39" t="str">
        <f t="shared" si="8"/>
        <v>Unknown</v>
      </c>
    </row>
    <row r="570" spans="1:14" x14ac:dyDescent="0.3">
      <c r="A570" s="1" t="s">
        <v>656</v>
      </c>
      <c r="B570" s="17">
        <v>57</v>
      </c>
      <c r="C570" s="2" t="s">
        <v>900</v>
      </c>
      <c r="D570" s="2" t="s">
        <v>51</v>
      </c>
      <c r="E570" s="2" t="s">
        <v>34</v>
      </c>
      <c r="F570" s="3" t="s">
        <v>900</v>
      </c>
      <c r="G570" s="2">
        <v>12</v>
      </c>
      <c r="H570" s="13">
        <v>1002.0675517241378</v>
      </c>
      <c r="I570" s="4" t="s">
        <v>16</v>
      </c>
      <c r="J570" s="8" t="str" cm="1">
        <f t="array" ref="J570">_xlfn.IFS(Table3[[#This Row],[Age (Years)]] &lt; 40, "Young", Table3[[#This Row],[Age (Years)]] &gt;= 40, "Middle", Table3[[#This Row],[Age (Years)]] &gt; 60, "Senior")</f>
        <v>Middle</v>
      </c>
      <c r="K570" s="8" t="str" cm="1">
        <f t="array" ref="K570">_xlfn.IFS(Table3[[#This Row],[Drug_Cost_GBP]] &gt; 1200, "High Cost", Table3[[#This Row],[Drug_Cost_GBP]] &lt; 1200, "Normal")</f>
        <v>Normal</v>
      </c>
      <c r="L570" s="8" t="str" cm="1">
        <f t="array" ref="L570">IFERROR(_xlfn.IFS(Table3[[#This Row],[Age (Years)]]  &gt; 75, "YES", Table3[[#This Row],[Age (Years)]] &lt; 75, "NO"), "UNKNOWN")</f>
        <v>NO</v>
      </c>
      <c r="M570" s="8" t="str">
        <f>IF(Table3[[#This Row],[Drug_Cost_GBP]] &gt; Analysis_Sheet!$B$21, "Above Average", "Within Average")</f>
        <v>Within Average</v>
      </c>
      <c r="N570" s="39" t="str">
        <f t="shared" si="8"/>
        <v>Unknown</v>
      </c>
    </row>
    <row r="571" spans="1:14" x14ac:dyDescent="0.3">
      <c r="A571" s="5" t="s">
        <v>657</v>
      </c>
      <c r="B571" s="18">
        <v>57</v>
      </c>
      <c r="C571" s="6" t="s">
        <v>38</v>
      </c>
      <c r="D571" s="6" t="s">
        <v>14</v>
      </c>
      <c r="E571" s="6" t="s">
        <v>34</v>
      </c>
      <c r="F571" s="7" t="s">
        <v>900</v>
      </c>
      <c r="G571" s="6">
        <v>12</v>
      </c>
      <c r="H571" s="14">
        <v>1002.0675517241378</v>
      </c>
      <c r="I571" s="8" t="s">
        <v>16</v>
      </c>
      <c r="J571" s="4" t="str" cm="1">
        <f t="array" ref="J571">_xlfn.IFS(Table3[[#This Row],[Age (Years)]] &lt; 40, "Young", Table3[[#This Row],[Age (Years)]] &gt;= 40, "Middle", Table3[[#This Row],[Age (Years)]] &gt; 60, "Senior")</f>
        <v>Middle</v>
      </c>
      <c r="K571" s="4" t="str" cm="1">
        <f t="array" ref="K571">_xlfn.IFS(Table3[[#This Row],[Drug_Cost_GBP]] &gt; 1200, "High Cost", Table3[[#This Row],[Drug_Cost_GBP]] &lt; 1200, "Normal")</f>
        <v>Normal</v>
      </c>
      <c r="L571" s="4" t="str" cm="1">
        <f t="array" ref="L571">IFERROR(_xlfn.IFS(Table3[[#This Row],[Age (Years)]]  &gt; 75, "YES", Table3[[#This Row],[Age (Years)]] &lt; 75, "NO"), "UNKNOWN")</f>
        <v>NO</v>
      </c>
      <c r="M571" s="4" t="str">
        <f>IF(Table3[[#This Row],[Drug_Cost_GBP]] &gt; Analysis_Sheet!$B$21, "Above Average", "Within Average")</f>
        <v>Within Average</v>
      </c>
      <c r="N571" s="39" t="str">
        <f t="shared" si="8"/>
        <v>Unknown</v>
      </c>
    </row>
    <row r="572" spans="1:14" x14ac:dyDescent="0.3">
      <c r="A572" s="1" t="s">
        <v>658</v>
      </c>
      <c r="B572" s="17">
        <v>57</v>
      </c>
      <c r="C572" s="2" t="s">
        <v>38</v>
      </c>
      <c r="D572" s="2" t="s">
        <v>10</v>
      </c>
      <c r="E572" s="2" t="s">
        <v>57</v>
      </c>
      <c r="F572" s="3">
        <v>45644</v>
      </c>
      <c r="G572" s="2">
        <v>12</v>
      </c>
      <c r="H572" s="13">
        <v>1002.0675517241378</v>
      </c>
      <c r="I572" s="4" t="s">
        <v>21</v>
      </c>
      <c r="J572" s="4" t="str" cm="1">
        <f t="array" ref="J572">_xlfn.IFS(Table3[[#This Row],[Age (Years)]] &lt; 40, "Young", Table3[[#This Row],[Age (Years)]] &gt;= 40, "Middle", Table3[[#This Row],[Age (Years)]] &gt; 60, "Senior")</f>
        <v>Middle</v>
      </c>
      <c r="K572" s="4" t="str" cm="1">
        <f t="array" ref="K572">_xlfn.IFS(Table3[[#This Row],[Drug_Cost_GBP]] &gt; 1200, "High Cost", Table3[[#This Row],[Drug_Cost_GBP]] &lt; 1200, "Normal")</f>
        <v>Normal</v>
      </c>
      <c r="L572" s="4" t="str" cm="1">
        <f t="array" ref="L572">IFERROR(_xlfn.IFS(Table3[[#This Row],[Age (Years)]]  &gt; 75, "YES", Table3[[#This Row],[Age (Years)]] &lt; 75, "NO"), "UNKNOWN")</f>
        <v>NO</v>
      </c>
      <c r="M572" s="4" t="str">
        <f>IF(Table3[[#This Row],[Drug_Cost_GBP]] &gt; Analysis_Sheet!$B$21, "Above Average", "Within Average")</f>
        <v>Within Average</v>
      </c>
      <c r="N572" s="39" t="str">
        <f t="shared" si="8"/>
        <v>December 2024</v>
      </c>
    </row>
    <row r="573" spans="1:14" x14ac:dyDescent="0.3">
      <c r="A573" s="1" t="s">
        <v>660</v>
      </c>
      <c r="B573" s="17">
        <v>57</v>
      </c>
      <c r="C573" s="2" t="s">
        <v>899</v>
      </c>
      <c r="D573" s="2" t="s">
        <v>898</v>
      </c>
      <c r="E573" s="2" t="s">
        <v>43</v>
      </c>
      <c r="F573" s="3">
        <v>45332</v>
      </c>
      <c r="G573" s="2">
        <v>20</v>
      </c>
      <c r="H573" s="13">
        <v>1122.29</v>
      </c>
      <c r="I573" s="4" t="s">
        <v>26</v>
      </c>
      <c r="J573" s="8" t="str" cm="1">
        <f t="array" ref="J573">_xlfn.IFS(Table3[[#This Row],[Age (Years)]] &lt; 40, "Young", Table3[[#This Row],[Age (Years)]] &gt;= 40, "Middle", Table3[[#This Row],[Age (Years)]] &gt; 60, "Senior")</f>
        <v>Middle</v>
      </c>
      <c r="K573" s="8" t="str" cm="1">
        <f t="array" ref="K573">_xlfn.IFS(Table3[[#This Row],[Drug_Cost_GBP]] &gt; 1200, "High Cost", Table3[[#This Row],[Drug_Cost_GBP]] &lt; 1200, "Normal")</f>
        <v>Normal</v>
      </c>
      <c r="L573" s="8" t="str" cm="1">
        <f t="array" ref="L573">IFERROR(_xlfn.IFS(Table3[[#This Row],[Age (Years)]]  &gt; 75, "YES", Table3[[#This Row],[Age (Years)]] &lt; 75, "NO"), "UNKNOWN")</f>
        <v>NO</v>
      </c>
      <c r="M573" s="8" t="str">
        <f>IF(Table3[[#This Row],[Drug_Cost_GBP]] &gt; Analysis_Sheet!$B$21, "Above Average", "Within Average")</f>
        <v>Above Average</v>
      </c>
      <c r="N573" s="39" t="str">
        <f t="shared" si="8"/>
        <v>February 2024</v>
      </c>
    </row>
    <row r="574" spans="1:14" x14ac:dyDescent="0.3">
      <c r="A574" s="5" t="s">
        <v>661</v>
      </c>
      <c r="B574" s="18">
        <v>57</v>
      </c>
      <c r="C574" s="6" t="s">
        <v>900</v>
      </c>
      <c r="D574" s="6" t="s">
        <v>14</v>
      </c>
      <c r="E574" s="6" t="s">
        <v>43</v>
      </c>
      <c r="F574" s="7">
        <v>45352</v>
      </c>
      <c r="G574" s="6">
        <v>12</v>
      </c>
      <c r="H574" s="14">
        <v>1002.0675517241378</v>
      </c>
      <c r="I574" s="8" t="s">
        <v>26</v>
      </c>
      <c r="J574" s="4" t="str" cm="1">
        <f t="array" ref="J574">_xlfn.IFS(Table3[[#This Row],[Age (Years)]] &lt; 40, "Young", Table3[[#This Row],[Age (Years)]] &gt;= 40, "Middle", Table3[[#This Row],[Age (Years)]] &gt; 60, "Senior")</f>
        <v>Middle</v>
      </c>
      <c r="K574" s="4" t="str" cm="1">
        <f t="array" ref="K574">_xlfn.IFS(Table3[[#This Row],[Drug_Cost_GBP]] &gt; 1200, "High Cost", Table3[[#This Row],[Drug_Cost_GBP]] &lt; 1200, "Normal")</f>
        <v>Normal</v>
      </c>
      <c r="L574" s="4" t="str" cm="1">
        <f t="array" ref="L574">IFERROR(_xlfn.IFS(Table3[[#This Row],[Age (Years)]]  &gt; 75, "YES", Table3[[#This Row],[Age (Years)]] &lt; 75, "NO"), "UNKNOWN")</f>
        <v>NO</v>
      </c>
      <c r="M574" s="4" t="str">
        <f>IF(Table3[[#This Row],[Drug_Cost_GBP]] &gt; Analysis_Sheet!$B$21, "Above Average", "Within Average")</f>
        <v>Within Average</v>
      </c>
      <c r="N574" s="39" t="str">
        <f t="shared" si="8"/>
        <v>March 2024</v>
      </c>
    </row>
    <row r="575" spans="1:14" x14ac:dyDescent="0.3">
      <c r="A575" s="1" t="s">
        <v>662</v>
      </c>
      <c r="B575" s="17">
        <v>57</v>
      </c>
      <c r="C575" s="2" t="s">
        <v>38</v>
      </c>
      <c r="D575" s="2" t="s">
        <v>900</v>
      </c>
      <c r="E575" s="2" t="s">
        <v>34</v>
      </c>
      <c r="F575" s="3">
        <v>45655</v>
      </c>
      <c r="G575" s="2">
        <v>18</v>
      </c>
      <c r="H575" s="13">
        <v>1002.0675517241378</v>
      </c>
      <c r="I575" s="4" t="s">
        <v>16</v>
      </c>
      <c r="J575" s="4" t="str" cm="1">
        <f t="array" ref="J575">_xlfn.IFS(Table3[[#This Row],[Age (Years)]] &lt; 40, "Young", Table3[[#This Row],[Age (Years)]] &gt;= 40, "Middle", Table3[[#This Row],[Age (Years)]] &gt; 60, "Senior")</f>
        <v>Middle</v>
      </c>
      <c r="K575" s="4" t="str" cm="1">
        <f t="array" ref="K575">_xlfn.IFS(Table3[[#This Row],[Drug_Cost_GBP]] &gt; 1200, "High Cost", Table3[[#This Row],[Drug_Cost_GBP]] &lt; 1200, "Normal")</f>
        <v>Normal</v>
      </c>
      <c r="L575" s="4" t="str" cm="1">
        <f t="array" ref="L575">IFERROR(_xlfn.IFS(Table3[[#This Row],[Age (Years)]]  &gt; 75, "YES", Table3[[#This Row],[Age (Years)]] &lt; 75, "NO"), "UNKNOWN")</f>
        <v>NO</v>
      </c>
      <c r="M575" s="4" t="str">
        <f>IF(Table3[[#This Row],[Drug_Cost_GBP]] &gt; Analysis_Sheet!$B$21, "Above Average", "Within Average")</f>
        <v>Within Average</v>
      </c>
      <c r="N575" s="39" t="str">
        <f t="shared" si="8"/>
        <v>December 2024</v>
      </c>
    </row>
    <row r="576" spans="1:14" x14ac:dyDescent="0.3">
      <c r="A576" s="1" t="s">
        <v>664</v>
      </c>
      <c r="B576" s="17">
        <v>57</v>
      </c>
      <c r="C576" s="2" t="s">
        <v>899</v>
      </c>
      <c r="D576" s="2" t="s">
        <v>51</v>
      </c>
      <c r="E576" s="2" t="s">
        <v>23</v>
      </c>
      <c r="F576" s="3">
        <v>45370</v>
      </c>
      <c r="G576" s="2">
        <v>8</v>
      </c>
      <c r="H576" s="13">
        <v>1002.0675517241378</v>
      </c>
      <c r="I576" s="4" t="s">
        <v>21</v>
      </c>
      <c r="J576" s="8" t="str" cm="1">
        <f t="array" ref="J576">_xlfn.IFS(Table3[[#This Row],[Age (Years)]] &lt; 40, "Young", Table3[[#This Row],[Age (Years)]] &gt;= 40, "Middle", Table3[[#This Row],[Age (Years)]] &gt; 60, "Senior")</f>
        <v>Middle</v>
      </c>
      <c r="K576" s="8" t="str" cm="1">
        <f t="array" ref="K576">_xlfn.IFS(Table3[[#This Row],[Drug_Cost_GBP]] &gt; 1200, "High Cost", Table3[[#This Row],[Drug_Cost_GBP]] &lt; 1200, "Normal")</f>
        <v>Normal</v>
      </c>
      <c r="L576" s="8" t="str" cm="1">
        <f t="array" ref="L576">IFERROR(_xlfn.IFS(Table3[[#This Row],[Age (Years)]]  &gt; 75, "YES", Table3[[#This Row],[Age (Years)]] &lt; 75, "NO"), "UNKNOWN")</f>
        <v>NO</v>
      </c>
      <c r="M576" s="8" t="str">
        <f>IF(Table3[[#This Row],[Drug_Cost_GBP]] &gt; Analysis_Sheet!$B$21, "Above Average", "Within Average")</f>
        <v>Within Average</v>
      </c>
      <c r="N576" s="39" t="str">
        <f t="shared" si="8"/>
        <v>March 2024</v>
      </c>
    </row>
    <row r="577" spans="1:14" x14ac:dyDescent="0.3">
      <c r="A577" s="5" t="s">
        <v>665</v>
      </c>
      <c r="B577" s="18">
        <v>57</v>
      </c>
      <c r="C577" s="6" t="s">
        <v>899</v>
      </c>
      <c r="D577" s="6" t="s">
        <v>51</v>
      </c>
      <c r="E577" s="6" t="s">
        <v>43</v>
      </c>
      <c r="F577" s="7">
        <v>45640</v>
      </c>
      <c r="G577" s="6">
        <v>12</v>
      </c>
      <c r="H577" s="14">
        <v>1002.0675517241378</v>
      </c>
      <c r="I577" s="8" t="s">
        <v>21</v>
      </c>
      <c r="J577" s="4" t="str" cm="1">
        <f t="array" ref="J577">_xlfn.IFS(Table3[[#This Row],[Age (Years)]] &lt; 40, "Young", Table3[[#This Row],[Age (Years)]] &gt;= 40, "Middle", Table3[[#This Row],[Age (Years)]] &gt; 60, "Senior")</f>
        <v>Middle</v>
      </c>
      <c r="K577" s="4" t="str" cm="1">
        <f t="array" ref="K577">_xlfn.IFS(Table3[[#This Row],[Drug_Cost_GBP]] &gt; 1200, "High Cost", Table3[[#This Row],[Drug_Cost_GBP]] &lt; 1200, "Normal")</f>
        <v>Normal</v>
      </c>
      <c r="L577" s="4" t="str" cm="1">
        <f t="array" ref="L577">IFERROR(_xlfn.IFS(Table3[[#This Row],[Age (Years)]]  &gt; 75, "YES", Table3[[#This Row],[Age (Years)]] &lt; 75, "NO"), "UNKNOWN")</f>
        <v>NO</v>
      </c>
      <c r="M577" s="4" t="str">
        <f>IF(Table3[[#This Row],[Drug_Cost_GBP]] &gt; Analysis_Sheet!$B$21, "Above Average", "Within Average")</f>
        <v>Within Average</v>
      </c>
      <c r="N577" s="39" t="str">
        <f t="shared" si="8"/>
        <v>December 2024</v>
      </c>
    </row>
    <row r="578" spans="1:14" x14ac:dyDescent="0.3">
      <c r="A578" s="1" t="s">
        <v>666</v>
      </c>
      <c r="B578" s="17">
        <v>57</v>
      </c>
      <c r="C578" s="2" t="s">
        <v>38</v>
      </c>
      <c r="D578" s="2" t="s">
        <v>19</v>
      </c>
      <c r="E578" s="2" t="s">
        <v>23</v>
      </c>
      <c r="F578" s="3">
        <v>45463</v>
      </c>
      <c r="G578" s="2">
        <v>12</v>
      </c>
      <c r="H578" s="13">
        <v>1590.36</v>
      </c>
      <c r="I578" s="4" t="s">
        <v>16</v>
      </c>
      <c r="J578" s="8" t="str" cm="1">
        <f t="array" ref="J578">_xlfn.IFS(Table3[[#This Row],[Age (Years)]] &lt; 40, "Young", Table3[[#This Row],[Age (Years)]] &gt;= 40, "Middle", Table3[[#This Row],[Age (Years)]] &gt; 60, "Senior")</f>
        <v>Middle</v>
      </c>
      <c r="K578" s="8" t="str" cm="1">
        <f t="array" ref="K578">_xlfn.IFS(Table3[[#This Row],[Drug_Cost_GBP]] &gt; 1200, "High Cost", Table3[[#This Row],[Drug_Cost_GBP]] &lt; 1200, "Normal")</f>
        <v>High Cost</v>
      </c>
      <c r="L578" s="8" t="str" cm="1">
        <f t="array" ref="L578">IFERROR(_xlfn.IFS(Table3[[#This Row],[Age (Years)]]  &gt; 75, "YES", Table3[[#This Row],[Age (Years)]] &lt; 75, "NO"), "UNKNOWN")</f>
        <v>NO</v>
      </c>
      <c r="M578" s="8" t="str">
        <f>IF(Table3[[#This Row],[Drug_Cost_GBP]] &gt; Analysis_Sheet!$B$21, "Above Average", "Within Average")</f>
        <v>Above Average</v>
      </c>
      <c r="N578" s="39" t="str">
        <f t="shared" si="8"/>
        <v>June 2024</v>
      </c>
    </row>
    <row r="579" spans="1:14" x14ac:dyDescent="0.3">
      <c r="A579" s="5" t="s">
        <v>669</v>
      </c>
      <c r="B579" s="18">
        <v>57</v>
      </c>
      <c r="C579" s="6" t="s">
        <v>38</v>
      </c>
      <c r="D579" s="6" t="s">
        <v>19</v>
      </c>
      <c r="E579" s="6" t="s">
        <v>57</v>
      </c>
      <c r="F579" s="7">
        <v>45585</v>
      </c>
      <c r="G579" s="6">
        <v>12</v>
      </c>
      <c r="H579" s="14">
        <v>1002.0675517241378</v>
      </c>
      <c r="I579" s="8" t="s">
        <v>16</v>
      </c>
      <c r="J579" s="8" t="str" cm="1">
        <f t="array" ref="J579">_xlfn.IFS(Table3[[#This Row],[Age (Years)]] &lt; 40, "Young", Table3[[#This Row],[Age (Years)]] &gt;= 40, "Middle", Table3[[#This Row],[Age (Years)]] &gt; 60, "Senior")</f>
        <v>Middle</v>
      </c>
      <c r="K579" s="8" t="str" cm="1">
        <f t="array" ref="K579">_xlfn.IFS(Table3[[#This Row],[Drug_Cost_GBP]] &gt; 1200, "High Cost", Table3[[#This Row],[Drug_Cost_GBP]] &lt; 1200, "Normal")</f>
        <v>Normal</v>
      </c>
      <c r="L579" s="8" t="str" cm="1">
        <f t="array" ref="L579">IFERROR(_xlfn.IFS(Table3[[#This Row],[Age (Years)]]  &gt; 75, "YES", Table3[[#This Row],[Age (Years)]] &lt; 75, "NO"), "UNKNOWN")</f>
        <v>NO</v>
      </c>
      <c r="M579" s="8" t="str">
        <f>IF(Table3[[#This Row],[Drug_Cost_GBP]] &gt; Analysis_Sheet!$B$21, "Above Average", "Within Average")</f>
        <v>Within Average</v>
      </c>
      <c r="N579" s="39" t="str">
        <f t="shared" ref="N579:N642" si="9">IF(ISNUMBER(F579),TEXT(F579,"MMMM YYYY"),"Unknown")</f>
        <v>October 2024</v>
      </c>
    </row>
    <row r="580" spans="1:14" x14ac:dyDescent="0.3">
      <c r="A580" s="5" t="s">
        <v>671</v>
      </c>
      <c r="B580" s="18">
        <v>57</v>
      </c>
      <c r="C580" s="6" t="s">
        <v>899</v>
      </c>
      <c r="D580" s="6" t="s">
        <v>14</v>
      </c>
      <c r="E580" s="6" t="s">
        <v>29</v>
      </c>
      <c r="F580" s="7">
        <v>45607</v>
      </c>
      <c r="G580" s="6">
        <v>15</v>
      </c>
      <c r="H580" s="14">
        <v>205.21</v>
      </c>
      <c r="I580" s="8" t="s">
        <v>900</v>
      </c>
      <c r="J580" s="4" t="str" cm="1">
        <f t="array" ref="J580">_xlfn.IFS(Table3[[#This Row],[Age (Years)]] &lt; 40, "Young", Table3[[#This Row],[Age (Years)]] &gt;= 40, "Middle", Table3[[#This Row],[Age (Years)]] &gt; 60, "Senior")</f>
        <v>Middle</v>
      </c>
      <c r="K580" s="4" t="str" cm="1">
        <f t="array" ref="K580">_xlfn.IFS(Table3[[#This Row],[Drug_Cost_GBP]] &gt; 1200, "High Cost", Table3[[#This Row],[Drug_Cost_GBP]] &lt; 1200, "Normal")</f>
        <v>Normal</v>
      </c>
      <c r="L580" s="4" t="str" cm="1">
        <f t="array" ref="L580">IFERROR(_xlfn.IFS(Table3[[#This Row],[Age (Years)]]  &gt; 75, "YES", Table3[[#This Row],[Age (Years)]] &lt; 75, "NO"), "UNKNOWN")</f>
        <v>NO</v>
      </c>
      <c r="M580" s="4" t="str">
        <f>IF(Table3[[#This Row],[Drug_Cost_GBP]] &gt; Analysis_Sheet!$B$21, "Above Average", "Within Average")</f>
        <v>Within Average</v>
      </c>
      <c r="N580" s="39" t="str">
        <f t="shared" si="9"/>
        <v>November 2024</v>
      </c>
    </row>
    <row r="581" spans="1:14" x14ac:dyDescent="0.3">
      <c r="A581" s="1" t="s">
        <v>672</v>
      </c>
      <c r="B581" s="17">
        <v>57</v>
      </c>
      <c r="C581" s="2" t="s">
        <v>900</v>
      </c>
      <c r="D581" s="2" t="s">
        <v>898</v>
      </c>
      <c r="E581" s="2" t="s">
        <v>34</v>
      </c>
      <c r="F581" s="3">
        <v>45412</v>
      </c>
      <c r="G581" s="2">
        <v>1</v>
      </c>
      <c r="H581" s="13">
        <v>1836.03</v>
      </c>
      <c r="I581" s="4" t="s">
        <v>12</v>
      </c>
      <c r="J581" s="4" t="str" cm="1">
        <f t="array" ref="J581">_xlfn.IFS(Table3[[#This Row],[Age (Years)]] &lt; 40, "Young", Table3[[#This Row],[Age (Years)]] &gt;= 40, "Middle", Table3[[#This Row],[Age (Years)]] &gt; 60, "Senior")</f>
        <v>Middle</v>
      </c>
      <c r="K581" s="4" t="str" cm="1">
        <f t="array" ref="K581">_xlfn.IFS(Table3[[#This Row],[Drug_Cost_GBP]] &gt; 1200, "High Cost", Table3[[#This Row],[Drug_Cost_GBP]] &lt; 1200, "Normal")</f>
        <v>High Cost</v>
      </c>
      <c r="L581" s="4" t="str" cm="1">
        <f t="array" ref="L581">IFERROR(_xlfn.IFS(Table3[[#This Row],[Age (Years)]]  &gt; 75, "YES", Table3[[#This Row],[Age (Years)]] &lt; 75, "NO"), "UNKNOWN")</f>
        <v>NO</v>
      </c>
      <c r="M581" s="4" t="str">
        <f>IF(Table3[[#This Row],[Drug_Cost_GBP]] &gt; Analysis_Sheet!$B$21, "Above Average", "Within Average")</f>
        <v>Above Average</v>
      </c>
      <c r="N581" s="39" t="str">
        <f t="shared" si="9"/>
        <v>April 2024</v>
      </c>
    </row>
    <row r="582" spans="1:14" x14ac:dyDescent="0.3">
      <c r="A582" s="1" t="s">
        <v>674</v>
      </c>
      <c r="B582" s="17">
        <v>57</v>
      </c>
      <c r="C582" s="2" t="s">
        <v>899</v>
      </c>
      <c r="D582" s="2" t="s">
        <v>10</v>
      </c>
      <c r="E582" s="2" t="s">
        <v>43</v>
      </c>
      <c r="F582" s="3">
        <v>45357</v>
      </c>
      <c r="G582" s="2">
        <v>12</v>
      </c>
      <c r="H582" s="13">
        <v>1809.21</v>
      </c>
      <c r="I582" s="4" t="s">
        <v>12</v>
      </c>
      <c r="J582" s="8" t="str" cm="1">
        <f t="array" ref="J582">_xlfn.IFS(Table3[[#This Row],[Age (Years)]] &lt; 40, "Young", Table3[[#This Row],[Age (Years)]] &gt;= 40, "Middle", Table3[[#This Row],[Age (Years)]] &gt; 60, "Senior")</f>
        <v>Middle</v>
      </c>
      <c r="K582" s="8" t="str" cm="1">
        <f t="array" ref="K582">_xlfn.IFS(Table3[[#This Row],[Drug_Cost_GBP]] &gt; 1200, "High Cost", Table3[[#This Row],[Drug_Cost_GBP]] &lt; 1200, "Normal")</f>
        <v>High Cost</v>
      </c>
      <c r="L582" s="8" t="str" cm="1">
        <f t="array" ref="L582">IFERROR(_xlfn.IFS(Table3[[#This Row],[Age (Years)]]  &gt; 75, "YES", Table3[[#This Row],[Age (Years)]] &lt; 75, "NO"), "UNKNOWN")</f>
        <v>NO</v>
      </c>
      <c r="M582" s="8" t="str">
        <f>IF(Table3[[#This Row],[Drug_Cost_GBP]] &gt; Analysis_Sheet!$B$21, "Above Average", "Within Average")</f>
        <v>Above Average</v>
      </c>
      <c r="N582" s="39" t="str">
        <f t="shared" si="9"/>
        <v>March 2024</v>
      </c>
    </row>
    <row r="583" spans="1:14" x14ac:dyDescent="0.3">
      <c r="A583" s="5" t="s">
        <v>679</v>
      </c>
      <c r="B583" s="18">
        <v>57</v>
      </c>
      <c r="C583" s="6" t="s">
        <v>38</v>
      </c>
      <c r="D583" s="6" t="s">
        <v>14</v>
      </c>
      <c r="E583" s="6" t="s">
        <v>11</v>
      </c>
      <c r="F583" s="7">
        <v>45593</v>
      </c>
      <c r="G583" s="6">
        <v>4</v>
      </c>
      <c r="H583" s="14">
        <v>1002.0675517241378</v>
      </c>
      <c r="I583" s="8" t="s">
        <v>12</v>
      </c>
      <c r="J583" s="8" t="str" cm="1">
        <f t="array" ref="J583">_xlfn.IFS(Table3[[#This Row],[Age (Years)]] &lt; 40, "Young", Table3[[#This Row],[Age (Years)]] &gt;= 40, "Middle", Table3[[#This Row],[Age (Years)]] &gt; 60, "Senior")</f>
        <v>Middle</v>
      </c>
      <c r="K583" s="8" t="str" cm="1">
        <f t="array" ref="K583">_xlfn.IFS(Table3[[#This Row],[Drug_Cost_GBP]] &gt; 1200, "High Cost", Table3[[#This Row],[Drug_Cost_GBP]] &lt; 1200, "Normal")</f>
        <v>Normal</v>
      </c>
      <c r="L583" s="8" t="str" cm="1">
        <f t="array" ref="L583">IFERROR(_xlfn.IFS(Table3[[#This Row],[Age (Years)]]  &gt; 75, "YES", Table3[[#This Row],[Age (Years)]] &lt; 75, "NO"), "UNKNOWN")</f>
        <v>NO</v>
      </c>
      <c r="M583" s="8" t="str">
        <f>IF(Table3[[#This Row],[Drug_Cost_GBP]] &gt; Analysis_Sheet!$B$21, "Above Average", "Within Average")</f>
        <v>Within Average</v>
      </c>
      <c r="N583" s="39" t="str">
        <f t="shared" si="9"/>
        <v>October 2024</v>
      </c>
    </row>
    <row r="584" spans="1:14" x14ac:dyDescent="0.3">
      <c r="A584" s="5" t="s">
        <v>681</v>
      </c>
      <c r="B584" s="18">
        <v>57</v>
      </c>
      <c r="C584" s="6" t="s">
        <v>899</v>
      </c>
      <c r="D584" s="6" t="s">
        <v>25</v>
      </c>
      <c r="E584" s="6" t="s">
        <v>43</v>
      </c>
      <c r="F584" s="7">
        <v>45564</v>
      </c>
      <c r="G584" s="6">
        <v>19</v>
      </c>
      <c r="H584" s="14">
        <v>134.55000000000001</v>
      </c>
      <c r="I584" s="8" t="s">
        <v>26</v>
      </c>
      <c r="J584" s="4" t="str" cm="1">
        <f t="array" ref="J584">_xlfn.IFS(Table3[[#This Row],[Age (Years)]] &lt; 40, "Young", Table3[[#This Row],[Age (Years)]] &gt;= 40, "Middle", Table3[[#This Row],[Age (Years)]] &gt; 60, "Senior")</f>
        <v>Middle</v>
      </c>
      <c r="K584" s="4" t="str" cm="1">
        <f t="array" ref="K584">_xlfn.IFS(Table3[[#This Row],[Drug_Cost_GBP]] &gt; 1200, "High Cost", Table3[[#This Row],[Drug_Cost_GBP]] &lt; 1200, "Normal")</f>
        <v>Normal</v>
      </c>
      <c r="L584" s="4" t="str" cm="1">
        <f t="array" ref="L584">IFERROR(_xlfn.IFS(Table3[[#This Row],[Age (Years)]]  &gt; 75, "YES", Table3[[#This Row],[Age (Years)]] &lt; 75, "NO"), "UNKNOWN")</f>
        <v>NO</v>
      </c>
      <c r="M584" s="4" t="str">
        <f>IF(Table3[[#This Row],[Drug_Cost_GBP]] &gt; Analysis_Sheet!$B$21, "Above Average", "Within Average")</f>
        <v>Within Average</v>
      </c>
      <c r="N584" s="39" t="str">
        <f t="shared" si="9"/>
        <v>September 2024</v>
      </c>
    </row>
    <row r="585" spans="1:14" x14ac:dyDescent="0.3">
      <c r="A585" s="1" t="s">
        <v>682</v>
      </c>
      <c r="B585" s="17">
        <v>57</v>
      </c>
      <c r="C585" s="2" t="s">
        <v>900</v>
      </c>
      <c r="D585" s="2" t="s">
        <v>14</v>
      </c>
      <c r="E585" s="2" t="s">
        <v>57</v>
      </c>
      <c r="F585" s="3">
        <v>45523</v>
      </c>
      <c r="G585" s="2">
        <v>7</v>
      </c>
      <c r="H585" s="13">
        <v>1002.0675517241378</v>
      </c>
      <c r="I585" s="4" t="s">
        <v>900</v>
      </c>
      <c r="J585" s="4" t="str" cm="1">
        <f t="array" ref="J585">_xlfn.IFS(Table3[[#This Row],[Age (Years)]] &lt; 40, "Young", Table3[[#This Row],[Age (Years)]] &gt;= 40, "Middle", Table3[[#This Row],[Age (Years)]] &gt; 60, "Senior")</f>
        <v>Middle</v>
      </c>
      <c r="K585" s="4" t="str" cm="1">
        <f t="array" ref="K585">_xlfn.IFS(Table3[[#This Row],[Drug_Cost_GBP]] &gt; 1200, "High Cost", Table3[[#This Row],[Drug_Cost_GBP]] &lt; 1200, "Normal")</f>
        <v>Normal</v>
      </c>
      <c r="L585" s="4" t="str" cm="1">
        <f t="array" ref="L585">IFERROR(_xlfn.IFS(Table3[[#This Row],[Age (Years)]]  &gt; 75, "YES", Table3[[#This Row],[Age (Years)]] &lt; 75, "NO"), "UNKNOWN")</f>
        <v>NO</v>
      </c>
      <c r="M585" s="4" t="str">
        <f>IF(Table3[[#This Row],[Drug_Cost_GBP]] &gt; Analysis_Sheet!$B$21, "Above Average", "Within Average")</f>
        <v>Within Average</v>
      </c>
      <c r="N585" s="39" t="str">
        <f t="shared" si="9"/>
        <v>August 2024</v>
      </c>
    </row>
    <row r="586" spans="1:14" x14ac:dyDescent="0.3">
      <c r="A586" s="1" t="s">
        <v>684</v>
      </c>
      <c r="B586" s="17">
        <v>57</v>
      </c>
      <c r="C586" s="2" t="s">
        <v>38</v>
      </c>
      <c r="D586" s="2" t="s">
        <v>14</v>
      </c>
      <c r="E586" s="2" t="s">
        <v>23</v>
      </c>
      <c r="F586" s="3" t="s">
        <v>900</v>
      </c>
      <c r="G586" s="2">
        <v>12</v>
      </c>
      <c r="H586" s="13">
        <v>860.62</v>
      </c>
      <c r="I586" s="4" t="s">
        <v>900</v>
      </c>
      <c r="J586" s="8" t="str" cm="1">
        <f t="array" ref="J586">_xlfn.IFS(Table3[[#This Row],[Age (Years)]] &lt; 40, "Young", Table3[[#This Row],[Age (Years)]] &gt;= 40, "Middle", Table3[[#This Row],[Age (Years)]] &gt; 60, "Senior")</f>
        <v>Middle</v>
      </c>
      <c r="K586" s="8" t="str" cm="1">
        <f t="array" ref="K586">_xlfn.IFS(Table3[[#This Row],[Drug_Cost_GBP]] &gt; 1200, "High Cost", Table3[[#This Row],[Drug_Cost_GBP]] &lt; 1200, "Normal")</f>
        <v>Normal</v>
      </c>
      <c r="L586" s="8" t="str" cm="1">
        <f t="array" ref="L586">IFERROR(_xlfn.IFS(Table3[[#This Row],[Age (Years)]]  &gt; 75, "YES", Table3[[#This Row],[Age (Years)]] &lt; 75, "NO"), "UNKNOWN")</f>
        <v>NO</v>
      </c>
      <c r="M586" s="8" t="str">
        <f>IF(Table3[[#This Row],[Drug_Cost_GBP]] &gt; Analysis_Sheet!$B$21, "Above Average", "Within Average")</f>
        <v>Within Average</v>
      </c>
      <c r="N586" s="39" t="str">
        <f t="shared" si="9"/>
        <v>Unknown</v>
      </c>
    </row>
    <row r="587" spans="1:14" x14ac:dyDescent="0.3">
      <c r="A587" s="5" t="s">
        <v>685</v>
      </c>
      <c r="B587" s="18">
        <v>57</v>
      </c>
      <c r="C587" s="6" t="s">
        <v>899</v>
      </c>
      <c r="D587" s="6" t="s">
        <v>48</v>
      </c>
      <c r="E587" s="6" t="s">
        <v>29</v>
      </c>
      <c r="F587" s="7">
        <v>45293</v>
      </c>
      <c r="G587" s="6">
        <v>12</v>
      </c>
      <c r="H587" s="14">
        <v>1002.0675517241378</v>
      </c>
      <c r="I587" s="8" t="s">
        <v>12</v>
      </c>
      <c r="J587" s="4" t="str" cm="1">
        <f t="array" ref="J587">_xlfn.IFS(Table3[[#This Row],[Age (Years)]] &lt; 40, "Young", Table3[[#This Row],[Age (Years)]] &gt;= 40, "Middle", Table3[[#This Row],[Age (Years)]] &gt; 60, "Senior")</f>
        <v>Middle</v>
      </c>
      <c r="K587" s="4" t="str" cm="1">
        <f t="array" ref="K587">_xlfn.IFS(Table3[[#This Row],[Drug_Cost_GBP]] &gt; 1200, "High Cost", Table3[[#This Row],[Drug_Cost_GBP]] &lt; 1200, "Normal")</f>
        <v>Normal</v>
      </c>
      <c r="L587" s="4" t="str" cm="1">
        <f t="array" ref="L587">IFERROR(_xlfn.IFS(Table3[[#This Row],[Age (Years)]]  &gt; 75, "YES", Table3[[#This Row],[Age (Years)]] &lt; 75, "NO"), "UNKNOWN")</f>
        <v>NO</v>
      </c>
      <c r="M587" s="4" t="str">
        <f>IF(Table3[[#This Row],[Drug_Cost_GBP]] &gt; Analysis_Sheet!$B$21, "Above Average", "Within Average")</f>
        <v>Within Average</v>
      </c>
      <c r="N587" s="39" t="str">
        <f t="shared" si="9"/>
        <v>January 2024</v>
      </c>
    </row>
    <row r="588" spans="1:14" x14ac:dyDescent="0.3">
      <c r="A588" s="1" t="s">
        <v>688</v>
      </c>
      <c r="B588" s="17">
        <v>57</v>
      </c>
      <c r="C588" s="2" t="s">
        <v>900</v>
      </c>
      <c r="D588" s="2" t="s">
        <v>14</v>
      </c>
      <c r="E588" s="2" t="s">
        <v>11</v>
      </c>
      <c r="F588" s="3">
        <v>45326</v>
      </c>
      <c r="G588" s="2">
        <v>18</v>
      </c>
      <c r="H588" s="13">
        <v>1876.7</v>
      </c>
      <c r="I588" s="4" t="s">
        <v>26</v>
      </c>
      <c r="J588" s="4" t="str" cm="1">
        <f t="array" ref="J588">_xlfn.IFS(Table3[[#This Row],[Age (Years)]] &lt; 40, "Young", Table3[[#This Row],[Age (Years)]] &gt;= 40, "Middle", Table3[[#This Row],[Age (Years)]] &gt; 60, "Senior")</f>
        <v>Middle</v>
      </c>
      <c r="K588" s="4" t="str" cm="1">
        <f t="array" ref="K588">_xlfn.IFS(Table3[[#This Row],[Drug_Cost_GBP]] &gt; 1200, "High Cost", Table3[[#This Row],[Drug_Cost_GBP]] &lt; 1200, "Normal")</f>
        <v>High Cost</v>
      </c>
      <c r="L588" s="4" t="str" cm="1">
        <f t="array" ref="L588">IFERROR(_xlfn.IFS(Table3[[#This Row],[Age (Years)]]  &gt; 75, "YES", Table3[[#This Row],[Age (Years)]] &lt; 75, "NO"), "UNKNOWN")</f>
        <v>NO</v>
      </c>
      <c r="M588" s="4" t="str">
        <f>IF(Table3[[#This Row],[Drug_Cost_GBP]] &gt; Analysis_Sheet!$B$21, "Above Average", "Within Average")</f>
        <v>Above Average</v>
      </c>
      <c r="N588" s="39" t="str">
        <f t="shared" si="9"/>
        <v>February 2024</v>
      </c>
    </row>
    <row r="589" spans="1:14" x14ac:dyDescent="0.3">
      <c r="A589" s="1" t="s">
        <v>690</v>
      </c>
      <c r="B589" s="17">
        <v>57</v>
      </c>
      <c r="C589" s="2" t="s">
        <v>899</v>
      </c>
      <c r="D589" s="2" t="s">
        <v>14</v>
      </c>
      <c r="E589" s="2" t="s">
        <v>23</v>
      </c>
      <c r="F589" s="3" t="s">
        <v>900</v>
      </c>
      <c r="G589" s="2">
        <v>12</v>
      </c>
      <c r="H589" s="13">
        <v>1002.0675517241378</v>
      </c>
      <c r="I589" s="4" t="s">
        <v>16</v>
      </c>
      <c r="J589" s="8" t="str" cm="1">
        <f t="array" ref="J589">_xlfn.IFS(Table3[[#This Row],[Age (Years)]] &lt; 40, "Young", Table3[[#This Row],[Age (Years)]] &gt;= 40, "Middle", Table3[[#This Row],[Age (Years)]] &gt; 60, "Senior")</f>
        <v>Middle</v>
      </c>
      <c r="K589" s="8" t="str" cm="1">
        <f t="array" ref="K589">_xlfn.IFS(Table3[[#This Row],[Drug_Cost_GBP]] &gt; 1200, "High Cost", Table3[[#This Row],[Drug_Cost_GBP]] &lt; 1200, "Normal")</f>
        <v>Normal</v>
      </c>
      <c r="L589" s="8" t="str" cm="1">
        <f t="array" ref="L589">IFERROR(_xlfn.IFS(Table3[[#This Row],[Age (Years)]]  &gt; 75, "YES", Table3[[#This Row],[Age (Years)]] &lt; 75, "NO"), "UNKNOWN")</f>
        <v>NO</v>
      </c>
      <c r="M589" s="8" t="str">
        <f>IF(Table3[[#This Row],[Drug_Cost_GBP]] &gt; Analysis_Sheet!$B$21, "Above Average", "Within Average")</f>
        <v>Within Average</v>
      </c>
      <c r="N589" s="39" t="str">
        <f t="shared" si="9"/>
        <v>Unknown</v>
      </c>
    </row>
    <row r="590" spans="1:14" x14ac:dyDescent="0.3">
      <c r="A590" s="5" t="s">
        <v>691</v>
      </c>
      <c r="B590" s="18">
        <v>57</v>
      </c>
      <c r="C590" s="6" t="s">
        <v>900</v>
      </c>
      <c r="D590" s="6" t="s">
        <v>14</v>
      </c>
      <c r="E590" s="6" t="s">
        <v>29</v>
      </c>
      <c r="F590" s="7" t="s">
        <v>900</v>
      </c>
      <c r="G590" s="6">
        <v>18</v>
      </c>
      <c r="H590" s="14">
        <v>1933.14</v>
      </c>
      <c r="I590" s="8" t="s">
        <v>21</v>
      </c>
      <c r="J590" s="4" t="str" cm="1">
        <f t="array" ref="J590">_xlfn.IFS(Table3[[#This Row],[Age (Years)]] &lt; 40, "Young", Table3[[#This Row],[Age (Years)]] &gt;= 40, "Middle", Table3[[#This Row],[Age (Years)]] &gt; 60, "Senior")</f>
        <v>Middle</v>
      </c>
      <c r="K590" s="4" t="str" cm="1">
        <f t="array" ref="K590">_xlfn.IFS(Table3[[#This Row],[Drug_Cost_GBP]] &gt; 1200, "High Cost", Table3[[#This Row],[Drug_Cost_GBP]] &lt; 1200, "Normal")</f>
        <v>High Cost</v>
      </c>
      <c r="L590" s="4" t="str" cm="1">
        <f t="array" ref="L590">IFERROR(_xlfn.IFS(Table3[[#This Row],[Age (Years)]]  &gt; 75, "YES", Table3[[#This Row],[Age (Years)]] &lt; 75, "NO"), "UNKNOWN")</f>
        <v>NO</v>
      </c>
      <c r="M590" s="4" t="str">
        <f>IF(Table3[[#This Row],[Drug_Cost_GBP]] &gt; Analysis_Sheet!$B$21, "Above Average", "Within Average")</f>
        <v>Above Average</v>
      </c>
      <c r="N590" s="39" t="str">
        <f t="shared" si="9"/>
        <v>Unknown</v>
      </c>
    </row>
    <row r="591" spans="1:14" x14ac:dyDescent="0.3">
      <c r="A591" s="1" t="s">
        <v>694</v>
      </c>
      <c r="B591" s="17">
        <v>57</v>
      </c>
      <c r="C591" s="2" t="s">
        <v>38</v>
      </c>
      <c r="D591" s="2" t="s">
        <v>898</v>
      </c>
      <c r="E591" s="2" t="s">
        <v>11</v>
      </c>
      <c r="F591" s="3" t="s">
        <v>900</v>
      </c>
      <c r="G591" s="2">
        <v>14</v>
      </c>
      <c r="H591" s="13">
        <v>232.81</v>
      </c>
      <c r="I591" s="4" t="s">
        <v>21</v>
      </c>
      <c r="J591" s="8" t="str" cm="1">
        <f t="array" ref="J591">_xlfn.IFS(Table3[[#This Row],[Age (Years)]] &lt; 40, "Young", Table3[[#This Row],[Age (Years)]] &gt;= 40, "Middle", Table3[[#This Row],[Age (Years)]] &gt; 60, "Senior")</f>
        <v>Middle</v>
      </c>
      <c r="K591" s="8" t="str" cm="1">
        <f t="array" ref="K591">_xlfn.IFS(Table3[[#This Row],[Drug_Cost_GBP]] &gt; 1200, "High Cost", Table3[[#This Row],[Drug_Cost_GBP]] &lt; 1200, "Normal")</f>
        <v>Normal</v>
      </c>
      <c r="L591" s="8" t="str" cm="1">
        <f t="array" ref="L591">IFERROR(_xlfn.IFS(Table3[[#This Row],[Age (Years)]]  &gt; 75, "YES", Table3[[#This Row],[Age (Years)]] &lt; 75, "NO"), "UNKNOWN")</f>
        <v>NO</v>
      </c>
      <c r="M591" s="8" t="str">
        <f>IF(Table3[[#This Row],[Drug_Cost_GBP]] &gt; Analysis_Sheet!$B$21, "Above Average", "Within Average")</f>
        <v>Within Average</v>
      </c>
      <c r="N591" s="39" t="str">
        <f t="shared" si="9"/>
        <v>Unknown</v>
      </c>
    </row>
    <row r="592" spans="1:14" x14ac:dyDescent="0.3">
      <c r="A592" s="5" t="s">
        <v>695</v>
      </c>
      <c r="B592" s="18">
        <v>57</v>
      </c>
      <c r="C592" s="6" t="s">
        <v>38</v>
      </c>
      <c r="D592" s="6" t="s">
        <v>898</v>
      </c>
      <c r="E592" s="6" t="s">
        <v>23</v>
      </c>
      <c r="F592" s="7">
        <v>45363</v>
      </c>
      <c r="G592" s="6">
        <v>12</v>
      </c>
      <c r="H592" s="14">
        <v>1002.0675517241378</v>
      </c>
      <c r="I592" s="8" t="s">
        <v>21</v>
      </c>
      <c r="J592" s="4" t="str" cm="1">
        <f t="array" ref="J592">_xlfn.IFS(Table3[[#This Row],[Age (Years)]] &lt; 40, "Young", Table3[[#This Row],[Age (Years)]] &gt;= 40, "Middle", Table3[[#This Row],[Age (Years)]] &gt; 60, "Senior")</f>
        <v>Middle</v>
      </c>
      <c r="K592" s="4" t="str" cm="1">
        <f t="array" ref="K592">_xlfn.IFS(Table3[[#This Row],[Drug_Cost_GBP]] &gt; 1200, "High Cost", Table3[[#This Row],[Drug_Cost_GBP]] &lt; 1200, "Normal")</f>
        <v>Normal</v>
      </c>
      <c r="L592" s="4" t="str" cm="1">
        <f t="array" ref="L592">IFERROR(_xlfn.IFS(Table3[[#This Row],[Age (Years)]]  &gt; 75, "YES", Table3[[#This Row],[Age (Years)]] &lt; 75, "NO"), "UNKNOWN")</f>
        <v>NO</v>
      </c>
      <c r="M592" s="4" t="str">
        <f>IF(Table3[[#This Row],[Drug_Cost_GBP]] &gt; Analysis_Sheet!$B$21, "Above Average", "Within Average")</f>
        <v>Within Average</v>
      </c>
      <c r="N592" s="39" t="str">
        <f t="shared" si="9"/>
        <v>March 2024</v>
      </c>
    </row>
    <row r="593" spans="1:14" x14ac:dyDescent="0.3">
      <c r="A593" s="1" t="s">
        <v>696</v>
      </c>
      <c r="B593" s="17">
        <v>57</v>
      </c>
      <c r="C593" s="2" t="s">
        <v>900</v>
      </c>
      <c r="D593" s="2" t="s">
        <v>48</v>
      </c>
      <c r="E593" s="2" t="s">
        <v>11</v>
      </c>
      <c r="F593" s="3">
        <v>45525</v>
      </c>
      <c r="G593" s="2">
        <v>12</v>
      </c>
      <c r="H593" s="13">
        <v>1338.19</v>
      </c>
      <c r="I593" s="4" t="s">
        <v>21</v>
      </c>
      <c r="J593" s="8" t="str" cm="1">
        <f t="array" ref="J593">_xlfn.IFS(Table3[[#This Row],[Age (Years)]] &lt; 40, "Young", Table3[[#This Row],[Age (Years)]] &gt;= 40, "Middle", Table3[[#This Row],[Age (Years)]] &gt; 60, "Senior")</f>
        <v>Middle</v>
      </c>
      <c r="K593" s="8" t="str" cm="1">
        <f t="array" ref="K593">_xlfn.IFS(Table3[[#This Row],[Drug_Cost_GBP]] &gt; 1200, "High Cost", Table3[[#This Row],[Drug_Cost_GBP]] &lt; 1200, "Normal")</f>
        <v>High Cost</v>
      </c>
      <c r="L593" s="8" t="str" cm="1">
        <f t="array" ref="L593">IFERROR(_xlfn.IFS(Table3[[#This Row],[Age (Years)]]  &gt; 75, "YES", Table3[[#This Row],[Age (Years)]] &lt; 75, "NO"), "UNKNOWN")</f>
        <v>NO</v>
      </c>
      <c r="M593" s="8" t="str">
        <f>IF(Table3[[#This Row],[Drug_Cost_GBP]] &gt; Analysis_Sheet!$B$21, "Above Average", "Within Average")</f>
        <v>Above Average</v>
      </c>
      <c r="N593" s="39" t="str">
        <f t="shared" si="9"/>
        <v>August 2024</v>
      </c>
    </row>
    <row r="594" spans="1:14" x14ac:dyDescent="0.3">
      <c r="A594" s="5" t="s">
        <v>697</v>
      </c>
      <c r="B594" s="18">
        <v>57</v>
      </c>
      <c r="C594" s="6" t="s">
        <v>899</v>
      </c>
      <c r="D594" s="6" t="s">
        <v>25</v>
      </c>
      <c r="E594" s="6" t="s">
        <v>43</v>
      </c>
      <c r="F594" s="7">
        <v>45521</v>
      </c>
      <c r="G594" s="6">
        <v>12</v>
      </c>
      <c r="H594" s="14">
        <v>1002.0675517241378</v>
      </c>
      <c r="I594" s="8" t="s">
        <v>900</v>
      </c>
      <c r="J594" s="8" t="str" cm="1">
        <f t="array" ref="J594">_xlfn.IFS(Table3[[#This Row],[Age (Years)]] &lt; 40, "Young", Table3[[#This Row],[Age (Years)]] &gt;= 40, "Middle", Table3[[#This Row],[Age (Years)]] &gt; 60, "Senior")</f>
        <v>Middle</v>
      </c>
      <c r="K594" s="8" t="str" cm="1">
        <f t="array" ref="K594">_xlfn.IFS(Table3[[#This Row],[Drug_Cost_GBP]] &gt; 1200, "High Cost", Table3[[#This Row],[Drug_Cost_GBP]] &lt; 1200, "Normal")</f>
        <v>Normal</v>
      </c>
      <c r="L594" s="8" t="str" cm="1">
        <f t="array" ref="L594">IFERROR(_xlfn.IFS(Table3[[#This Row],[Age (Years)]]  &gt; 75, "YES", Table3[[#This Row],[Age (Years)]] &lt; 75, "NO"), "UNKNOWN")</f>
        <v>NO</v>
      </c>
      <c r="M594" s="8" t="str">
        <f>IF(Table3[[#This Row],[Drug_Cost_GBP]] &gt; Analysis_Sheet!$B$21, "Above Average", "Within Average")</f>
        <v>Within Average</v>
      </c>
      <c r="N594" s="39" t="str">
        <f t="shared" si="9"/>
        <v>August 2024</v>
      </c>
    </row>
    <row r="595" spans="1:14" x14ac:dyDescent="0.3">
      <c r="A595" s="5" t="s">
        <v>699</v>
      </c>
      <c r="B595" s="18">
        <v>57</v>
      </c>
      <c r="C595" s="6" t="s">
        <v>900</v>
      </c>
      <c r="D595" s="6" t="s">
        <v>14</v>
      </c>
      <c r="E595" s="6" t="s">
        <v>23</v>
      </c>
      <c r="F595" s="7">
        <v>45380</v>
      </c>
      <c r="G595" s="6">
        <v>12</v>
      </c>
      <c r="H595" s="14">
        <v>1002.0675517241378</v>
      </c>
      <c r="I595" s="8" t="s">
        <v>21</v>
      </c>
      <c r="J595" s="8" t="str" cm="1">
        <f t="array" ref="J595">_xlfn.IFS(Table3[[#This Row],[Age (Years)]] &lt; 40, "Young", Table3[[#This Row],[Age (Years)]] &gt;= 40, "Middle", Table3[[#This Row],[Age (Years)]] &gt; 60, "Senior")</f>
        <v>Middle</v>
      </c>
      <c r="K595" s="8" t="str" cm="1">
        <f t="array" ref="K595">_xlfn.IFS(Table3[[#This Row],[Drug_Cost_GBP]] &gt; 1200, "High Cost", Table3[[#This Row],[Drug_Cost_GBP]] &lt; 1200, "Normal")</f>
        <v>Normal</v>
      </c>
      <c r="L595" s="8" t="str" cm="1">
        <f t="array" ref="L595">IFERROR(_xlfn.IFS(Table3[[#This Row],[Age (Years)]]  &gt; 75, "YES", Table3[[#This Row],[Age (Years)]] &lt; 75, "NO"), "UNKNOWN")</f>
        <v>NO</v>
      </c>
      <c r="M595" s="8" t="str">
        <f>IF(Table3[[#This Row],[Drug_Cost_GBP]] &gt; Analysis_Sheet!$B$21, "Above Average", "Within Average")</f>
        <v>Within Average</v>
      </c>
      <c r="N595" s="39" t="str">
        <f t="shared" si="9"/>
        <v>March 2024</v>
      </c>
    </row>
    <row r="596" spans="1:14" x14ac:dyDescent="0.3">
      <c r="A596" s="5" t="s">
        <v>701</v>
      </c>
      <c r="B596" s="18">
        <v>57</v>
      </c>
      <c r="C596" s="6" t="s">
        <v>899</v>
      </c>
      <c r="D596" s="6" t="s">
        <v>10</v>
      </c>
      <c r="E596" s="6" t="s">
        <v>43</v>
      </c>
      <c r="F596" s="7">
        <v>45585</v>
      </c>
      <c r="G596" s="6">
        <v>12</v>
      </c>
      <c r="H596" s="14">
        <v>1002.0675517241378</v>
      </c>
      <c r="I596" s="8" t="s">
        <v>21</v>
      </c>
      <c r="J596" s="4" t="str" cm="1">
        <f t="array" ref="J596">_xlfn.IFS(Table3[[#This Row],[Age (Years)]] &lt; 40, "Young", Table3[[#This Row],[Age (Years)]] &gt;= 40, "Middle", Table3[[#This Row],[Age (Years)]] &gt; 60, "Senior")</f>
        <v>Middle</v>
      </c>
      <c r="K596" s="4" t="str" cm="1">
        <f t="array" ref="K596">_xlfn.IFS(Table3[[#This Row],[Drug_Cost_GBP]] &gt; 1200, "High Cost", Table3[[#This Row],[Drug_Cost_GBP]] &lt; 1200, "Normal")</f>
        <v>Normal</v>
      </c>
      <c r="L596" s="4" t="str" cm="1">
        <f t="array" ref="L596">IFERROR(_xlfn.IFS(Table3[[#This Row],[Age (Years)]]  &gt; 75, "YES", Table3[[#This Row],[Age (Years)]] &lt; 75, "NO"), "UNKNOWN")</f>
        <v>NO</v>
      </c>
      <c r="M596" s="4" t="str">
        <f>IF(Table3[[#This Row],[Drug_Cost_GBP]] &gt; Analysis_Sheet!$B$21, "Above Average", "Within Average")</f>
        <v>Within Average</v>
      </c>
      <c r="N596" s="39" t="str">
        <f t="shared" si="9"/>
        <v>October 2024</v>
      </c>
    </row>
    <row r="597" spans="1:14" x14ac:dyDescent="0.3">
      <c r="A597" s="1" t="s">
        <v>702</v>
      </c>
      <c r="B597" s="17">
        <v>57</v>
      </c>
      <c r="C597" s="2" t="s">
        <v>38</v>
      </c>
      <c r="D597" s="2" t="s">
        <v>898</v>
      </c>
      <c r="E597" s="2" t="s">
        <v>29</v>
      </c>
      <c r="F597" s="3" t="s">
        <v>900</v>
      </c>
      <c r="G597" s="2">
        <v>11</v>
      </c>
      <c r="H597" s="13">
        <v>1002.0675517241378</v>
      </c>
      <c r="I597" s="4" t="s">
        <v>16</v>
      </c>
      <c r="J597" s="8" t="str" cm="1">
        <f t="array" ref="J597">_xlfn.IFS(Table3[[#This Row],[Age (Years)]] &lt; 40, "Young", Table3[[#This Row],[Age (Years)]] &gt;= 40, "Middle", Table3[[#This Row],[Age (Years)]] &gt; 60, "Senior")</f>
        <v>Middle</v>
      </c>
      <c r="K597" s="8" t="str" cm="1">
        <f t="array" ref="K597">_xlfn.IFS(Table3[[#This Row],[Drug_Cost_GBP]] &gt; 1200, "High Cost", Table3[[#This Row],[Drug_Cost_GBP]] &lt; 1200, "Normal")</f>
        <v>Normal</v>
      </c>
      <c r="L597" s="8" t="str" cm="1">
        <f t="array" ref="L597">IFERROR(_xlfn.IFS(Table3[[#This Row],[Age (Years)]]  &gt; 75, "YES", Table3[[#This Row],[Age (Years)]] &lt; 75, "NO"), "UNKNOWN")</f>
        <v>NO</v>
      </c>
      <c r="M597" s="8" t="str">
        <f>IF(Table3[[#This Row],[Drug_Cost_GBP]] &gt; Analysis_Sheet!$B$21, "Above Average", "Within Average")</f>
        <v>Within Average</v>
      </c>
      <c r="N597" s="39" t="str">
        <f t="shared" si="9"/>
        <v>Unknown</v>
      </c>
    </row>
    <row r="598" spans="1:14" x14ac:dyDescent="0.3">
      <c r="A598" s="5" t="s">
        <v>703</v>
      </c>
      <c r="B598" s="18">
        <v>57</v>
      </c>
      <c r="C598" s="6" t="s">
        <v>900</v>
      </c>
      <c r="D598" s="6" t="s">
        <v>25</v>
      </c>
      <c r="E598" s="6" t="s">
        <v>43</v>
      </c>
      <c r="F598" s="7">
        <v>45407</v>
      </c>
      <c r="G598" s="6">
        <v>12</v>
      </c>
      <c r="H598" s="14">
        <v>1002.0675517241378</v>
      </c>
      <c r="I598" s="8" t="s">
        <v>900</v>
      </c>
      <c r="J598" s="4" t="str" cm="1">
        <f t="array" ref="J598">_xlfn.IFS(Table3[[#This Row],[Age (Years)]] &lt; 40, "Young", Table3[[#This Row],[Age (Years)]] &gt;= 40, "Middle", Table3[[#This Row],[Age (Years)]] &gt; 60, "Senior")</f>
        <v>Middle</v>
      </c>
      <c r="K598" s="4" t="str" cm="1">
        <f t="array" ref="K598">_xlfn.IFS(Table3[[#This Row],[Drug_Cost_GBP]] &gt; 1200, "High Cost", Table3[[#This Row],[Drug_Cost_GBP]] &lt; 1200, "Normal")</f>
        <v>Normal</v>
      </c>
      <c r="L598" s="4" t="str" cm="1">
        <f t="array" ref="L598">IFERROR(_xlfn.IFS(Table3[[#This Row],[Age (Years)]]  &gt; 75, "YES", Table3[[#This Row],[Age (Years)]] &lt; 75, "NO"), "UNKNOWN")</f>
        <v>NO</v>
      </c>
      <c r="M598" s="4" t="str">
        <f>IF(Table3[[#This Row],[Drug_Cost_GBP]] &gt; Analysis_Sheet!$B$21, "Above Average", "Within Average")</f>
        <v>Within Average</v>
      </c>
      <c r="N598" s="39" t="str">
        <f t="shared" si="9"/>
        <v>April 2024</v>
      </c>
    </row>
    <row r="599" spans="1:14" x14ac:dyDescent="0.3">
      <c r="A599" s="1" t="s">
        <v>704</v>
      </c>
      <c r="B599" s="17">
        <v>57</v>
      </c>
      <c r="C599" s="2" t="s">
        <v>900</v>
      </c>
      <c r="D599" s="2" t="s">
        <v>898</v>
      </c>
      <c r="E599" s="2" t="s">
        <v>34</v>
      </c>
      <c r="F599" s="3">
        <v>45364</v>
      </c>
      <c r="G599" s="2">
        <v>1</v>
      </c>
      <c r="H599" s="13">
        <v>1002.0675517241378</v>
      </c>
      <c r="I599" s="4" t="s">
        <v>26</v>
      </c>
      <c r="J599" s="8" t="str" cm="1">
        <f t="array" ref="J599">_xlfn.IFS(Table3[[#This Row],[Age (Years)]] &lt; 40, "Young", Table3[[#This Row],[Age (Years)]] &gt;= 40, "Middle", Table3[[#This Row],[Age (Years)]] &gt; 60, "Senior")</f>
        <v>Middle</v>
      </c>
      <c r="K599" s="8" t="str" cm="1">
        <f t="array" ref="K599">_xlfn.IFS(Table3[[#This Row],[Drug_Cost_GBP]] &gt; 1200, "High Cost", Table3[[#This Row],[Drug_Cost_GBP]] &lt; 1200, "Normal")</f>
        <v>Normal</v>
      </c>
      <c r="L599" s="8" t="str" cm="1">
        <f t="array" ref="L599">IFERROR(_xlfn.IFS(Table3[[#This Row],[Age (Years)]]  &gt; 75, "YES", Table3[[#This Row],[Age (Years)]] &lt; 75, "NO"), "UNKNOWN")</f>
        <v>NO</v>
      </c>
      <c r="M599" s="8" t="str">
        <f>IF(Table3[[#This Row],[Drug_Cost_GBP]] &gt; Analysis_Sheet!$B$21, "Above Average", "Within Average")</f>
        <v>Within Average</v>
      </c>
      <c r="N599" s="39" t="str">
        <f t="shared" si="9"/>
        <v>March 2024</v>
      </c>
    </row>
    <row r="600" spans="1:14" x14ac:dyDescent="0.3">
      <c r="A600" s="5" t="s">
        <v>705</v>
      </c>
      <c r="B600" s="18">
        <v>57</v>
      </c>
      <c r="C600" s="6" t="s">
        <v>38</v>
      </c>
      <c r="D600" s="6" t="s">
        <v>51</v>
      </c>
      <c r="E600" s="6" t="s">
        <v>11</v>
      </c>
      <c r="F600" s="7">
        <v>45315</v>
      </c>
      <c r="G600" s="6">
        <v>10</v>
      </c>
      <c r="H600" s="14">
        <v>1002.0675517241378</v>
      </c>
      <c r="I600" s="8" t="s">
        <v>900</v>
      </c>
      <c r="J600" s="4" t="str" cm="1">
        <f t="array" ref="J600">_xlfn.IFS(Table3[[#This Row],[Age (Years)]] &lt; 40, "Young", Table3[[#This Row],[Age (Years)]] &gt;= 40, "Middle", Table3[[#This Row],[Age (Years)]] &gt; 60, "Senior")</f>
        <v>Middle</v>
      </c>
      <c r="K600" s="4" t="str" cm="1">
        <f t="array" ref="K600">_xlfn.IFS(Table3[[#This Row],[Drug_Cost_GBP]] &gt; 1200, "High Cost", Table3[[#This Row],[Drug_Cost_GBP]] &lt; 1200, "Normal")</f>
        <v>Normal</v>
      </c>
      <c r="L600" s="4" t="str" cm="1">
        <f t="array" ref="L600">IFERROR(_xlfn.IFS(Table3[[#This Row],[Age (Years)]]  &gt; 75, "YES", Table3[[#This Row],[Age (Years)]] &lt; 75, "NO"), "UNKNOWN")</f>
        <v>NO</v>
      </c>
      <c r="M600" s="4" t="str">
        <f>IF(Table3[[#This Row],[Drug_Cost_GBP]] &gt; Analysis_Sheet!$B$21, "Above Average", "Within Average")</f>
        <v>Within Average</v>
      </c>
      <c r="N600" s="39" t="str">
        <f t="shared" si="9"/>
        <v>January 2024</v>
      </c>
    </row>
    <row r="601" spans="1:14" x14ac:dyDescent="0.3">
      <c r="A601" s="1" t="s">
        <v>708</v>
      </c>
      <c r="B601" s="17">
        <v>57</v>
      </c>
      <c r="C601" s="2" t="s">
        <v>900</v>
      </c>
      <c r="D601" s="2" t="s">
        <v>48</v>
      </c>
      <c r="E601" s="2" t="s">
        <v>23</v>
      </c>
      <c r="F601" s="3">
        <v>45479</v>
      </c>
      <c r="G601" s="2">
        <v>12</v>
      </c>
      <c r="H601" s="13">
        <v>1002.0675517241378</v>
      </c>
      <c r="I601" s="4" t="s">
        <v>26</v>
      </c>
      <c r="J601" s="8" t="str" cm="1">
        <f t="array" ref="J601">_xlfn.IFS(Table3[[#This Row],[Age (Years)]] &lt; 40, "Young", Table3[[#This Row],[Age (Years)]] &gt;= 40, "Middle", Table3[[#This Row],[Age (Years)]] &gt; 60, "Senior")</f>
        <v>Middle</v>
      </c>
      <c r="K601" s="8" t="str" cm="1">
        <f t="array" ref="K601">_xlfn.IFS(Table3[[#This Row],[Drug_Cost_GBP]] &gt; 1200, "High Cost", Table3[[#This Row],[Drug_Cost_GBP]] &lt; 1200, "Normal")</f>
        <v>Normal</v>
      </c>
      <c r="L601" s="8" t="str" cm="1">
        <f t="array" ref="L601">IFERROR(_xlfn.IFS(Table3[[#This Row],[Age (Years)]]  &gt; 75, "YES", Table3[[#This Row],[Age (Years)]] &lt; 75, "NO"), "UNKNOWN")</f>
        <v>NO</v>
      </c>
      <c r="M601" s="8" t="str">
        <f>IF(Table3[[#This Row],[Drug_Cost_GBP]] &gt; Analysis_Sheet!$B$21, "Above Average", "Within Average")</f>
        <v>Within Average</v>
      </c>
      <c r="N601" s="39" t="str">
        <f t="shared" si="9"/>
        <v>July 2024</v>
      </c>
    </row>
    <row r="602" spans="1:14" x14ac:dyDescent="0.3">
      <c r="A602" s="5" t="s">
        <v>711</v>
      </c>
      <c r="B602" s="18">
        <v>57</v>
      </c>
      <c r="C602" s="6" t="s">
        <v>899</v>
      </c>
      <c r="D602" s="6" t="s">
        <v>10</v>
      </c>
      <c r="E602" s="6" t="s">
        <v>23</v>
      </c>
      <c r="F602" s="7" t="s">
        <v>900</v>
      </c>
      <c r="G602" s="6">
        <v>12</v>
      </c>
      <c r="H602" s="14">
        <v>598.19000000000005</v>
      </c>
      <c r="I602" s="8" t="s">
        <v>12</v>
      </c>
      <c r="J602" s="8" t="str" cm="1">
        <f t="array" ref="J602">_xlfn.IFS(Table3[[#This Row],[Age (Years)]] &lt; 40, "Young", Table3[[#This Row],[Age (Years)]] &gt;= 40, "Middle", Table3[[#This Row],[Age (Years)]] &gt; 60, "Senior")</f>
        <v>Middle</v>
      </c>
      <c r="K602" s="8" t="str" cm="1">
        <f t="array" ref="K602">_xlfn.IFS(Table3[[#This Row],[Drug_Cost_GBP]] &gt; 1200, "High Cost", Table3[[#This Row],[Drug_Cost_GBP]] &lt; 1200, "Normal")</f>
        <v>Normal</v>
      </c>
      <c r="L602" s="8" t="str" cm="1">
        <f t="array" ref="L602">IFERROR(_xlfn.IFS(Table3[[#This Row],[Age (Years)]]  &gt; 75, "YES", Table3[[#This Row],[Age (Years)]] &lt; 75, "NO"), "UNKNOWN")</f>
        <v>NO</v>
      </c>
      <c r="M602" s="8" t="str">
        <f>IF(Table3[[#This Row],[Drug_Cost_GBP]] &gt; Analysis_Sheet!$B$21, "Above Average", "Within Average")</f>
        <v>Within Average</v>
      </c>
      <c r="N602" s="39" t="str">
        <f t="shared" si="9"/>
        <v>Unknown</v>
      </c>
    </row>
    <row r="603" spans="1:14" x14ac:dyDescent="0.3">
      <c r="A603" s="5" t="s">
        <v>713</v>
      </c>
      <c r="B603" s="18">
        <v>57</v>
      </c>
      <c r="C603" s="6" t="s">
        <v>899</v>
      </c>
      <c r="D603" s="6" t="s">
        <v>10</v>
      </c>
      <c r="E603" s="6" t="s">
        <v>11</v>
      </c>
      <c r="F603" s="7" t="s">
        <v>900</v>
      </c>
      <c r="G603" s="6">
        <v>12</v>
      </c>
      <c r="H603" s="14">
        <v>1902.3</v>
      </c>
      <c r="I603" s="8" t="s">
        <v>16</v>
      </c>
      <c r="J603" s="8" t="str" cm="1">
        <f t="array" ref="J603">_xlfn.IFS(Table3[[#This Row],[Age (Years)]] &lt; 40, "Young", Table3[[#This Row],[Age (Years)]] &gt;= 40, "Middle", Table3[[#This Row],[Age (Years)]] &gt; 60, "Senior")</f>
        <v>Middle</v>
      </c>
      <c r="K603" s="8" t="str" cm="1">
        <f t="array" ref="K603">_xlfn.IFS(Table3[[#This Row],[Drug_Cost_GBP]] &gt; 1200, "High Cost", Table3[[#This Row],[Drug_Cost_GBP]] &lt; 1200, "Normal")</f>
        <v>High Cost</v>
      </c>
      <c r="L603" s="8" t="str" cm="1">
        <f t="array" ref="L603">IFERROR(_xlfn.IFS(Table3[[#This Row],[Age (Years)]]  &gt; 75, "YES", Table3[[#This Row],[Age (Years)]] &lt; 75, "NO"), "UNKNOWN")</f>
        <v>NO</v>
      </c>
      <c r="M603" s="8" t="str">
        <f>IF(Table3[[#This Row],[Drug_Cost_GBP]] &gt; Analysis_Sheet!$B$21, "Above Average", "Within Average")</f>
        <v>Above Average</v>
      </c>
      <c r="N603" s="39" t="str">
        <f t="shared" si="9"/>
        <v>Unknown</v>
      </c>
    </row>
    <row r="604" spans="1:14" x14ac:dyDescent="0.3">
      <c r="A604" s="5" t="s">
        <v>715</v>
      </c>
      <c r="B604" s="18">
        <v>57</v>
      </c>
      <c r="C604" s="6" t="s">
        <v>38</v>
      </c>
      <c r="D604" s="6" t="s">
        <v>19</v>
      </c>
      <c r="E604" s="6" t="s">
        <v>29</v>
      </c>
      <c r="F604" s="7" t="s">
        <v>900</v>
      </c>
      <c r="G604" s="6">
        <v>12</v>
      </c>
      <c r="H604" s="14">
        <v>1002.0675517241378</v>
      </c>
      <c r="I604" s="8" t="s">
        <v>26</v>
      </c>
      <c r="J604" s="4" t="str" cm="1">
        <f t="array" ref="J604">_xlfn.IFS(Table3[[#This Row],[Age (Years)]] &lt; 40, "Young", Table3[[#This Row],[Age (Years)]] &gt;= 40, "Middle", Table3[[#This Row],[Age (Years)]] &gt; 60, "Senior")</f>
        <v>Middle</v>
      </c>
      <c r="K604" s="4" t="str" cm="1">
        <f t="array" ref="K604">_xlfn.IFS(Table3[[#This Row],[Drug_Cost_GBP]] &gt; 1200, "High Cost", Table3[[#This Row],[Drug_Cost_GBP]] &lt; 1200, "Normal")</f>
        <v>Normal</v>
      </c>
      <c r="L604" s="4" t="str" cm="1">
        <f t="array" ref="L604">IFERROR(_xlfn.IFS(Table3[[#This Row],[Age (Years)]]  &gt; 75, "YES", Table3[[#This Row],[Age (Years)]] &lt; 75, "NO"), "UNKNOWN")</f>
        <v>NO</v>
      </c>
      <c r="M604" s="4" t="str">
        <f>IF(Table3[[#This Row],[Drug_Cost_GBP]] &gt; Analysis_Sheet!$B$21, "Above Average", "Within Average")</f>
        <v>Within Average</v>
      </c>
      <c r="N604" s="39" t="str">
        <f t="shared" si="9"/>
        <v>Unknown</v>
      </c>
    </row>
    <row r="605" spans="1:14" x14ac:dyDescent="0.3">
      <c r="A605" s="1" t="s">
        <v>716</v>
      </c>
      <c r="B605" s="17">
        <v>57</v>
      </c>
      <c r="C605" s="2" t="s">
        <v>38</v>
      </c>
      <c r="D605" s="2" t="s">
        <v>900</v>
      </c>
      <c r="E605" s="2" t="s">
        <v>11</v>
      </c>
      <c r="F605" s="3">
        <v>45446</v>
      </c>
      <c r="G605" s="2">
        <v>7</v>
      </c>
      <c r="H605" s="13">
        <v>514.61</v>
      </c>
      <c r="I605" s="4" t="s">
        <v>900</v>
      </c>
      <c r="J605" s="8" t="str" cm="1">
        <f t="array" ref="J605">_xlfn.IFS(Table3[[#This Row],[Age (Years)]] &lt; 40, "Young", Table3[[#This Row],[Age (Years)]] &gt;= 40, "Middle", Table3[[#This Row],[Age (Years)]] &gt; 60, "Senior")</f>
        <v>Middle</v>
      </c>
      <c r="K605" s="8" t="str" cm="1">
        <f t="array" ref="K605">_xlfn.IFS(Table3[[#This Row],[Drug_Cost_GBP]] &gt; 1200, "High Cost", Table3[[#This Row],[Drug_Cost_GBP]] &lt; 1200, "Normal")</f>
        <v>Normal</v>
      </c>
      <c r="L605" s="8" t="str" cm="1">
        <f t="array" ref="L605">IFERROR(_xlfn.IFS(Table3[[#This Row],[Age (Years)]]  &gt; 75, "YES", Table3[[#This Row],[Age (Years)]] &lt; 75, "NO"), "UNKNOWN")</f>
        <v>NO</v>
      </c>
      <c r="M605" s="8" t="str">
        <f>IF(Table3[[#This Row],[Drug_Cost_GBP]] &gt; Analysis_Sheet!$B$21, "Above Average", "Within Average")</f>
        <v>Within Average</v>
      </c>
      <c r="N605" s="39" t="str">
        <f t="shared" si="9"/>
        <v>June 2024</v>
      </c>
    </row>
    <row r="606" spans="1:14" x14ac:dyDescent="0.3">
      <c r="A606" s="5" t="s">
        <v>717</v>
      </c>
      <c r="B606" s="18">
        <v>57</v>
      </c>
      <c r="C606" s="6" t="s">
        <v>38</v>
      </c>
      <c r="D606" s="6" t="s">
        <v>900</v>
      </c>
      <c r="E606" s="6" t="s">
        <v>43</v>
      </c>
      <c r="F606" s="7" t="s">
        <v>900</v>
      </c>
      <c r="G606" s="6">
        <v>5</v>
      </c>
      <c r="H606" s="14">
        <v>1002.0675517241378</v>
      </c>
      <c r="I606" s="8" t="s">
        <v>900</v>
      </c>
      <c r="J606" s="4" t="str" cm="1">
        <f t="array" ref="J606">_xlfn.IFS(Table3[[#This Row],[Age (Years)]] &lt; 40, "Young", Table3[[#This Row],[Age (Years)]] &gt;= 40, "Middle", Table3[[#This Row],[Age (Years)]] &gt; 60, "Senior")</f>
        <v>Middle</v>
      </c>
      <c r="K606" s="4" t="str" cm="1">
        <f t="array" ref="K606">_xlfn.IFS(Table3[[#This Row],[Drug_Cost_GBP]] &gt; 1200, "High Cost", Table3[[#This Row],[Drug_Cost_GBP]] &lt; 1200, "Normal")</f>
        <v>Normal</v>
      </c>
      <c r="L606" s="4" t="str" cm="1">
        <f t="array" ref="L606">IFERROR(_xlfn.IFS(Table3[[#This Row],[Age (Years)]]  &gt; 75, "YES", Table3[[#This Row],[Age (Years)]] &lt; 75, "NO"), "UNKNOWN")</f>
        <v>NO</v>
      </c>
      <c r="M606" s="4" t="str">
        <f>IF(Table3[[#This Row],[Drug_Cost_GBP]] &gt; Analysis_Sheet!$B$21, "Above Average", "Within Average")</f>
        <v>Within Average</v>
      </c>
      <c r="N606" s="39" t="str">
        <f t="shared" si="9"/>
        <v>Unknown</v>
      </c>
    </row>
    <row r="607" spans="1:14" x14ac:dyDescent="0.3">
      <c r="A607" s="1" t="s">
        <v>718</v>
      </c>
      <c r="B607" s="17">
        <v>57</v>
      </c>
      <c r="C607" s="2" t="s">
        <v>38</v>
      </c>
      <c r="D607" s="2" t="s">
        <v>10</v>
      </c>
      <c r="E607" s="2" t="s">
        <v>34</v>
      </c>
      <c r="F607" s="3">
        <v>45389</v>
      </c>
      <c r="G607" s="2">
        <v>12</v>
      </c>
      <c r="H607" s="13">
        <v>1002.0675517241378</v>
      </c>
      <c r="I607" s="4" t="s">
        <v>21</v>
      </c>
      <c r="J607" s="8" t="str" cm="1">
        <f t="array" ref="J607">_xlfn.IFS(Table3[[#This Row],[Age (Years)]] &lt; 40, "Young", Table3[[#This Row],[Age (Years)]] &gt;= 40, "Middle", Table3[[#This Row],[Age (Years)]] &gt; 60, "Senior")</f>
        <v>Middle</v>
      </c>
      <c r="K607" s="8" t="str" cm="1">
        <f t="array" ref="K607">_xlfn.IFS(Table3[[#This Row],[Drug_Cost_GBP]] &gt; 1200, "High Cost", Table3[[#This Row],[Drug_Cost_GBP]] &lt; 1200, "Normal")</f>
        <v>Normal</v>
      </c>
      <c r="L607" s="8" t="str" cm="1">
        <f t="array" ref="L607">IFERROR(_xlfn.IFS(Table3[[#This Row],[Age (Years)]]  &gt; 75, "YES", Table3[[#This Row],[Age (Years)]] &lt; 75, "NO"), "UNKNOWN")</f>
        <v>NO</v>
      </c>
      <c r="M607" s="8" t="str">
        <f>IF(Table3[[#This Row],[Drug_Cost_GBP]] &gt; Analysis_Sheet!$B$21, "Above Average", "Within Average")</f>
        <v>Within Average</v>
      </c>
      <c r="N607" s="39" t="str">
        <f t="shared" si="9"/>
        <v>April 2024</v>
      </c>
    </row>
    <row r="608" spans="1:14" x14ac:dyDescent="0.3">
      <c r="A608" s="5" t="s">
        <v>719</v>
      </c>
      <c r="B608" s="18">
        <v>57</v>
      </c>
      <c r="C608" s="6" t="s">
        <v>38</v>
      </c>
      <c r="D608" s="6" t="s">
        <v>19</v>
      </c>
      <c r="E608" s="6" t="s">
        <v>23</v>
      </c>
      <c r="F608" s="7">
        <v>45557</v>
      </c>
      <c r="G608" s="6">
        <v>12</v>
      </c>
      <c r="H608" s="14">
        <v>1002.0675517241378</v>
      </c>
      <c r="I608" s="8" t="s">
        <v>16</v>
      </c>
      <c r="J608" s="4" t="str" cm="1">
        <f t="array" ref="J608">_xlfn.IFS(Table3[[#This Row],[Age (Years)]] &lt; 40, "Young", Table3[[#This Row],[Age (Years)]] &gt;= 40, "Middle", Table3[[#This Row],[Age (Years)]] &gt; 60, "Senior")</f>
        <v>Middle</v>
      </c>
      <c r="K608" s="4" t="str" cm="1">
        <f t="array" ref="K608">_xlfn.IFS(Table3[[#This Row],[Drug_Cost_GBP]] &gt; 1200, "High Cost", Table3[[#This Row],[Drug_Cost_GBP]] &lt; 1200, "Normal")</f>
        <v>Normal</v>
      </c>
      <c r="L608" s="4" t="str" cm="1">
        <f t="array" ref="L608">IFERROR(_xlfn.IFS(Table3[[#This Row],[Age (Years)]]  &gt; 75, "YES", Table3[[#This Row],[Age (Years)]] &lt; 75, "NO"), "UNKNOWN")</f>
        <v>NO</v>
      </c>
      <c r="M608" s="4" t="str">
        <f>IF(Table3[[#This Row],[Drug_Cost_GBP]] &gt; Analysis_Sheet!$B$21, "Above Average", "Within Average")</f>
        <v>Within Average</v>
      </c>
      <c r="N608" s="39" t="str">
        <f t="shared" si="9"/>
        <v>September 2024</v>
      </c>
    </row>
    <row r="609" spans="1:14" x14ac:dyDescent="0.3">
      <c r="A609" s="1" t="s">
        <v>722</v>
      </c>
      <c r="B609" s="17">
        <v>57</v>
      </c>
      <c r="C609" s="2" t="s">
        <v>900</v>
      </c>
      <c r="D609" s="2" t="s">
        <v>14</v>
      </c>
      <c r="E609" s="2" t="s">
        <v>43</v>
      </c>
      <c r="F609" s="3">
        <v>45502</v>
      </c>
      <c r="G609" s="2">
        <v>12</v>
      </c>
      <c r="H609" s="13">
        <v>1002.0675517241378</v>
      </c>
      <c r="I609" s="4" t="s">
        <v>26</v>
      </c>
      <c r="J609" s="8" t="str" cm="1">
        <f t="array" ref="J609">_xlfn.IFS(Table3[[#This Row],[Age (Years)]] &lt; 40, "Young", Table3[[#This Row],[Age (Years)]] &gt;= 40, "Middle", Table3[[#This Row],[Age (Years)]] &gt; 60, "Senior")</f>
        <v>Middle</v>
      </c>
      <c r="K609" s="8" t="str" cm="1">
        <f t="array" ref="K609">_xlfn.IFS(Table3[[#This Row],[Drug_Cost_GBP]] &gt; 1200, "High Cost", Table3[[#This Row],[Drug_Cost_GBP]] &lt; 1200, "Normal")</f>
        <v>Normal</v>
      </c>
      <c r="L609" s="8" t="str" cm="1">
        <f t="array" ref="L609">IFERROR(_xlfn.IFS(Table3[[#This Row],[Age (Years)]]  &gt; 75, "YES", Table3[[#This Row],[Age (Years)]] &lt; 75, "NO"), "UNKNOWN")</f>
        <v>NO</v>
      </c>
      <c r="M609" s="8" t="str">
        <f>IF(Table3[[#This Row],[Drug_Cost_GBP]] &gt; Analysis_Sheet!$B$21, "Above Average", "Within Average")</f>
        <v>Within Average</v>
      </c>
      <c r="N609" s="39" t="str">
        <f t="shared" si="9"/>
        <v>July 2024</v>
      </c>
    </row>
    <row r="610" spans="1:14" x14ac:dyDescent="0.3">
      <c r="A610" s="5" t="s">
        <v>723</v>
      </c>
      <c r="B610" s="18">
        <v>57</v>
      </c>
      <c r="C610" s="6" t="s">
        <v>900</v>
      </c>
      <c r="D610" s="6" t="s">
        <v>25</v>
      </c>
      <c r="E610" s="6" t="s">
        <v>43</v>
      </c>
      <c r="F610" s="7">
        <v>45369</v>
      </c>
      <c r="G610" s="6">
        <v>17</v>
      </c>
      <c r="H610" s="14">
        <v>1002.0675517241378</v>
      </c>
      <c r="I610" s="8" t="s">
        <v>16</v>
      </c>
      <c r="J610" s="8" t="str" cm="1">
        <f t="array" ref="J610">_xlfn.IFS(Table3[[#This Row],[Age (Years)]] &lt; 40, "Young", Table3[[#This Row],[Age (Years)]] &gt;= 40, "Middle", Table3[[#This Row],[Age (Years)]] &gt; 60, "Senior")</f>
        <v>Middle</v>
      </c>
      <c r="K610" s="8" t="str" cm="1">
        <f t="array" ref="K610">_xlfn.IFS(Table3[[#This Row],[Drug_Cost_GBP]] &gt; 1200, "High Cost", Table3[[#This Row],[Drug_Cost_GBP]] &lt; 1200, "Normal")</f>
        <v>Normal</v>
      </c>
      <c r="L610" s="8" t="str" cm="1">
        <f t="array" ref="L610">IFERROR(_xlfn.IFS(Table3[[#This Row],[Age (Years)]]  &gt; 75, "YES", Table3[[#This Row],[Age (Years)]] &lt; 75, "NO"), "UNKNOWN")</f>
        <v>NO</v>
      </c>
      <c r="M610" s="8" t="str">
        <f>IF(Table3[[#This Row],[Drug_Cost_GBP]] &gt; Analysis_Sheet!$B$21, "Above Average", "Within Average")</f>
        <v>Within Average</v>
      </c>
      <c r="N610" s="39" t="str">
        <f t="shared" si="9"/>
        <v>March 2024</v>
      </c>
    </row>
    <row r="611" spans="1:14" x14ac:dyDescent="0.3">
      <c r="A611" s="5" t="s">
        <v>725</v>
      </c>
      <c r="B611" s="18">
        <v>57</v>
      </c>
      <c r="C611" s="6" t="s">
        <v>38</v>
      </c>
      <c r="D611" s="6" t="s">
        <v>14</v>
      </c>
      <c r="E611" s="6" t="s">
        <v>43</v>
      </c>
      <c r="F611" s="7">
        <v>45443</v>
      </c>
      <c r="G611" s="6">
        <v>12</v>
      </c>
      <c r="H611" s="14">
        <v>1002.0675517241378</v>
      </c>
      <c r="I611" s="8" t="s">
        <v>26</v>
      </c>
      <c r="J611" s="4" t="str" cm="1">
        <f t="array" ref="J611">_xlfn.IFS(Table3[[#This Row],[Age (Years)]] &lt; 40, "Young", Table3[[#This Row],[Age (Years)]] &gt;= 40, "Middle", Table3[[#This Row],[Age (Years)]] &gt; 60, "Senior")</f>
        <v>Middle</v>
      </c>
      <c r="K611" s="4" t="str" cm="1">
        <f t="array" ref="K611">_xlfn.IFS(Table3[[#This Row],[Drug_Cost_GBP]] &gt; 1200, "High Cost", Table3[[#This Row],[Drug_Cost_GBP]] &lt; 1200, "Normal")</f>
        <v>Normal</v>
      </c>
      <c r="L611" s="4" t="str" cm="1">
        <f t="array" ref="L611">IFERROR(_xlfn.IFS(Table3[[#This Row],[Age (Years)]]  &gt; 75, "YES", Table3[[#This Row],[Age (Years)]] &lt; 75, "NO"), "UNKNOWN")</f>
        <v>NO</v>
      </c>
      <c r="M611" s="4" t="str">
        <f>IF(Table3[[#This Row],[Drug_Cost_GBP]] &gt; Analysis_Sheet!$B$21, "Above Average", "Within Average")</f>
        <v>Within Average</v>
      </c>
      <c r="N611" s="39" t="str">
        <f t="shared" si="9"/>
        <v>May 2024</v>
      </c>
    </row>
    <row r="612" spans="1:14" x14ac:dyDescent="0.3">
      <c r="A612" s="1" t="s">
        <v>726</v>
      </c>
      <c r="B612" s="17">
        <v>57</v>
      </c>
      <c r="C612" s="2" t="s">
        <v>899</v>
      </c>
      <c r="D612" s="2" t="s">
        <v>48</v>
      </c>
      <c r="E612" s="2" t="s">
        <v>43</v>
      </c>
      <c r="F612" s="3">
        <v>45563</v>
      </c>
      <c r="G612" s="2">
        <v>12</v>
      </c>
      <c r="H612" s="13">
        <v>1002.0675517241378</v>
      </c>
      <c r="I612" s="4" t="s">
        <v>12</v>
      </c>
      <c r="J612" s="8" t="str" cm="1">
        <f t="array" ref="J612">_xlfn.IFS(Table3[[#This Row],[Age (Years)]] &lt; 40, "Young", Table3[[#This Row],[Age (Years)]] &gt;= 40, "Middle", Table3[[#This Row],[Age (Years)]] &gt; 60, "Senior")</f>
        <v>Middle</v>
      </c>
      <c r="K612" s="8" t="str" cm="1">
        <f t="array" ref="K612">_xlfn.IFS(Table3[[#This Row],[Drug_Cost_GBP]] &gt; 1200, "High Cost", Table3[[#This Row],[Drug_Cost_GBP]] &lt; 1200, "Normal")</f>
        <v>Normal</v>
      </c>
      <c r="L612" s="8" t="str" cm="1">
        <f t="array" ref="L612">IFERROR(_xlfn.IFS(Table3[[#This Row],[Age (Years)]]  &gt; 75, "YES", Table3[[#This Row],[Age (Years)]] &lt; 75, "NO"), "UNKNOWN")</f>
        <v>NO</v>
      </c>
      <c r="M612" s="8" t="str">
        <f>IF(Table3[[#This Row],[Drug_Cost_GBP]] &gt; Analysis_Sheet!$B$21, "Above Average", "Within Average")</f>
        <v>Within Average</v>
      </c>
      <c r="N612" s="39" t="str">
        <f t="shared" si="9"/>
        <v>September 2024</v>
      </c>
    </row>
    <row r="613" spans="1:14" x14ac:dyDescent="0.3">
      <c r="A613" s="5" t="s">
        <v>727</v>
      </c>
      <c r="B613" s="18">
        <v>57</v>
      </c>
      <c r="C613" s="6" t="s">
        <v>38</v>
      </c>
      <c r="D613" s="6" t="s">
        <v>19</v>
      </c>
      <c r="E613" s="6" t="s">
        <v>34</v>
      </c>
      <c r="F613" s="7" t="s">
        <v>900</v>
      </c>
      <c r="G613" s="6">
        <v>13</v>
      </c>
      <c r="H613" s="14">
        <v>1002.0675517241378</v>
      </c>
      <c r="I613" s="8" t="s">
        <v>900</v>
      </c>
      <c r="J613" s="4" t="str" cm="1">
        <f t="array" ref="J613">_xlfn.IFS(Table3[[#This Row],[Age (Years)]] &lt; 40, "Young", Table3[[#This Row],[Age (Years)]] &gt;= 40, "Middle", Table3[[#This Row],[Age (Years)]] &gt; 60, "Senior")</f>
        <v>Middle</v>
      </c>
      <c r="K613" s="4" t="str" cm="1">
        <f t="array" ref="K613">_xlfn.IFS(Table3[[#This Row],[Drug_Cost_GBP]] &gt; 1200, "High Cost", Table3[[#This Row],[Drug_Cost_GBP]] &lt; 1200, "Normal")</f>
        <v>Normal</v>
      </c>
      <c r="L613" s="4" t="str" cm="1">
        <f t="array" ref="L613">IFERROR(_xlfn.IFS(Table3[[#This Row],[Age (Years)]]  &gt; 75, "YES", Table3[[#This Row],[Age (Years)]] &lt; 75, "NO"), "UNKNOWN")</f>
        <v>NO</v>
      </c>
      <c r="M613" s="4" t="str">
        <f>IF(Table3[[#This Row],[Drug_Cost_GBP]] &gt; Analysis_Sheet!$B$21, "Above Average", "Within Average")</f>
        <v>Within Average</v>
      </c>
      <c r="N613" s="39" t="str">
        <f t="shared" si="9"/>
        <v>Unknown</v>
      </c>
    </row>
    <row r="614" spans="1:14" x14ac:dyDescent="0.3">
      <c r="A614" s="1" t="s">
        <v>728</v>
      </c>
      <c r="B614" s="17">
        <v>57</v>
      </c>
      <c r="C614" s="2" t="s">
        <v>899</v>
      </c>
      <c r="D614" s="2" t="s">
        <v>898</v>
      </c>
      <c r="E614" s="2" t="s">
        <v>23</v>
      </c>
      <c r="F614" s="3">
        <v>45300</v>
      </c>
      <c r="G614" s="2">
        <v>20</v>
      </c>
      <c r="H614" s="13">
        <v>1002.0675517241378</v>
      </c>
      <c r="I614" s="4" t="s">
        <v>21</v>
      </c>
      <c r="J614" s="8" t="str" cm="1">
        <f t="array" ref="J614">_xlfn.IFS(Table3[[#This Row],[Age (Years)]] &lt; 40, "Young", Table3[[#This Row],[Age (Years)]] &gt;= 40, "Middle", Table3[[#This Row],[Age (Years)]] &gt; 60, "Senior")</f>
        <v>Middle</v>
      </c>
      <c r="K614" s="8" t="str" cm="1">
        <f t="array" ref="K614">_xlfn.IFS(Table3[[#This Row],[Drug_Cost_GBP]] &gt; 1200, "High Cost", Table3[[#This Row],[Drug_Cost_GBP]] &lt; 1200, "Normal")</f>
        <v>Normal</v>
      </c>
      <c r="L614" s="8" t="str" cm="1">
        <f t="array" ref="L614">IFERROR(_xlfn.IFS(Table3[[#This Row],[Age (Years)]]  &gt; 75, "YES", Table3[[#This Row],[Age (Years)]] &lt; 75, "NO"), "UNKNOWN")</f>
        <v>NO</v>
      </c>
      <c r="M614" s="8" t="str">
        <f>IF(Table3[[#This Row],[Drug_Cost_GBP]] &gt; Analysis_Sheet!$B$21, "Above Average", "Within Average")</f>
        <v>Within Average</v>
      </c>
      <c r="N614" s="39" t="str">
        <f t="shared" si="9"/>
        <v>January 2024</v>
      </c>
    </row>
    <row r="615" spans="1:14" x14ac:dyDescent="0.3">
      <c r="A615" s="5" t="s">
        <v>729</v>
      </c>
      <c r="B615" s="18">
        <v>57</v>
      </c>
      <c r="C615" s="6" t="s">
        <v>899</v>
      </c>
      <c r="D615" s="6" t="s">
        <v>19</v>
      </c>
      <c r="E615" s="6" t="s">
        <v>29</v>
      </c>
      <c r="F615" s="7">
        <v>45332</v>
      </c>
      <c r="G615" s="6">
        <v>12</v>
      </c>
      <c r="H615" s="14">
        <v>127.37</v>
      </c>
      <c r="I615" s="8" t="s">
        <v>21</v>
      </c>
      <c r="J615" s="8" t="str" cm="1">
        <f t="array" ref="J615">_xlfn.IFS(Table3[[#This Row],[Age (Years)]] &lt; 40, "Young", Table3[[#This Row],[Age (Years)]] &gt;= 40, "Middle", Table3[[#This Row],[Age (Years)]] &gt; 60, "Senior")</f>
        <v>Middle</v>
      </c>
      <c r="K615" s="8" t="str" cm="1">
        <f t="array" ref="K615">_xlfn.IFS(Table3[[#This Row],[Drug_Cost_GBP]] &gt; 1200, "High Cost", Table3[[#This Row],[Drug_Cost_GBP]] &lt; 1200, "Normal")</f>
        <v>Normal</v>
      </c>
      <c r="L615" s="8" t="str" cm="1">
        <f t="array" ref="L615">IFERROR(_xlfn.IFS(Table3[[#This Row],[Age (Years)]]  &gt; 75, "YES", Table3[[#This Row],[Age (Years)]] &lt; 75, "NO"), "UNKNOWN")</f>
        <v>NO</v>
      </c>
      <c r="M615" s="8" t="str">
        <f>IF(Table3[[#This Row],[Drug_Cost_GBP]] &gt; Analysis_Sheet!$B$21, "Above Average", "Within Average")</f>
        <v>Within Average</v>
      </c>
      <c r="N615" s="39" t="str">
        <f t="shared" si="9"/>
        <v>February 2024</v>
      </c>
    </row>
    <row r="616" spans="1:14" x14ac:dyDescent="0.3">
      <c r="A616" s="5" t="s">
        <v>731</v>
      </c>
      <c r="B616" s="18">
        <v>57</v>
      </c>
      <c r="C616" s="6" t="s">
        <v>38</v>
      </c>
      <c r="D616" s="6" t="s">
        <v>10</v>
      </c>
      <c r="E616" s="6" t="s">
        <v>23</v>
      </c>
      <c r="F616" s="7" t="s">
        <v>900</v>
      </c>
      <c r="G616" s="6">
        <v>20</v>
      </c>
      <c r="H616" s="14">
        <v>1002.0675517241378</v>
      </c>
      <c r="I616" s="8" t="s">
        <v>16</v>
      </c>
      <c r="J616" s="4" t="str" cm="1">
        <f t="array" ref="J616">_xlfn.IFS(Table3[[#This Row],[Age (Years)]] &lt; 40, "Young", Table3[[#This Row],[Age (Years)]] &gt;= 40, "Middle", Table3[[#This Row],[Age (Years)]] &gt; 60, "Senior")</f>
        <v>Middle</v>
      </c>
      <c r="K616" s="4" t="str" cm="1">
        <f t="array" ref="K616">_xlfn.IFS(Table3[[#This Row],[Drug_Cost_GBP]] &gt; 1200, "High Cost", Table3[[#This Row],[Drug_Cost_GBP]] &lt; 1200, "Normal")</f>
        <v>Normal</v>
      </c>
      <c r="L616" s="4" t="str" cm="1">
        <f t="array" ref="L616">IFERROR(_xlfn.IFS(Table3[[#This Row],[Age (Years)]]  &gt; 75, "YES", Table3[[#This Row],[Age (Years)]] &lt; 75, "NO"), "UNKNOWN")</f>
        <v>NO</v>
      </c>
      <c r="M616" s="4" t="str">
        <f>IF(Table3[[#This Row],[Drug_Cost_GBP]] &gt; Analysis_Sheet!$B$21, "Above Average", "Within Average")</f>
        <v>Within Average</v>
      </c>
      <c r="N616" s="39" t="str">
        <f t="shared" si="9"/>
        <v>Unknown</v>
      </c>
    </row>
    <row r="617" spans="1:14" x14ac:dyDescent="0.3">
      <c r="A617" s="1" t="s">
        <v>732</v>
      </c>
      <c r="B617" s="17">
        <v>57</v>
      </c>
      <c r="C617" s="2" t="s">
        <v>900</v>
      </c>
      <c r="D617" s="2" t="s">
        <v>10</v>
      </c>
      <c r="E617" s="2" t="s">
        <v>43</v>
      </c>
      <c r="F617" s="3">
        <v>45402</v>
      </c>
      <c r="G617" s="2">
        <v>12</v>
      </c>
      <c r="H617" s="13">
        <v>1002.0675517241378</v>
      </c>
      <c r="I617" s="4" t="s">
        <v>16</v>
      </c>
      <c r="J617" s="4" t="str" cm="1">
        <f t="array" ref="J617">_xlfn.IFS(Table3[[#This Row],[Age (Years)]] &lt; 40, "Young", Table3[[#This Row],[Age (Years)]] &gt;= 40, "Middle", Table3[[#This Row],[Age (Years)]] &gt; 60, "Senior")</f>
        <v>Middle</v>
      </c>
      <c r="K617" s="4" t="str" cm="1">
        <f t="array" ref="K617">_xlfn.IFS(Table3[[#This Row],[Drug_Cost_GBP]] &gt; 1200, "High Cost", Table3[[#This Row],[Drug_Cost_GBP]] &lt; 1200, "Normal")</f>
        <v>Normal</v>
      </c>
      <c r="L617" s="4" t="str" cm="1">
        <f t="array" ref="L617">IFERROR(_xlfn.IFS(Table3[[#This Row],[Age (Years)]]  &gt; 75, "YES", Table3[[#This Row],[Age (Years)]] &lt; 75, "NO"), "UNKNOWN")</f>
        <v>NO</v>
      </c>
      <c r="M617" s="4" t="str">
        <f>IF(Table3[[#This Row],[Drug_Cost_GBP]] &gt; Analysis_Sheet!$B$21, "Above Average", "Within Average")</f>
        <v>Within Average</v>
      </c>
      <c r="N617" s="39" t="str">
        <f t="shared" si="9"/>
        <v>April 2024</v>
      </c>
    </row>
    <row r="618" spans="1:14" x14ac:dyDescent="0.3">
      <c r="A618" s="1" t="s">
        <v>734</v>
      </c>
      <c r="B618" s="17">
        <v>57</v>
      </c>
      <c r="C618" s="2" t="s">
        <v>900</v>
      </c>
      <c r="D618" s="2" t="s">
        <v>14</v>
      </c>
      <c r="E618" s="2" t="s">
        <v>11</v>
      </c>
      <c r="F618" s="3">
        <v>45443</v>
      </c>
      <c r="G618" s="2">
        <v>2</v>
      </c>
      <c r="H618" s="13">
        <v>755.07</v>
      </c>
      <c r="I618" s="4" t="s">
        <v>26</v>
      </c>
      <c r="J618" s="8" t="str" cm="1">
        <f t="array" ref="J618">_xlfn.IFS(Table3[[#This Row],[Age (Years)]] &lt; 40, "Young", Table3[[#This Row],[Age (Years)]] &gt;= 40, "Middle", Table3[[#This Row],[Age (Years)]] &gt; 60, "Senior")</f>
        <v>Middle</v>
      </c>
      <c r="K618" s="8" t="str" cm="1">
        <f t="array" ref="K618">_xlfn.IFS(Table3[[#This Row],[Drug_Cost_GBP]] &gt; 1200, "High Cost", Table3[[#This Row],[Drug_Cost_GBP]] &lt; 1200, "Normal")</f>
        <v>Normal</v>
      </c>
      <c r="L618" s="8" t="str" cm="1">
        <f t="array" ref="L618">IFERROR(_xlfn.IFS(Table3[[#This Row],[Age (Years)]]  &gt; 75, "YES", Table3[[#This Row],[Age (Years)]] &lt; 75, "NO"), "UNKNOWN")</f>
        <v>NO</v>
      </c>
      <c r="M618" s="8" t="str">
        <f>IF(Table3[[#This Row],[Drug_Cost_GBP]] &gt; Analysis_Sheet!$B$21, "Above Average", "Within Average")</f>
        <v>Within Average</v>
      </c>
      <c r="N618" s="39" t="str">
        <f t="shared" si="9"/>
        <v>May 2024</v>
      </c>
    </row>
    <row r="619" spans="1:14" x14ac:dyDescent="0.3">
      <c r="A619" s="5" t="s">
        <v>735</v>
      </c>
      <c r="B619" s="18">
        <v>57</v>
      </c>
      <c r="C619" s="6" t="s">
        <v>900</v>
      </c>
      <c r="D619" s="6" t="s">
        <v>51</v>
      </c>
      <c r="E619" s="6" t="s">
        <v>57</v>
      </c>
      <c r="F619" s="7">
        <v>45322</v>
      </c>
      <c r="G619" s="6">
        <v>12</v>
      </c>
      <c r="H619" s="14">
        <v>1002.0675517241378</v>
      </c>
      <c r="I619" s="8" t="s">
        <v>12</v>
      </c>
      <c r="J619" s="4" t="str" cm="1">
        <f t="array" ref="J619">_xlfn.IFS(Table3[[#This Row],[Age (Years)]] &lt; 40, "Young", Table3[[#This Row],[Age (Years)]] &gt;= 40, "Middle", Table3[[#This Row],[Age (Years)]] &gt; 60, "Senior")</f>
        <v>Middle</v>
      </c>
      <c r="K619" s="4" t="str" cm="1">
        <f t="array" ref="K619">_xlfn.IFS(Table3[[#This Row],[Drug_Cost_GBP]] &gt; 1200, "High Cost", Table3[[#This Row],[Drug_Cost_GBP]] &lt; 1200, "Normal")</f>
        <v>Normal</v>
      </c>
      <c r="L619" s="4" t="str" cm="1">
        <f t="array" ref="L619">IFERROR(_xlfn.IFS(Table3[[#This Row],[Age (Years)]]  &gt; 75, "YES", Table3[[#This Row],[Age (Years)]] &lt; 75, "NO"), "UNKNOWN")</f>
        <v>NO</v>
      </c>
      <c r="M619" s="4" t="str">
        <f>IF(Table3[[#This Row],[Drug_Cost_GBP]] &gt; Analysis_Sheet!$B$21, "Above Average", "Within Average")</f>
        <v>Within Average</v>
      </c>
      <c r="N619" s="39" t="str">
        <f t="shared" si="9"/>
        <v>January 2024</v>
      </c>
    </row>
    <row r="620" spans="1:14" x14ac:dyDescent="0.3">
      <c r="A620" s="1" t="s">
        <v>736</v>
      </c>
      <c r="B620" s="17">
        <v>57</v>
      </c>
      <c r="C620" s="2" t="s">
        <v>900</v>
      </c>
      <c r="D620" s="2" t="s">
        <v>898</v>
      </c>
      <c r="E620" s="2" t="s">
        <v>23</v>
      </c>
      <c r="F620" s="3">
        <v>45352</v>
      </c>
      <c r="G620" s="2">
        <v>12</v>
      </c>
      <c r="H620" s="13">
        <v>1364.89</v>
      </c>
      <c r="I620" s="4" t="s">
        <v>26</v>
      </c>
      <c r="J620" s="8" t="str" cm="1">
        <f t="array" ref="J620">_xlfn.IFS(Table3[[#This Row],[Age (Years)]] &lt; 40, "Young", Table3[[#This Row],[Age (Years)]] &gt;= 40, "Middle", Table3[[#This Row],[Age (Years)]] &gt; 60, "Senior")</f>
        <v>Middle</v>
      </c>
      <c r="K620" s="8" t="str" cm="1">
        <f t="array" ref="K620">_xlfn.IFS(Table3[[#This Row],[Drug_Cost_GBP]] &gt; 1200, "High Cost", Table3[[#This Row],[Drug_Cost_GBP]] &lt; 1200, "Normal")</f>
        <v>High Cost</v>
      </c>
      <c r="L620" s="8" t="str" cm="1">
        <f t="array" ref="L620">IFERROR(_xlfn.IFS(Table3[[#This Row],[Age (Years)]]  &gt; 75, "YES", Table3[[#This Row],[Age (Years)]] &lt; 75, "NO"), "UNKNOWN")</f>
        <v>NO</v>
      </c>
      <c r="M620" s="8" t="str">
        <f>IF(Table3[[#This Row],[Drug_Cost_GBP]] &gt; Analysis_Sheet!$B$21, "Above Average", "Within Average")</f>
        <v>Above Average</v>
      </c>
      <c r="N620" s="39" t="str">
        <f t="shared" si="9"/>
        <v>March 2024</v>
      </c>
    </row>
    <row r="621" spans="1:14" x14ac:dyDescent="0.3">
      <c r="A621" s="5" t="s">
        <v>737</v>
      </c>
      <c r="B621" s="18">
        <v>57</v>
      </c>
      <c r="C621" s="6" t="s">
        <v>900</v>
      </c>
      <c r="D621" s="6" t="s">
        <v>19</v>
      </c>
      <c r="E621" s="6" t="s">
        <v>29</v>
      </c>
      <c r="F621" s="7">
        <v>45476</v>
      </c>
      <c r="G621" s="6">
        <v>12</v>
      </c>
      <c r="H621" s="14">
        <v>1002.0675517241378</v>
      </c>
      <c r="I621" s="8" t="s">
        <v>12</v>
      </c>
      <c r="J621" s="8" t="str" cm="1">
        <f t="array" ref="J621">_xlfn.IFS(Table3[[#This Row],[Age (Years)]] &lt; 40, "Young", Table3[[#This Row],[Age (Years)]] &gt;= 40, "Middle", Table3[[#This Row],[Age (Years)]] &gt; 60, "Senior")</f>
        <v>Middle</v>
      </c>
      <c r="K621" s="8" t="str" cm="1">
        <f t="array" ref="K621">_xlfn.IFS(Table3[[#This Row],[Drug_Cost_GBP]] &gt; 1200, "High Cost", Table3[[#This Row],[Drug_Cost_GBP]] &lt; 1200, "Normal")</f>
        <v>Normal</v>
      </c>
      <c r="L621" s="8" t="str" cm="1">
        <f t="array" ref="L621">IFERROR(_xlfn.IFS(Table3[[#This Row],[Age (Years)]]  &gt; 75, "YES", Table3[[#This Row],[Age (Years)]] &lt; 75, "NO"), "UNKNOWN")</f>
        <v>NO</v>
      </c>
      <c r="M621" s="8" t="str">
        <f>IF(Table3[[#This Row],[Drug_Cost_GBP]] &gt; Analysis_Sheet!$B$21, "Above Average", "Within Average")</f>
        <v>Within Average</v>
      </c>
      <c r="N621" s="39" t="str">
        <f t="shared" si="9"/>
        <v>July 2024</v>
      </c>
    </row>
    <row r="622" spans="1:14" x14ac:dyDescent="0.3">
      <c r="A622" s="5" t="s">
        <v>739</v>
      </c>
      <c r="B622" s="18">
        <v>57</v>
      </c>
      <c r="C622" s="6" t="s">
        <v>900</v>
      </c>
      <c r="D622" s="6" t="s">
        <v>900</v>
      </c>
      <c r="E622" s="6" t="s">
        <v>29</v>
      </c>
      <c r="F622" s="7">
        <v>45474</v>
      </c>
      <c r="G622" s="6">
        <v>12</v>
      </c>
      <c r="H622" s="14">
        <v>1875.4</v>
      </c>
      <c r="I622" s="8" t="s">
        <v>16</v>
      </c>
      <c r="J622" s="4" t="str" cm="1">
        <f t="array" ref="J622">_xlfn.IFS(Table3[[#This Row],[Age (Years)]] &lt; 40, "Young", Table3[[#This Row],[Age (Years)]] &gt;= 40, "Middle", Table3[[#This Row],[Age (Years)]] &gt; 60, "Senior")</f>
        <v>Middle</v>
      </c>
      <c r="K622" s="4" t="str" cm="1">
        <f t="array" ref="K622">_xlfn.IFS(Table3[[#This Row],[Drug_Cost_GBP]] &gt; 1200, "High Cost", Table3[[#This Row],[Drug_Cost_GBP]] &lt; 1200, "Normal")</f>
        <v>High Cost</v>
      </c>
      <c r="L622" s="4" t="str" cm="1">
        <f t="array" ref="L622">IFERROR(_xlfn.IFS(Table3[[#This Row],[Age (Years)]]  &gt; 75, "YES", Table3[[#This Row],[Age (Years)]] &lt; 75, "NO"), "UNKNOWN")</f>
        <v>NO</v>
      </c>
      <c r="M622" s="4" t="str">
        <f>IF(Table3[[#This Row],[Drug_Cost_GBP]] &gt; Analysis_Sheet!$B$21, "Above Average", "Within Average")</f>
        <v>Above Average</v>
      </c>
      <c r="N622" s="39" t="str">
        <f t="shared" si="9"/>
        <v>July 2024</v>
      </c>
    </row>
    <row r="623" spans="1:14" x14ac:dyDescent="0.3">
      <c r="A623" s="1" t="s">
        <v>740</v>
      </c>
      <c r="B623" s="17">
        <v>57</v>
      </c>
      <c r="C623" s="2" t="s">
        <v>899</v>
      </c>
      <c r="D623" s="2" t="s">
        <v>51</v>
      </c>
      <c r="E623" s="2" t="s">
        <v>23</v>
      </c>
      <c r="F623" s="3">
        <v>45492</v>
      </c>
      <c r="G623" s="2">
        <v>17</v>
      </c>
      <c r="H623" s="13">
        <v>1002.0675517241378</v>
      </c>
      <c r="I623" s="4" t="s">
        <v>26</v>
      </c>
      <c r="J623" s="4" t="str" cm="1">
        <f t="array" ref="J623">_xlfn.IFS(Table3[[#This Row],[Age (Years)]] &lt; 40, "Young", Table3[[#This Row],[Age (Years)]] &gt;= 40, "Middle", Table3[[#This Row],[Age (Years)]] &gt; 60, "Senior")</f>
        <v>Middle</v>
      </c>
      <c r="K623" s="4" t="str" cm="1">
        <f t="array" ref="K623">_xlfn.IFS(Table3[[#This Row],[Drug_Cost_GBP]] &gt; 1200, "High Cost", Table3[[#This Row],[Drug_Cost_GBP]] &lt; 1200, "Normal")</f>
        <v>Normal</v>
      </c>
      <c r="L623" s="4" t="str" cm="1">
        <f t="array" ref="L623">IFERROR(_xlfn.IFS(Table3[[#This Row],[Age (Years)]]  &gt; 75, "YES", Table3[[#This Row],[Age (Years)]] &lt; 75, "NO"), "UNKNOWN")</f>
        <v>NO</v>
      </c>
      <c r="M623" s="4" t="str">
        <f>IF(Table3[[#This Row],[Drug_Cost_GBP]] &gt; Analysis_Sheet!$B$21, "Above Average", "Within Average")</f>
        <v>Within Average</v>
      </c>
      <c r="N623" s="39" t="str">
        <f t="shared" si="9"/>
        <v>July 2024</v>
      </c>
    </row>
    <row r="624" spans="1:14" x14ac:dyDescent="0.3">
      <c r="A624" s="1" t="s">
        <v>742</v>
      </c>
      <c r="B624" s="17">
        <v>57</v>
      </c>
      <c r="C624" s="2" t="s">
        <v>900</v>
      </c>
      <c r="D624" s="2" t="s">
        <v>898</v>
      </c>
      <c r="E624" s="2" t="s">
        <v>29</v>
      </c>
      <c r="F624" s="3">
        <v>45596</v>
      </c>
      <c r="G624" s="2">
        <v>10</v>
      </c>
      <c r="H624" s="13">
        <v>1002.0675517241378</v>
      </c>
      <c r="I624" s="4" t="s">
        <v>12</v>
      </c>
      <c r="J624" s="8" t="str" cm="1">
        <f t="array" ref="J624">_xlfn.IFS(Table3[[#This Row],[Age (Years)]] &lt; 40, "Young", Table3[[#This Row],[Age (Years)]] &gt;= 40, "Middle", Table3[[#This Row],[Age (Years)]] &gt; 60, "Senior")</f>
        <v>Middle</v>
      </c>
      <c r="K624" s="8" t="str" cm="1">
        <f t="array" ref="K624">_xlfn.IFS(Table3[[#This Row],[Drug_Cost_GBP]] &gt; 1200, "High Cost", Table3[[#This Row],[Drug_Cost_GBP]] &lt; 1200, "Normal")</f>
        <v>Normal</v>
      </c>
      <c r="L624" s="8" t="str" cm="1">
        <f t="array" ref="L624">IFERROR(_xlfn.IFS(Table3[[#This Row],[Age (Years)]]  &gt; 75, "YES", Table3[[#This Row],[Age (Years)]] &lt; 75, "NO"), "UNKNOWN")</f>
        <v>NO</v>
      </c>
      <c r="M624" s="8" t="str">
        <f>IF(Table3[[#This Row],[Drug_Cost_GBP]] &gt; Analysis_Sheet!$B$21, "Above Average", "Within Average")</f>
        <v>Within Average</v>
      </c>
      <c r="N624" s="39" t="str">
        <f t="shared" si="9"/>
        <v>October 2024</v>
      </c>
    </row>
    <row r="625" spans="1:14" x14ac:dyDescent="0.3">
      <c r="A625" s="5" t="s">
        <v>743</v>
      </c>
      <c r="B625" s="18">
        <v>57</v>
      </c>
      <c r="C625" s="6" t="s">
        <v>900</v>
      </c>
      <c r="D625" s="6" t="s">
        <v>48</v>
      </c>
      <c r="E625" s="6" t="s">
        <v>43</v>
      </c>
      <c r="F625" s="7">
        <v>45491</v>
      </c>
      <c r="G625" s="6">
        <v>20</v>
      </c>
      <c r="H625" s="14">
        <v>1002.0675517241378</v>
      </c>
      <c r="I625" s="8" t="s">
        <v>900</v>
      </c>
      <c r="J625" s="4" t="str" cm="1">
        <f t="array" ref="J625">_xlfn.IFS(Table3[[#This Row],[Age (Years)]] &lt; 40, "Young", Table3[[#This Row],[Age (Years)]] &gt;= 40, "Middle", Table3[[#This Row],[Age (Years)]] &gt; 60, "Senior")</f>
        <v>Middle</v>
      </c>
      <c r="K625" s="4" t="str" cm="1">
        <f t="array" ref="K625">_xlfn.IFS(Table3[[#This Row],[Drug_Cost_GBP]] &gt; 1200, "High Cost", Table3[[#This Row],[Drug_Cost_GBP]] &lt; 1200, "Normal")</f>
        <v>Normal</v>
      </c>
      <c r="L625" s="4" t="str" cm="1">
        <f t="array" ref="L625">IFERROR(_xlfn.IFS(Table3[[#This Row],[Age (Years)]]  &gt; 75, "YES", Table3[[#This Row],[Age (Years)]] &lt; 75, "NO"), "UNKNOWN")</f>
        <v>NO</v>
      </c>
      <c r="M625" s="4" t="str">
        <f>IF(Table3[[#This Row],[Drug_Cost_GBP]] &gt; Analysis_Sheet!$B$21, "Above Average", "Within Average")</f>
        <v>Within Average</v>
      </c>
      <c r="N625" s="39" t="str">
        <f t="shared" si="9"/>
        <v>July 2024</v>
      </c>
    </row>
    <row r="626" spans="1:14" x14ac:dyDescent="0.3">
      <c r="A626" s="1" t="s">
        <v>744</v>
      </c>
      <c r="B626" s="17">
        <v>57</v>
      </c>
      <c r="C626" s="2" t="s">
        <v>899</v>
      </c>
      <c r="D626" s="2" t="s">
        <v>14</v>
      </c>
      <c r="E626" s="2" t="s">
        <v>43</v>
      </c>
      <c r="F626" s="3">
        <v>45553</v>
      </c>
      <c r="G626" s="2">
        <v>12</v>
      </c>
      <c r="H626" s="13">
        <v>1002.0675517241378</v>
      </c>
      <c r="I626" s="4" t="s">
        <v>12</v>
      </c>
      <c r="J626" s="8" t="str" cm="1">
        <f t="array" ref="J626">_xlfn.IFS(Table3[[#This Row],[Age (Years)]] &lt; 40, "Young", Table3[[#This Row],[Age (Years)]] &gt;= 40, "Middle", Table3[[#This Row],[Age (Years)]] &gt; 60, "Senior")</f>
        <v>Middle</v>
      </c>
      <c r="K626" s="8" t="str" cm="1">
        <f t="array" ref="K626">_xlfn.IFS(Table3[[#This Row],[Drug_Cost_GBP]] &gt; 1200, "High Cost", Table3[[#This Row],[Drug_Cost_GBP]] &lt; 1200, "Normal")</f>
        <v>Normal</v>
      </c>
      <c r="L626" s="8" t="str" cm="1">
        <f t="array" ref="L626">IFERROR(_xlfn.IFS(Table3[[#This Row],[Age (Years)]]  &gt; 75, "YES", Table3[[#This Row],[Age (Years)]] &lt; 75, "NO"), "UNKNOWN")</f>
        <v>NO</v>
      </c>
      <c r="M626" s="8" t="str">
        <f>IF(Table3[[#This Row],[Drug_Cost_GBP]] &gt; Analysis_Sheet!$B$21, "Above Average", "Within Average")</f>
        <v>Within Average</v>
      </c>
      <c r="N626" s="39" t="str">
        <f t="shared" si="9"/>
        <v>September 2024</v>
      </c>
    </row>
    <row r="627" spans="1:14" x14ac:dyDescent="0.3">
      <c r="A627" s="5" t="s">
        <v>745</v>
      </c>
      <c r="B627" s="18">
        <v>57</v>
      </c>
      <c r="C627" s="6" t="s">
        <v>38</v>
      </c>
      <c r="D627" s="6" t="s">
        <v>14</v>
      </c>
      <c r="E627" s="6" t="s">
        <v>29</v>
      </c>
      <c r="F627" s="7">
        <v>45297</v>
      </c>
      <c r="G627" s="6">
        <v>8</v>
      </c>
      <c r="H627" s="14">
        <v>1002.0675517241378</v>
      </c>
      <c r="I627" s="8" t="s">
        <v>16</v>
      </c>
      <c r="J627" s="4" t="str" cm="1">
        <f t="array" ref="J627">_xlfn.IFS(Table3[[#This Row],[Age (Years)]] &lt; 40, "Young", Table3[[#This Row],[Age (Years)]] &gt;= 40, "Middle", Table3[[#This Row],[Age (Years)]] &gt; 60, "Senior")</f>
        <v>Middle</v>
      </c>
      <c r="K627" s="4" t="str" cm="1">
        <f t="array" ref="K627">_xlfn.IFS(Table3[[#This Row],[Drug_Cost_GBP]] &gt; 1200, "High Cost", Table3[[#This Row],[Drug_Cost_GBP]] &lt; 1200, "Normal")</f>
        <v>Normal</v>
      </c>
      <c r="L627" s="4" t="str" cm="1">
        <f t="array" ref="L627">IFERROR(_xlfn.IFS(Table3[[#This Row],[Age (Years)]]  &gt; 75, "YES", Table3[[#This Row],[Age (Years)]] &lt; 75, "NO"), "UNKNOWN")</f>
        <v>NO</v>
      </c>
      <c r="M627" s="4" t="str">
        <f>IF(Table3[[#This Row],[Drug_Cost_GBP]] &gt; Analysis_Sheet!$B$21, "Above Average", "Within Average")</f>
        <v>Within Average</v>
      </c>
      <c r="N627" s="39" t="str">
        <f t="shared" si="9"/>
        <v>January 2024</v>
      </c>
    </row>
    <row r="628" spans="1:14" x14ac:dyDescent="0.3">
      <c r="A628" s="1" t="s">
        <v>746</v>
      </c>
      <c r="B628" s="17">
        <v>57</v>
      </c>
      <c r="C628" s="2" t="s">
        <v>38</v>
      </c>
      <c r="D628" s="2" t="s">
        <v>14</v>
      </c>
      <c r="E628" s="2" t="s">
        <v>23</v>
      </c>
      <c r="F628" s="3">
        <v>45505</v>
      </c>
      <c r="G628" s="2">
        <v>12</v>
      </c>
      <c r="H628" s="13">
        <v>1002.0675517241378</v>
      </c>
      <c r="I628" s="4" t="s">
        <v>21</v>
      </c>
      <c r="J628" s="8" t="str" cm="1">
        <f t="array" ref="J628">_xlfn.IFS(Table3[[#This Row],[Age (Years)]] &lt; 40, "Young", Table3[[#This Row],[Age (Years)]] &gt;= 40, "Middle", Table3[[#This Row],[Age (Years)]] &gt; 60, "Senior")</f>
        <v>Middle</v>
      </c>
      <c r="K628" s="8" t="str" cm="1">
        <f t="array" ref="K628">_xlfn.IFS(Table3[[#This Row],[Drug_Cost_GBP]] &gt; 1200, "High Cost", Table3[[#This Row],[Drug_Cost_GBP]] &lt; 1200, "Normal")</f>
        <v>Normal</v>
      </c>
      <c r="L628" s="8" t="str" cm="1">
        <f t="array" ref="L628">IFERROR(_xlfn.IFS(Table3[[#This Row],[Age (Years)]]  &gt; 75, "YES", Table3[[#This Row],[Age (Years)]] &lt; 75, "NO"), "UNKNOWN")</f>
        <v>NO</v>
      </c>
      <c r="M628" s="8" t="str">
        <f>IF(Table3[[#This Row],[Drug_Cost_GBP]] &gt; Analysis_Sheet!$B$21, "Above Average", "Within Average")</f>
        <v>Within Average</v>
      </c>
      <c r="N628" s="39" t="str">
        <f t="shared" si="9"/>
        <v>August 2024</v>
      </c>
    </row>
    <row r="629" spans="1:14" x14ac:dyDescent="0.3">
      <c r="A629" s="5" t="s">
        <v>747</v>
      </c>
      <c r="B629" s="18">
        <v>57</v>
      </c>
      <c r="C629" s="6" t="s">
        <v>899</v>
      </c>
      <c r="D629" s="6" t="s">
        <v>14</v>
      </c>
      <c r="E629" s="6" t="s">
        <v>11</v>
      </c>
      <c r="F629" s="7">
        <v>45507</v>
      </c>
      <c r="G629" s="6">
        <v>12</v>
      </c>
      <c r="H629" s="14">
        <v>1002.0675517241378</v>
      </c>
      <c r="I629" s="8" t="s">
        <v>21</v>
      </c>
      <c r="J629" s="4" t="str" cm="1">
        <f t="array" ref="J629">_xlfn.IFS(Table3[[#This Row],[Age (Years)]] &lt; 40, "Young", Table3[[#This Row],[Age (Years)]] &gt;= 40, "Middle", Table3[[#This Row],[Age (Years)]] &gt; 60, "Senior")</f>
        <v>Middle</v>
      </c>
      <c r="K629" s="4" t="str" cm="1">
        <f t="array" ref="K629">_xlfn.IFS(Table3[[#This Row],[Drug_Cost_GBP]] &gt; 1200, "High Cost", Table3[[#This Row],[Drug_Cost_GBP]] &lt; 1200, "Normal")</f>
        <v>Normal</v>
      </c>
      <c r="L629" s="4" t="str" cm="1">
        <f t="array" ref="L629">IFERROR(_xlfn.IFS(Table3[[#This Row],[Age (Years)]]  &gt; 75, "YES", Table3[[#This Row],[Age (Years)]] &lt; 75, "NO"), "UNKNOWN")</f>
        <v>NO</v>
      </c>
      <c r="M629" s="4" t="str">
        <f>IF(Table3[[#This Row],[Drug_Cost_GBP]] &gt; Analysis_Sheet!$B$21, "Above Average", "Within Average")</f>
        <v>Within Average</v>
      </c>
      <c r="N629" s="39" t="str">
        <f t="shared" si="9"/>
        <v>August 2024</v>
      </c>
    </row>
    <row r="630" spans="1:14" x14ac:dyDescent="0.3">
      <c r="A630" s="1" t="s">
        <v>748</v>
      </c>
      <c r="B630" s="17">
        <v>57</v>
      </c>
      <c r="C630" s="2" t="s">
        <v>38</v>
      </c>
      <c r="D630" s="2" t="s">
        <v>51</v>
      </c>
      <c r="E630" s="2" t="s">
        <v>43</v>
      </c>
      <c r="F630" s="3">
        <v>45360</v>
      </c>
      <c r="G630" s="2">
        <v>12</v>
      </c>
      <c r="H630" s="13">
        <v>630.05999999999995</v>
      </c>
      <c r="I630" s="4" t="s">
        <v>12</v>
      </c>
      <c r="J630" s="8" t="str" cm="1">
        <f t="array" ref="J630">_xlfn.IFS(Table3[[#This Row],[Age (Years)]] &lt; 40, "Young", Table3[[#This Row],[Age (Years)]] &gt;= 40, "Middle", Table3[[#This Row],[Age (Years)]] &gt; 60, "Senior")</f>
        <v>Middle</v>
      </c>
      <c r="K630" s="8" t="str" cm="1">
        <f t="array" ref="K630">_xlfn.IFS(Table3[[#This Row],[Drug_Cost_GBP]] &gt; 1200, "High Cost", Table3[[#This Row],[Drug_Cost_GBP]] &lt; 1200, "Normal")</f>
        <v>Normal</v>
      </c>
      <c r="L630" s="8" t="str" cm="1">
        <f t="array" ref="L630">IFERROR(_xlfn.IFS(Table3[[#This Row],[Age (Years)]]  &gt; 75, "YES", Table3[[#This Row],[Age (Years)]] &lt; 75, "NO"), "UNKNOWN")</f>
        <v>NO</v>
      </c>
      <c r="M630" s="8" t="str">
        <f>IF(Table3[[#This Row],[Drug_Cost_GBP]] &gt; Analysis_Sheet!$B$21, "Above Average", "Within Average")</f>
        <v>Within Average</v>
      </c>
      <c r="N630" s="39" t="str">
        <f t="shared" si="9"/>
        <v>March 2024</v>
      </c>
    </row>
    <row r="631" spans="1:14" x14ac:dyDescent="0.3">
      <c r="A631" s="5" t="s">
        <v>749</v>
      </c>
      <c r="B631" s="18">
        <v>57</v>
      </c>
      <c r="C631" s="6" t="s">
        <v>899</v>
      </c>
      <c r="D631" s="6" t="s">
        <v>14</v>
      </c>
      <c r="E631" s="6" t="s">
        <v>29</v>
      </c>
      <c r="F631" s="7">
        <v>45585</v>
      </c>
      <c r="G631" s="6">
        <v>12</v>
      </c>
      <c r="H631" s="14">
        <v>1002.0675517241378</v>
      </c>
      <c r="I631" s="8" t="s">
        <v>21</v>
      </c>
      <c r="J631" s="8" t="str" cm="1">
        <f t="array" ref="J631">_xlfn.IFS(Table3[[#This Row],[Age (Years)]] &lt; 40, "Young", Table3[[#This Row],[Age (Years)]] &gt;= 40, "Middle", Table3[[#This Row],[Age (Years)]] &gt; 60, "Senior")</f>
        <v>Middle</v>
      </c>
      <c r="K631" s="8" t="str" cm="1">
        <f t="array" ref="K631">_xlfn.IFS(Table3[[#This Row],[Drug_Cost_GBP]] &gt; 1200, "High Cost", Table3[[#This Row],[Drug_Cost_GBP]] &lt; 1200, "Normal")</f>
        <v>Normal</v>
      </c>
      <c r="L631" s="8" t="str" cm="1">
        <f t="array" ref="L631">IFERROR(_xlfn.IFS(Table3[[#This Row],[Age (Years)]]  &gt; 75, "YES", Table3[[#This Row],[Age (Years)]] &lt; 75, "NO"), "UNKNOWN")</f>
        <v>NO</v>
      </c>
      <c r="M631" s="8" t="str">
        <f>IF(Table3[[#This Row],[Drug_Cost_GBP]] &gt; Analysis_Sheet!$B$21, "Above Average", "Within Average")</f>
        <v>Within Average</v>
      </c>
      <c r="N631" s="39" t="str">
        <f t="shared" si="9"/>
        <v>October 2024</v>
      </c>
    </row>
    <row r="632" spans="1:14" x14ac:dyDescent="0.3">
      <c r="A632" s="5" t="s">
        <v>751</v>
      </c>
      <c r="B632" s="18">
        <v>57</v>
      </c>
      <c r="C632" s="6" t="s">
        <v>38</v>
      </c>
      <c r="D632" s="6" t="s">
        <v>898</v>
      </c>
      <c r="E632" s="6" t="s">
        <v>23</v>
      </c>
      <c r="F632" s="7">
        <v>45397</v>
      </c>
      <c r="G632" s="6">
        <v>12</v>
      </c>
      <c r="H632" s="14">
        <v>1981.64</v>
      </c>
      <c r="I632" s="8" t="s">
        <v>12</v>
      </c>
      <c r="J632" s="8" t="str" cm="1">
        <f t="array" ref="J632">_xlfn.IFS(Table3[[#This Row],[Age (Years)]] &lt; 40, "Young", Table3[[#This Row],[Age (Years)]] &gt;= 40, "Middle", Table3[[#This Row],[Age (Years)]] &gt; 60, "Senior")</f>
        <v>Middle</v>
      </c>
      <c r="K632" s="8" t="str" cm="1">
        <f t="array" ref="K632">_xlfn.IFS(Table3[[#This Row],[Drug_Cost_GBP]] &gt; 1200, "High Cost", Table3[[#This Row],[Drug_Cost_GBP]] &lt; 1200, "Normal")</f>
        <v>High Cost</v>
      </c>
      <c r="L632" s="8" t="str" cm="1">
        <f t="array" ref="L632">IFERROR(_xlfn.IFS(Table3[[#This Row],[Age (Years)]]  &gt; 75, "YES", Table3[[#This Row],[Age (Years)]] &lt; 75, "NO"), "UNKNOWN")</f>
        <v>NO</v>
      </c>
      <c r="M632" s="8" t="str">
        <f>IF(Table3[[#This Row],[Drug_Cost_GBP]] &gt; Analysis_Sheet!$B$21, "Above Average", "Within Average")</f>
        <v>Above Average</v>
      </c>
      <c r="N632" s="39" t="str">
        <f t="shared" si="9"/>
        <v>April 2024</v>
      </c>
    </row>
    <row r="633" spans="1:14" x14ac:dyDescent="0.3">
      <c r="A633" s="5" t="s">
        <v>753</v>
      </c>
      <c r="B633" s="18">
        <v>57</v>
      </c>
      <c r="C633" s="6" t="s">
        <v>900</v>
      </c>
      <c r="D633" s="6" t="s">
        <v>14</v>
      </c>
      <c r="E633" s="6" t="s">
        <v>34</v>
      </c>
      <c r="F633" s="7">
        <v>45418</v>
      </c>
      <c r="G633" s="6">
        <v>12</v>
      </c>
      <c r="H633" s="14">
        <v>1002.0675517241378</v>
      </c>
      <c r="I633" s="8" t="s">
        <v>900</v>
      </c>
      <c r="J633" s="4" t="str" cm="1">
        <f t="array" ref="J633">_xlfn.IFS(Table3[[#This Row],[Age (Years)]] &lt; 40, "Young", Table3[[#This Row],[Age (Years)]] &gt;= 40, "Middle", Table3[[#This Row],[Age (Years)]] &gt; 60, "Senior")</f>
        <v>Middle</v>
      </c>
      <c r="K633" s="4" t="str" cm="1">
        <f t="array" ref="K633">_xlfn.IFS(Table3[[#This Row],[Drug_Cost_GBP]] &gt; 1200, "High Cost", Table3[[#This Row],[Drug_Cost_GBP]] &lt; 1200, "Normal")</f>
        <v>Normal</v>
      </c>
      <c r="L633" s="4" t="str" cm="1">
        <f t="array" ref="L633">IFERROR(_xlfn.IFS(Table3[[#This Row],[Age (Years)]]  &gt; 75, "YES", Table3[[#This Row],[Age (Years)]] &lt; 75, "NO"), "UNKNOWN")</f>
        <v>NO</v>
      </c>
      <c r="M633" s="4" t="str">
        <f>IF(Table3[[#This Row],[Drug_Cost_GBP]] &gt; Analysis_Sheet!$B$21, "Above Average", "Within Average")</f>
        <v>Within Average</v>
      </c>
      <c r="N633" s="39" t="str">
        <f t="shared" si="9"/>
        <v>May 2024</v>
      </c>
    </row>
    <row r="634" spans="1:14" x14ac:dyDescent="0.3">
      <c r="A634" s="1" t="s">
        <v>754</v>
      </c>
      <c r="B634" s="17">
        <v>57</v>
      </c>
      <c r="C634" s="2" t="s">
        <v>900</v>
      </c>
      <c r="D634" s="2" t="s">
        <v>19</v>
      </c>
      <c r="E634" s="2" t="s">
        <v>11</v>
      </c>
      <c r="F634" s="3">
        <v>45505</v>
      </c>
      <c r="G634" s="2">
        <v>12</v>
      </c>
      <c r="H634" s="13">
        <v>1002.0675517241378</v>
      </c>
      <c r="I634" s="4" t="s">
        <v>12</v>
      </c>
      <c r="J634" s="8" t="str" cm="1">
        <f t="array" ref="J634">_xlfn.IFS(Table3[[#This Row],[Age (Years)]] &lt; 40, "Young", Table3[[#This Row],[Age (Years)]] &gt;= 40, "Middle", Table3[[#This Row],[Age (Years)]] &gt; 60, "Senior")</f>
        <v>Middle</v>
      </c>
      <c r="K634" s="8" t="str" cm="1">
        <f t="array" ref="K634">_xlfn.IFS(Table3[[#This Row],[Drug_Cost_GBP]] &gt; 1200, "High Cost", Table3[[#This Row],[Drug_Cost_GBP]] &lt; 1200, "Normal")</f>
        <v>Normal</v>
      </c>
      <c r="L634" s="8" t="str" cm="1">
        <f t="array" ref="L634">IFERROR(_xlfn.IFS(Table3[[#This Row],[Age (Years)]]  &gt; 75, "YES", Table3[[#This Row],[Age (Years)]] &lt; 75, "NO"), "UNKNOWN")</f>
        <v>NO</v>
      </c>
      <c r="M634" s="8" t="str">
        <f>IF(Table3[[#This Row],[Drug_Cost_GBP]] &gt; Analysis_Sheet!$B$21, "Above Average", "Within Average")</f>
        <v>Within Average</v>
      </c>
      <c r="N634" s="39" t="str">
        <f t="shared" si="9"/>
        <v>August 2024</v>
      </c>
    </row>
    <row r="635" spans="1:14" x14ac:dyDescent="0.3">
      <c r="A635" s="5" t="s">
        <v>755</v>
      </c>
      <c r="B635" s="18">
        <v>57</v>
      </c>
      <c r="C635" s="6" t="s">
        <v>899</v>
      </c>
      <c r="D635" s="6" t="s">
        <v>900</v>
      </c>
      <c r="E635" s="6" t="s">
        <v>34</v>
      </c>
      <c r="F635" s="7">
        <v>45354</v>
      </c>
      <c r="G635" s="6">
        <v>16</v>
      </c>
      <c r="H635" s="14">
        <v>1002.0675517241378</v>
      </c>
      <c r="I635" s="8" t="s">
        <v>12</v>
      </c>
      <c r="J635" s="8" t="str" cm="1">
        <f t="array" ref="J635">_xlfn.IFS(Table3[[#This Row],[Age (Years)]] &lt; 40, "Young", Table3[[#This Row],[Age (Years)]] &gt;= 40, "Middle", Table3[[#This Row],[Age (Years)]] &gt; 60, "Senior")</f>
        <v>Middle</v>
      </c>
      <c r="K635" s="8" t="str" cm="1">
        <f t="array" ref="K635">_xlfn.IFS(Table3[[#This Row],[Drug_Cost_GBP]] &gt; 1200, "High Cost", Table3[[#This Row],[Drug_Cost_GBP]] &lt; 1200, "Normal")</f>
        <v>Normal</v>
      </c>
      <c r="L635" s="8" t="str" cm="1">
        <f t="array" ref="L635">IFERROR(_xlfn.IFS(Table3[[#This Row],[Age (Years)]]  &gt; 75, "YES", Table3[[#This Row],[Age (Years)]] &lt; 75, "NO"), "UNKNOWN")</f>
        <v>NO</v>
      </c>
      <c r="M635" s="8" t="str">
        <f>IF(Table3[[#This Row],[Drug_Cost_GBP]] &gt; Analysis_Sheet!$B$21, "Above Average", "Within Average")</f>
        <v>Within Average</v>
      </c>
      <c r="N635" s="39" t="str">
        <f t="shared" si="9"/>
        <v>March 2024</v>
      </c>
    </row>
    <row r="636" spans="1:14" x14ac:dyDescent="0.3">
      <c r="A636" s="5" t="s">
        <v>757</v>
      </c>
      <c r="B636" s="18">
        <v>57</v>
      </c>
      <c r="C636" s="6" t="s">
        <v>899</v>
      </c>
      <c r="D636" s="6" t="s">
        <v>25</v>
      </c>
      <c r="E636" s="6" t="s">
        <v>57</v>
      </c>
      <c r="F636" s="7">
        <v>45640</v>
      </c>
      <c r="G636" s="6">
        <v>11</v>
      </c>
      <c r="H636" s="14">
        <v>1002.0675517241378</v>
      </c>
      <c r="I636" s="8" t="s">
        <v>21</v>
      </c>
      <c r="J636" s="4" t="str" cm="1">
        <f t="array" ref="J636">_xlfn.IFS(Table3[[#This Row],[Age (Years)]] &lt; 40, "Young", Table3[[#This Row],[Age (Years)]] &gt;= 40, "Middle", Table3[[#This Row],[Age (Years)]] &gt; 60, "Senior")</f>
        <v>Middle</v>
      </c>
      <c r="K636" s="4" t="str" cm="1">
        <f t="array" ref="K636">_xlfn.IFS(Table3[[#This Row],[Drug_Cost_GBP]] &gt; 1200, "High Cost", Table3[[#This Row],[Drug_Cost_GBP]] &lt; 1200, "Normal")</f>
        <v>Normal</v>
      </c>
      <c r="L636" s="4" t="str" cm="1">
        <f t="array" ref="L636">IFERROR(_xlfn.IFS(Table3[[#This Row],[Age (Years)]]  &gt; 75, "YES", Table3[[#This Row],[Age (Years)]] &lt; 75, "NO"), "UNKNOWN")</f>
        <v>NO</v>
      </c>
      <c r="M636" s="4" t="str">
        <f>IF(Table3[[#This Row],[Drug_Cost_GBP]] &gt; Analysis_Sheet!$B$21, "Above Average", "Within Average")</f>
        <v>Within Average</v>
      </c>
      <c r="N636" s="39" t="str">
        <f t="shared" si="9"/>
        <v>December 2024</v>
      </c>
    </row>
    <row r="637" spans="1:14" x14ac:dyDescent="0.3">
      <c r="A637" s="1" t="s">
        <v>758</v>
      </c>
      <c r="B637" s="17">
        <v>57</v>
      </c>
      <c r="C637" s="2" t="s">
        <v>38</v>
      </c>
      <c r="D637" s="2" t="s">
        <v>898</v>
      </c>
      <c r="E637" s="2" t="s">
        <v>34</v>
      </c>
      <c r="F637" s="3">
        <v>45510</v>
      </c>
      <c r="G637" s="2">
        <v>12</v>
      </c>
      <c r="H637" s="13">
        <v>1940.16</v>
      </c>
      <c r="I637" s="4" t="s">
        <v>12</v>
      </c>
      <c r="J637" s="8" t="str" cm="1">
        <f t="array" ref="J637">_xlfn.IFS(Table3[[#This Row],[Age (Years)]] &lt; 40, "Young", Table3[[#This Row],[Age (Years)]] &gt;= 40, "Middle", Table3[[#This Row],[Age (Years)]] &gt; 60, "Senior")</f>
        <v>Middle</v>
      </c>
      <c r="K637" s="8" t="str" cm="1">
        <f t="array" ref="K637">_xlfn.IFS(Table3[[#This Row],[Drug_Cost_GBP]] &gt; 1200, "High Cost", Table3[[#This Row],[Drug_Cost_GBP]] &lt; 1200, "Normal")</f>
        <v>High Cost</v>
      </c>
      <c r="L637" s="8" t="str" cm="1">
        <f t="array" ref="L637">IFERROR(_xlfn.IFS(Table3[[#This Row],[Age (Years)]]  &gt; 75, "YES", Table3[[#This Row],[Age (Years)]] &lt; 75, "NO"), "UNKNOWN")</f>
        <v>NO</v>
      </c>
      <c r="M637" s="8" t="str">
        <f>IF(Table3[[#This Row],[Drug_Cost_GBP]] &gt; Analysis_Sheet!$B$21, "Above Average", "Within Average")</f>
        <v>Above Average</v>
      </c>
      <c r="N637" s="39" t="str">
        <f t="shared" si="9"/>
        <v>August 2024</v>
      </c>
    </row>
    <row r="638" spans="1:14" x14ac:dyDescent="0.3">
      <c r="A638" s="5" t="s">
        <v>759</v>
      </c>
      <c r="B638" s="18">
        <v>57</v>
      </c>
      <c r="C638" s="6" t="s">
        <v>38</v>
      </c>
      <c r="D638" s="6" t="s">
        <v>900</v>
      </c>
      <c r="E638" s="6" t="s">
        <v>34</v>
      </c>
      <c r="F638" s="7" t="s">
        <v>900</v>
      </c>
      <c r="G638" s="6">
        <v>16</v>
      </c>
      <c r="H638" s="14">
        <v>853.82</v>
      </c>
      <c r="I638" s="8" t="s">
        <v>16</v>
      </c>
      <c r="J638" s="4" t="str" cm="1">
        <f t="array" ref="J638">_xlfn.IFS(Table3[[#This Row],[Age (Years)]] &lt; 40, "Young", Table3[[#This Row],[Age (Years)]] &gt;= 40, "Middle", Table3[[#This Row],[Age (Years)]] &gt; 60, "Senior")</f>
        <v>Middle</v>
      </c>
      <c r="K638" s="4" t="str" cm="1">
        <f t="array" ref="K638">_xlfn.IFS(Table3[[#This Row],[Drug_Cost_GBP]] &gt; 1200, "High Cost", Table3[[#This Row],[Drug_Cost_GBP]] &lt; 1200, "Normal")</f>
        <v>Normal</v>
      </c>
      <c r="L638" s="4" t="str" cm="1">
        <f t="array" ref="L638">IFERROR(_xlfn.IFS(Table3[[#This Row],[Age (Years)]]  &gt; 75, "YES", Table3[[#This Row],[Age (Years)]] &lt; 75, "NO"), "UNKNOWN")</f>
        <v>NO</v>
      </c>
      <c r="M638" s="4" t="str">
        <f>IF(Table3[[#This Row],[Drug_Cost_GBP]] &gt; Analysis_Sheet!$B$21, "Above Average", "Within Average")</f>
        <v>Within Average</v>
      </c>
      <c r="N638" s="39" t="str">
        <f t="shared" si="9"/>
        <v>Unknown</v>
      </c>
    </row>
    <row r="639" spans="1:14" x14ac:dyDescent="0.3">
      <c r="A639" s="1" t="s">
        <v>760</v>
      </c>
      <c r="B639" s="17">
        <v>57</v>
      </c>
      <c r="C639" s="2" t="s">
        <v>38</v>
      </c>
      <c r="D639" s="2" t="s">
        <v>25</v>
      </c>
      <c r="E639" s="2" t="s">
        <v>43</v>
      </c>
      <c r="F639" s="3">
        <v>45393</v>
      </c>
      <c r="G639" s="2">
        <v>20</v>
      </c>
      <c r="H639" s="13">
        <v>1002.0675517241378</v>
      </c>
      <c r="I639" s="4" t="s">
        <v>900</v>
      </c>
      <c r="J639" s="8" t="str" cm="1">
        <f t="array" ref="J639">_xlfn.IFS(Table3[[#This Row],[Age (Years)]] &lt; 40, "Young", Table3[[#This Row],[Age (Years)]] &gt;= 40, "Middle", Table3[[#This Row],[Age (Years)]] &gt; 60, "Senior")</f>
        <v>Middle</v>
      </c>
      <c r="K639" s="8" t="str" cm="1">
        <f t="array" ref="K639">_xlfn.IFS(Table3[[#This Row],[Drug_Cost_GBP]] &gt; 1200, "High Cost", Table3[[#This Row],[Drug_Cost_GBP]] &lt; 1200, "Normal")</f>
        <v>Normal</v>
      </c>
      <c r="L639" s="8" t="str" cm="1">
        <f t="array" ref="L639">IFERROR(_xlfn.IFS(Table3[[#This Row],[Age (Years)]]  &gt; 75, "YES", Table3[[#This Row],[Age (Years)]] &lt; 75, "NO"), "UNKNOWN")</f>
        <v>NO</v>
      </c>
      <c r="M639" s="8" t="str">
        <f>IF(Table3[[#This Row],[Drug_Cost_GBP]] &gt; Analysis_Sheet!$B$21, "Above Average", "Within Average")</f>
        <v>Within Average</v>
      </c>
      <c r="N639" s="39" t="str">
        <f t="shared" si="9"/>
        <v>April 2024</v>
      </c>
    </row>
    <row r="640" spans="1:14" x14ac:dyDescent="0.3">
      <c r="A640" s="5" t="s">
        <v>761</v>
      </c>
      <c r="B640" s="18">
        <v>57</v>
      </c>
      <c r="C640" s="6" t="s">
        <v>38</v>
      </c>
      <c r="D640" s="6" t="s">
        <v>898</v>
      </c>
      <c r="E640" s="6" t="s">
        <v>34</v>
      </c>
      <c r="F640" s="7" t="s">
        <v>900</v>
      </c>
      <c r="G640" s="6">
        <v>12</v>
      </c>
      <c r="H640" s="14">
        <v>1002.0675517241378</v>
      </c>
      <c r="I640" s="8" t="s">
        <v>21</v>
      </c>
      <c r="J640" s="8" t="str" cm="1">
        <f t="array" ref="J640">_xlfn.IFS(Table3[[#This Row],[Age (Years)]] &lt; 40, "Young", Table3[[#This Row],[Age (Years)]] &gt;= 40, "Middle", Table3[[#This Row],[Age (Years)]] &gt; 60, "Senior")</f>
        <v>Middle</v>
      </c>
      <c r="K640" s="8" t="str" cm="1">
        <f t="array" ref="K640">_xlfn.IFS(Table3[[#This Row],[Drug_Cost_GBP]] &gt; 1200, "High Cost", Table3[[#This Row],[Drug_Cost_GBP]] &lt; 1200, "Normal")</f>
        <v>Normal</v>
      </c>
      <c r="L640" s="8" t="str" cm="1">
        <f t="array" ref="L640">IFERROR(_xlfn.IFS(Table3[[#This Row],[Age (Years)]]  &gt; 75, "YES", Table3[[#This Row],[Age (Years)]] &lt; 75, "NO"), "UNKNOWN")</f>
        <v>NO</v>
      </c>
      <c r="M640" s="8" t="str">
        <f>IF(Table3[[#This Row],[Drug_Cost_GBP]] &gt; Analysis_Sheet!$B$21, "Above Average", "Within Average")</f>
        <v>Within Average</v>
      </c>
      <c r="N640" s="39" t="str">
        <f t="shared" si="9"/>
        <v>Unknown</v>
      </c>
    </row>
    <row r="641" spans="1:14" x14ac:dyDescent="0.3">
      <c r="A641" s="5" t="s">
        <v>763</v>
      </c>
      <c r="B641" s="18">
        <v>57</v>
      </c>
      <c r="C641" s="6" t="s">
        <v>899</v>
      </c>
      <c r="D641" s="6" t="s">
        <v>14</v>
      </c>
      <c r="E641" s="6" t="s">
        <v>43</v>
      </c>
      <c r="F641" s="7">
        <v>45473</v>
      </c>
      <c r="G641" s="6">
        <v>3</v>
      </c>
      <c r="H641" s="14">
        <v>568.07000000000005</v>
      </c>
      <c r="I641" s="8" t="s">
        <v>26</v>
      </c>
      <c r="J641" s="8" t="str" cm="1">
        <f t="array" ref="J641">_xlfn.IFS(Table3[[#This Row],[Age (Years)]] &lt; 40, "Young", Table3[[#This Row],[Age (Years)]] &gt;= 40, "Middle", Table3[[#This Row],[Age (Years)]] &gt; 60, "Senior")</f>
        <v>Middle</v>
      </c>
      <c r="K641" s="8" t="str" cm="1">
        <f t="array" ref="K641">_xlfn.IFS(Table3[[#This Row],[Drug_Cost_GBP]] &gt; 1200, "High Cost", Table3[[#This Row],[Drug_Cost_GBP]] &lt; 1200, "Normal")</f>
        <v>Normal</v>
      </c>
      <c r="L641" s="8" t="str" cm="1">
        <f t="array" ref="L641">IFERROR(_xlfn.IFS(Table3[[#This Row],[Age (Years)]]  &gt; 75, "YES", Table3[[#This Row],[Age (Years)]] &lt; 75, "NO"), "UNKNOWN")</f>
        <v>NO</v>
      </c>
      <c r="M641" s="8" t="str">
        <f>IF(Table3[[#This Row],[Drug_Cost_GBP]] &gt; Analysis_Sheet!$B$21, "Above Average", "Within Average")</f>
        <v>Within Average</v>
      </c>
      <c r="N641" s="39" t="str">
        <f t="shared" si="9"/>
        <v>June 2024</v>
      </c>
    </row>
    <row r="642" spans="1:14" x14ac:dyDescent="0.3">
      <c r="A642" s="5" t="s">
        <v>765</v>
      </c>
      <c r="B642" s="18">
        <v>57</v>
      </c>
      <c r="C642" s="6" t="s">
        <v>38</v>
      </c>
      <c r="D642" s="6" t="s">
        <v>14</v>
      </c>
      <c r="E642" s="6" t="s">
        <v>29</v>
      </c>
      <c r="F642" s="7">
        <v>45386</v>
      </c>
      <c r="G642" s="6">
        <v>14</v>
      </c>
      <c r="H642" s="14">
        <v>1002.0675517241378</v>
      </c>
      <c r="I642" s="8" t="s">
        <v>26</v>
      </c>
      <c r="J642" s="8" t="str" cm="1">
        <f t="array" ref="J642">_xlfn.IFS(Table3[[#This Row],[Age (Years)]] &lt; 40, "Young", Table3[[#This Row],[Age (Years)]] &gt;= 40, "Middle", Table3[[#This Row],[Age (Years)]] &gt; 60, "Senior")</f>
        <v>Middle</v>
      </c>
      <c r="K642" s="8" t="str" cm="1">
        <f t="array" ref="K642">_xlfn.IFS(Table3[[#This Row],[Drug_Cost_GBP]] &gt; 1200, "High Cost", Table3[[#This Row],[Drug_Cost_GBP]] &lt; 1200, "Normal")</f>
        <v>Normal</v>
      </c>
      <c r="L642" s="8" t="str" cm="1">
        <f t="array" ref="L642">IFERROR(_xlfn.IFS(Table3[[#This Row],[Age (Years)]]  &gt; 75, "YES", Table3[[#This Row],[Age (Years)]] &lt; 75, "NO"), "UNKNOWN")</f>
        <v>NO</v>
      </c>
      <c r="M642" s="8" t="str">
        <f>IF(Table3[[#This Row],[Drug_Cost_GBP]] &gt; Analysis_Sheet!$B$21, "Above Average", "Within Average")</f>
        <v>Within Average</v>
      </c>
      <c r="N642" s="39" t="str">
        <f t="shared" si="9"/>
        <v>April 2024</v>
      </c>
    </row>
    <row r="643" spans="1:14" x14ac:dyDescent="0.3">
      <c r="A643" s="5" t="s">
        <v>767</v>
      </c>
      <c r="B643" s="18">
        <v>57</v>
      </c>
      <c r="C643" s="6" t="s">
        <v>899</v>
      </c>
      <c r="D643" s="6" t="s">
        <v>19</v>
      </c>
      <c r="E643" s="6" t="s">
        <v>23</v>
      </c>
      <c r="F643" s="7">
        <v>45440</v>
      </c>
      <c r="G643" s="6">
        <v>12</v>
      </c>
      <c r="H643" s="14">
        <v>1002.0675517241378</v>
      </c>
      <c r="I643" s="8" t="s">
        <v>16</v>
      </c>
      <c r="J643" s="4" t="str" cm="1">
        <f t="array" ref="J643">_xlfn.IFS(Table3[[#This Row],[Age (Years)]] &lt; 40, "Young", Table3[[#This Row],[Age (Years)]] &gt;= 40, "Middle", Table3[[#This Row],[Age (Years)]] &gt; 60, "Senior")</f>
        <v>Middle</v>
      </c>
      <c r="K643" s="4" t="str" cm="1">
        <f t="array" ref="K643">_xlfn.IFS(Table3[[#This Row],[Drug_Cost_GBP]] &gt; 1200, "High Cost", Table3[[#This Row],[Drug_Cost_GBP]] &lt; 1200, "Normal")</f>
        <v>Normal</v>
      </c>
      <c r="L643" s="4" t="str" cm="1">
        <f t="array" ref="L643">IFERROR(_xlfn.IFS(Table3[[#This Row],[Age (Years)]]  &gt; 75, "YES", Table3[[#This Row],[Age (Years)]] &lt; 75, "NO"), "UNKNOWN")</f>
        <v>NO</v>
      </c>
      <c r="M643" s="4" t="str">
        <f>IF(Table3[[#This Row],[Drug_Cost_GBP]] &gt; Analysis_Sheet!$B$21, "Above Average", "Within Average")</f>
        <v>Within Average</v>
      </c>
      <c r="N643" s="39" t="str">
        <f t="shared" ref="N643:N706" si="10">IF(ISNUMBER(F643),TEXT(F643,"MMMM YYYY"),"Unknown")</f>
        <v>May 2024</v>
      </c>
    </row>
    <row r="644" spans="1:14" x14ac:dyDescent="0.3">
      <c r="A644" s="1" t="s">
        <v>768</v>
      </c>
      <c r="B644" s="17">
        <v>57</v>
      </c>
      <c r="C644" s="2" t="s">
        <v>900</v>
      </c>
      <c r="D644" s="2" t="s">
        <v>10</v>
      </c>
      <c r="E644" s="2" t="s">
        <v>29</v>
      </c>
      <c r="F644" s="3">
        <v>45317</v>
      </c>
      <c r="G644" s="2">
        <v>12</v>
      </c>
      <c r="H644" s="13">
        <v>1002.0675517241378</v>
      </c>
      <c r="I644" s="4" t="s">
        <v>900</v>
      </c>
      <c r="J644" s="8" t="str" cm="1">
        <f t="array" ref="J644">_xlfn.IFS(Table3[[#This Row],[Age (Years)]] &lt; 40, "Young", Table3[[#This Row],[Age (Years)]] &gt;= 40, "Middle", Table3[[#This Row],[Age (Years)]] &gt; 60, "Senior")</f>
        <v>Middle</v>
      </c>
      <c r="K644" s="8" t="str" cm="1">
        <f t="array" ref="K644">_xlfn.IFS(Table3[[#This Row],[Drug_Cost_GBP]] &gt; 1200, "High Cost", Table3[[#This Row],[Drug_Cost_GBP]] &lt; 1200, "Normal")</f>
        <v>Normal</v>
      </c>
      <c r="L644" s="8" t="str" cm="1">
        <f t="array" ref="L644">IFERROR(_xlfn.IFS(Table3[[#This Row],[Age (Years)]]  &gt; 75, "YES", Table3[[#This Row],[Age (Years)]] &lt; 75, "NO"), "UNKNOWN")</f>
        <v>NO</v>
      </c>
      <c r="M644" s="8" t="str">
        <f>IF(Table3[[#This Row],[Drug_Cost_GBP]] &gt; Analysis_Sheet!$B$21, "Above Average", "Within Average")</f>
        <v>Within Average</v>
      </c>
      <c r="N644" s="39" t="str">
        <f t="shared" si="10"/>
        <v>January 2024</v>
      </c>
    </row>
    <row r="645" spans="1:14" x14ac:dyDescent="0.3">
      <c r="A645" s="5" t="s">
        <v>771</v>
      </c>
      <c r="B645" s="18">
        <v>57</v>
      </c>
      <c r="C645" s="6" t="s">
        <v>899</v>
      </c>
      <c r="D645" s="6" t="s">
        <v>900</v>
      </c>
      <c r="E645" s="6" t="s">
        <v>43</v>
      </c>
      <c r="F645" s="7">
        <v>45517</v>
      </c>
      <c r="G645" s="6">
        <v>12</v>
      </c>
      <c r="H645" s="14">
        <v>1002.0675517241378</v>
      </c>
      <c r="I645" s="8" t="s">
        <v>900</v>
      </c>
      <c r="J645" s="4" t="str" cm="1">
        <f t="array" ref="J645">_xlfn.IFS(Table3[[#This Row],[Age (Years)]] &lt; 40, "Young", Table3[[#This Row],[Age (Years)]] &gt;= 40, "Middle", Table3[[#This Row],[Age (Years)]] &gt; 60, "Senior")</f>
        <v>Middle</v>
      </c>
      <c r="K645" s="4" t="str" cm="1">
        <f t="array" ref="K645">_xlfn.IFS(Table3[[#This Row],[Drug_Cost_GBP]] &gt; 1200, "High Cost", Table3[[#This Row],[Drug_Cost_GBP]] &lt; 1200, "Normal")</f>
        <v>Normal</v>
      </c>
      <c r="L645" s="4" t="str" cm="1">
        <f t="array" ref="L645">IFERROR(_xlfn.IFS(Table3[[#This Row],[Age (Years)]]  &gt; 75, "YES", Table3[[#This Row],[Age (Years)]] &lt; 75, "NO"), "UNKNOWN")</f>
        <v>NO</v>
      </c>
      <c r="M645" s="4" t="str">
        <f>IF(Table3[[#This Row],[Drug_Cost_GBP]] &gt; Analysis_Sheet!$B$21, "Above Average", "Within Average")</f>
        <v>Within Average</v>
      </c>
      <c r="N645" s="39" t="str">
        <f t="shared" si="10"/>
        <v>August 2024</v>
      </c>
    </row>
    <row r="646" spans="1:14" x14ac:dyDescent="0.3">
      <c r="A646" s="1" t="s">
        <v>772</v>
      </c>
      <c r="B646" s="17">
        <v>57</v>
      </c>
      <c r="C646" s="2" t="s">
        <v>899</v>
      </c>
      <c r="D646" s="2" t="s">
        <v>898</v>
      </c>
      <c r="E646" s="2" t="s">
        <v>43</v>
      </c>
      <c r="F646" s="3">
        <v>45345</v>
      </c>
      <c r="G646" s="2">
        <v>12</v>
      </c>
      <c r="H646" s="13">
        <v>1002.0675517241378</v>
      </c>
      <c r="I646" s="4" t="s">
        <v>26</v>
      </c>
      <c r="J646" s="8" t="str" cm="1">
        <f t="array" ref="J646">_xlfn.IFS(Table3[[#This Row],[Age (Years)]] &lt; 40, "Young", Table3[[#This Row],[Age (Years)]] &gt;= 40, "Middle", Table3[[#This Row],[Age (Years)]] &gt; 60, "Senior")</f>
        <v>Middle</v>
      </c>
      <c r="K646" s="8" t="str" cm="1">
        <f t="array" ref="K646">_xlfn.IFS(Table3[[#This Row],[Drug_Cost_GBP]] &gt; 1200, "High Cost", Table3[[#This Row],[Drug_Cost_GBP]] &lt; 1200, "Normal")</f>
        <v>Normal</v>
      </c>
      <c r="L646" s="8" t="str" cm="1">
        <f t="array" ref="L646">IFERROR(_xlfn.IFS(Table3[[#This Row],[Age (Years)]]  &gt; 75, "YES", Table3[[#This Row],[Age (Years)]] &lt; 75, "NO"), "UNKNOWN")</f>
        <v>NO</v>
      </c>
      <c r="M646" s="8" t="str">
        <f>IF(Table3[[#This Row],[Drug_Cost_GBP]] &gt; Analysis_Sheet!$B$21, "Above Average", "Within Average")</f>
        <v>Within Average</v>
      </c>
      <c r="N646" s="39" t="str">
        <f t="shared" si="10"/>
        <v>February 2024</v>
      </c>
    </row>
    <row r="647" spans="1:14" x14ac:dyDescent="0.3">
      <c r="A647" s="5" t="s">
        <v>775</v>
      </c>
      <c r="B647" s="18">
        <v>57</v>
      </c>
      <c r="C647" s="6" t="s">
        <v>900</v>
      </c>
      <c r="D647" s="6" t="s">
        <v>898</v>
      </c>
      <c r="E647" s="6" t="s">
        <v>43</v>
      </c>
      <c r="F647" s="7">
        <v>45544</v>
      </c>
      <c r="G647" s="6">
        <v>12</v>
      </c>
      <c r="H647" s="14">
        <v>1002.0675517241378</v>
      </c>
      <c r="I647" s="8" t="s">
        <v>12</v>
      </c>
      <c r="J647" s="8" t="str" cm="1">
        <f t="array" ref="J647">_xlfn.IFS(Table3[[#This Row],[Age (Years)]] &lt; 40, "Young", Table3[[#This Row],[Age (Years)]] &gt;= 40, "Middle", Table3[[#This Row],[Age (Years)]] &gt; 60, "Senior")</f>
        <v>Middle</v>
      </c>
      <c r="K647" s="8" t="str" cm="1">
        <f t="array" ref="K647">_xlfn.IFS(Table3[[#This Row],[Drug_Cost_GBP]] &gt; 1200, "High Cost", Table3[[#This Row],[Drug_Cost_GBP]] &lt; 1200, "Normal")</f>
        <v>Normal</v>
      </c>
      <c r="L647" s="8" t="str" cm="1">
        <f t="array" ref="L647">IFERROR(_xlfn.IFS(Table3[[#This Row],[Age (Years)]]  &gt; 75, "YES", Table3[[#This Row],[Age (Years)]] &lt; 75, "NO"), "UNKNOWN")</f>
        <v>NO</v>
      </c>
      <c r="M647" s="8" t="str">
        <f>IF(Table3[[#This Row],[Drug_Cost_GBP]] &gt; Analysis_Sheet!$B$21, "Above Average", "Within Average")</f>
        <v>Within Average</v>
      </c>
      <c r="N647" s="39" t="str">
        <f t="shared" si="10"/>
        <v>September 2024</v>
      </c>
    </row>
    <row r="648" spans="1:14" x14ac:dyDescent="0.3">
      <c r="A648" s="5" t="s">
        <v>777</v>
      </c>
      <c r="B648" s="18">
        <v>57</v>
      </c>
      <c r="C648" s="6" t="s">
        <v>899</v>
      </c>
      <c r="D648" s="6" t="s">
        <v>51</v>
      </c>
      <c r="E648" s="6" t="s">
        <v>57</v>
      </c>
      <c r="F648" s="7">
        <v>45415</v>
      </c>
      <c r="G648" s="6">
        <v>12</v>
      </c>
      <c r="H648" s="14">
        <v>1002.0675517241378</v>
      </c>
      <c r="I648" s="8" t="s">
        <v>900</v>
      </c>
      <c r="J648" s="8" t="str" cm="1">
        <f t="array" ref="J648">_xlfn.IFS(Table3[[#This Row],[Age (Years)]] &lt; 40, "Young", Table3[[#This Row],[Age (Years)]] &gt;= 40, "Middle", Table3[[#This Row],[Age (Years)]] &gt; 60, "Senior")</f>
        <v>Middle</v>
      </c>
      <c r="K648" s="8" t="str" cm="1">
        <f t="array" ref="K648">_xlfn.IFS(Table3[[#This Row],[Drug_Cost_GBP]] &gt; 1200, "High Cost", Table3[[#This Row],[Drug_Cost_GBP]] &lt; 1200, "Normal")</f>
        <v>Normal</v>
      </c>
      <c r="L648" s="8" t="str" cm="1">
        <f t="array" ref="L648">IFERROR(_xlfn.IFS(Table3[[#This Row],[Age (Years)]]  &gt; 75, "YES", Table3[[#This Row],[Age (Years)]] &lt; 75, "NO"), "UNKNOWN")</f>
        <v>NO</v>
      </c>
      <c r="M648" s="8" t="str">
        <f>IF(Table3[[#This Row],[Drug_Cost_GBP]] &gt; Analysis_Sheet!$B$21, "Above Average", "Within Average")</f>
        <v>Within Average</v>
      </c>
      <c r="N648" s="39" t="str">
        <f t="shared" si="10"/>
        <v>May 2024</v>
      </c>
    </row>
    <row r="649" spans="1:14" x14ac:dyDescent="0.3">
      <c r="A649" s="5" t="s">
        <v>779</v>
      </c>
      <c r="B649" s="18">
        <v>57</v>
      </c>
      <c r="C649" s="6" t="s">
        <v>900</v>
      </c>
      <c r="D649" s="6" t="s">
        <v>48</v>
      </c>
      <c r="E649" s="6" t="s">
        <v>11</v>
      </c>
      <c r="F649" s="7">
        <v>45377</v>
      </c>
      <c r="G649" s="6">
        <v>14</v>
      </c>
      <c r="H649" s="14">
        <v>351.34</v>
      </c>
      <c r="I649" s="8" t="s">
        <v>16</v>
      </c>
      <c r="J649" s="8" t="str" cm="1">
        <f t="array" ref="J649">_xlfn.IFS(Table3[[#This Row],[Age (Years)]] &lt; 40, "Young", Table3[[#This Row],[Age (Years)]] &gt;= 40, "Middle", Table3[[#This Row],[Age (Years)]] &gt; 60, "Senior")</f>
        <v>Middle</v>
      </c>
      <c r="K649" s="8" t="str" cm="1">
        <f t="array" ref="K649">_xlfn.IFS(Table3[[#This Row],[Drug_Cost_GBP]] &gt; 1200, "High Cost", Table3[[#This Row],[Drug_Cost_GBP]] &lt; 1200, "Normal")</f>
        <v>Normal</v>
      </c>
      <c r="L649" s="8" t="str" cm="1">
        <f t="array" ref="L649">IFERROR(_xlfn.IFS(Table3[[#This Row],[Age (Years)]]  &gt; 75, "YES", Table3[[#This Row],[Age (Years)]] &lt; 75, "NO"), "UNKNOWN")</f>
        <v>NO</v>
      </c>
      <c r="M649" s="8" t="str">
        <f>IF(Table3[[#This Row],[Drug_Cost_GBP]] &gt; Analysis_Sheet!$B$21, "Above Average", "Within Average")</f>
        <v>Within Average</v>
      </c>
      <c r="N649" s="39" t="str">
        <f t="shared" si="10"/>
        <v>March 2024</v>
      </c>
    </row>
    <row r="650" spans="1:14" x14ac:dyDescent="0.3">
      <c r="A650" s="5" t="s">
        <v>781</v>
      </c>
      <c r="B650" s="18">
        <v>57</v>
      </c>
      <c r="C650" s="6" t="s">
        <v>899</v>
      </c>
      <c r="D650" s="6" t="s">
        <v>25</v>
      </c>
      <c r="E650" s="6" t="s">
        <v>57</v>
      </c>
      <c r="F650" s="7">
        <v>45403</v>
      </c>
      <c r="G650" s="6">
        <v>12</v>
      </c>
      <c r="H650" s="14">
        <v>1002.0675517241378</v>
      </c>
      <c r="I650" s="8" t="s">
        <v>12</v>
      </c>
      <c r="J650" s="4" t="str" cm="1">
        <f t="array" ref="J650">_xlfn.IFS(Table3[[#This Row],[Age (Years)]] &lt; 40, "Young", Table3[[#This Row],[Age (Years)]] &gt;= 40, "Middle", Table3[[#This Row],[Age (Years)]] &gt; 60, "Senior")</f>
        <v>Middle</v>
      </c>
      <c r="K650" s="4" t="str" cm="1">
        <f t="array" ref="K650">_xlfn.IFS(Table3[[#This Row],[Drug_Cost_GBP]] &gt; 1200, "High Cost", Table3[[#This Row],[Drug_Cost_GBP]] &lt; 1200, "Normal")</f>
        <v>Normal</v>
      </c>
      <c r="L650" s="4" t="str" cm="1">
        <f t="array" ref="L650">IFERROR(_xlfn.IFS(Table3[[#This Row],[Age (Years)]]  &gt; 75, "YES", Table3[[#This Row],[Age (Years)]] &lt; 75, "NO"), "UNKNOWN")</f>
        <v>NO</v>
      </c>
      <c r="M650" s="4" t="str">
        <f>IF(Table3[[#This Row],[Drug_Cost_GBP]] &gt; Analysis_Sheet!$B$21, "Above Average", "Within Average")</f>
        <v>Within Average</v>
      </c>
      <c r="N650" s="39" t="str">
        <f t="shared" si="10"/>
        <v>April 2024</v>
      </c>
    </row>
    <row r="651" spans="1:14" x14ac:dyDescent="0.3">
      <c r="A651" s="1" t="s">
        <v>782</v>
      </c>
      <c r="B651" s="17">
        <v>57</v>
      </c>
      <c r="C651" s="2" t="s">
        <v>38</v>
      </c>
      <c r="D651" s="2" t="s">
        <v>898</v>
      </c>
      <c r="E651" s="2" t="s">
        <v>29</v>
      </c>
      <c r="F651" s="3">
        <v>45380</v>
      </c>
      <c r="G651" s="2">
        <v>12</v>
      </c>
      <c r="H651" s="13">
        <v>1002.0675517241378</v>
      </c>
      <c r="I651" s="4" t="s">
        <v>12</v>
      </c>
      <c r="J651" s="4" t="str" cm="1">
        <f t="array" ref="J651">_xlfn.IFS(Table3[[#This Row],[Age (Years)]] &lt; 40, "Young", Table3[[#This Row],[Age (Years)]] &gt;= 40, "Middle", Table3[[#This Row],[Age (Years)]] &gt; 60, "Senior")</f>
        <v>Middle</v>
      </c>
      <c r="K651" s="4" t="str" cm="1">
        <f t="array" ref="K651">_xlfn.IFS(Table3[[#This Row],[Drug_Cost_GBP]] &gt; 1200, "High Cost", Table3[[#This Row],[Drug_Cost_GBP]] &lt; 1200, "Normal")</f>
        <v>Normal</v>
      </c>
      <c r="L651" s="4" t="str" cm="1">
        <f t="array" ref="L651">IFERROR(_xlfn.IFS(Table3[[#This Row],[Age (Years)]]  &gt; 75, "YES", Table3[[#This Row],[Age (Years)]] &lt; 75, "NO"), "UNKNOWN")</f>
        <v>NO</v>
      </c>
      <c r="M651" s="4" t="str">
        <f>IF(Table3[[#This Row],[Drug_Cost_GBP]] &gt; Analysis_Sheet!$B$21, "Above Average", "Within Average")</f>
        <v>Within Average</v>
      </c>
      <c r="N651" s="39" t="str">
        <f t="shared" si="10"/>
        <v>March 2024</v>
      </c>
    </row>
    <row r="652" spans="1:14" x14ac:dyDescent="0.3">
      <c r="A652" s="1" t="s">
        <v>786</v>
      </c>
      <c r="B652" s="17">
        <v>57</v>
      </c>
      <c r="C652" s="2" t="s">
        <v>899</v>
      </c>
      <c r="D652" s="2" t="s">
        <v>14</v>
      </c>
      <c r="E652" s="2" t="s">
        <v>29</v>
      </c>
      <c r="F652" s="3" t="s">
        <v>900</v>
      </c>
      <c r="G652" s="2">
        <v>11</v>
      </c>
      <c r="H652" s="13">
        <v>1002.0675517241378</v>
      </c>
      <c r="I652" s="4" t="s">
        <v>900</v>
      </c>
      <c r="J652" s="8" t="str" cm="1">
        <f t="array" ref="J652">_xlfn.IFS(Table3[[#This Row],[Age (Years)]] &lt; 40, "Young", Table3[[#This Row],[Age (Years)]] &gt;= 40, "Middle", Table3[[#This Row],[Age (Years)]] &gt; 60, "Senior")</f>
        <v>Middle</v>
      </c>
      <c r="K652" s="8" t="str" cm="1">
        <f t="array" ref="K652">_xlfn.IFS(Table3[[#This Row],[Drug_Cost_GBP]] &gt; 1200, "High Cost", Table3[[#This Row],[Drug_Cost_GBP]] &lt; 1200, "Normal")</f>
        <v>Normal</v>
      </c>
      <c r="L652" s="8" t="str" cm="1">
        <f t="array" ref="L652">IFERROR(_xlfn.IFS(Table3[[#This Row],[Age (Years)]]  &gt; 75, "YES", Table3[[#This Row],[Age (Years)]] &lt; 75, "NO"), "UNKNOWN")</f>
        <v>NO</v>
      </c>
      <c r="M652" s="8" t="str">
        <f>IF(Table3[[#This Row],[Drug_Cost_GBP]] &gt; Analysis_Sheet!$B$21, "Above Average", "Within Average")</f>
        <v>Within Average</v>
      </c>
      <c r="N652" s="39" t="str">
        <f t="shared" si="10"/>
        <v>Unknown</v>
      </c>
    </row>
    <row r="653" spans="1:14" x14ac:dyDescent="0.3">
      <c r="A653" s="5" t="s">
        <v>787</v>
      </c>
      <c r="B653" s="18">
        <v>57</v>
      </c>
      <c r="C653" s="6" t="s">
        <v>900</v>
      </c>
      <c r="D653" s="6" t="s">
        <v>25</v>
      </c>
      <c r="E653" s="6" t="s">
        <v>23</v>
      </c>
      <c r="F653" s="7">
        <v>45313</v>
      </c>
      <c r="G653" s="6">
        <v>12</v>
      </c>
      <c r="H653" s="14">
        <v>1002.0675517241378</v>
      </c>
      <c r="I653" s="8" t="s">
        <v>12</v>
      </c>
      <c r="J653" s="4" t="str" cm="1">
        <f t="array" ref="J653">_xlfn.IFS(Table3[[#This Row],[Age (Years)]] &lt; 40, "Young", Table3[[#This Row],[Age (Years)]] &gt;= 40, "Middle", Table3[[#This Row],[Age (Years)]] &gt; 60, "Senior")</f>
        <v>Middle</v>
      </c>
      <c r="K653" s="4" t="str" cm="1">
        <f t="array" ref="K653">_xlfn.IFS(Table3[[#This Row],[Drug_Cost_GBP]] &gt; 1200, "High Cost", Table3[[#This Row],[Drug_Cost_GBP]] &lt; 1200, "Normal")</f>
        <v>Normal</v>
      </c>
      <c r="L653" s="4" t="str" cm="1">
        <f t="array" ref="L653">IFERROR(_xlfn.IFS(Table3[[#This Row],[Age (Years)]]  &gt; 75, "YES", Table3[[#This Row],[Age (Years)]] &lt; 75, "NO"), "UNKNOWN")</f>
        <v>NO</v>
      </c>
      <c r="M653" s="4" t="str">
        <f>IF(Table3[[#This Row],[Drug_Cost_GBP]] &gt; Analysis_Sheet!$B$21, "Above Average", "Within Average")</f>
        <v>Within Average</v>
      </c>
      <c r="N653" s="39" t="str">
        <f t="shared" si="10"/>
        <v>January 2024</v>
      </c>
    </row>
    <row r="654" spans="1:14" x14ac:dyDescent="0.3">
      <c r="A654" s="1" t="s">
        <v>788</v>
      </c>
      <c r="B654" s="17">
        <v>57</v>
      </c>
      <c r="C654" s="2" t="s">
        <v>38</v>
      </c>
      <c r="D654" s="2" t="s">
        <v>900</v>
      </c>
      <c r="E654" s="2" t="s">
        <v>29</v>
      </c>
      <c r="F654" s="3">
        <v>45512</v>
      </c>
      <c r="G654" s="2">
        <v>12</v>
      </c>
      <c r="H654" s="13">
        <v>399.13</v>
      </c>
      <c r="I654" s="4" t="s">
        <v>900</v>
      </c>
      <c r="J654" s="4" t="str" cm="1">
        <f t="array" ref="J654">_xlfn.IFS(Table3[[#This Row],[Age (Years)]] &lt; 40, "Young", Table3[[#This Row],[Age (Years)]] &gt;= 40, "Middle", Table3[[#This Row],[Age (Years)]] &gt; 60, "Senior")</f>
        <v>Middle</v>
      </c>
      <c r="K654" s="4" t="str" cm="1">
        <f t="array" ref="K654">_xlfn.IFS(Table3[[#This Row],[Drug_Cost_GBP]] &gt; 1200, "High Cost", Table3[[#This Row],[Drug_Cost_GBP]] &lt; 1200, "Normal")</f>
        <v>Normal</v>
      </c>
      <c r="L654" s="4" t="str" cm="1">
        <f t="array" ref="L654">IFERROR(_xlfn.IFS(Table3[[#This Row],[Age (Years)]]  &gt; 75, "YES", Table3[[#This Row],[Age (Years)]] &lt; 75, "NO"), "UNKNOWN")</f>
        <v>NO</v>
      </c>
      <c r="M654" s="4" t="str">
        <f>IF(Table3[[#This Row],[Drug_Cost_GBP]] &gt; Analysis_Sheet!$B$21, "Above Average", "Within Average")</f>
        <v>Within Average</v>
      </c>
      <c r="N654" s="39" t="str">
        <f t="shared" si="10"/>
        <v>August 2024</v>
      </c>
    </row>
    <row r="655" spans="1:14" x14ac:dyDescent="0.3">
      <c r="A655" s="1" t="s">
        <v>790</v>
      </c>
      <c r="B655" s="17">
        <v>57</v>
      </c>
      <c r="C655" s="2" t="s">
        <v>900</v>
      </c>
      <c r="D655" s="2" t="s">
        <v>14</v>
      </c>
      <c r="E655" s="2" t="s">
        <v>29</v>
      </c>
      <c r="F655" s="3">
        <v>45637</v>
      </c>
      <c r="G655" s="2">
        <v>12</v>
      </c>
      <c r="H655" s="13">
        <v>1195.4000000000001</v>
      </c>
      <c r="I655" s="4" t="s">
        <v>16</v>
      </c>
      <c r="J655" s="8" t="str" cm="1">
        <f t="array" ref="J655">_xlfn.IFS(Table3[[#This Row],[Age (Years)]] &lt; 40, "Young", Table3[[#This Row],[Age (Years)]] &gt;= 40, "Middle", Table3[[#This Row],[Age (Years)]] &gt; 60, "Senior")</f>
        <v>Middle</v>
      </c>
      <c r="K655" s="8" t="str" cm="1">
        <f t="array" ref="K655">_xlfn.IFS(Table3[[#This Row],[Drug_Cost_GBP]] &gt; 1200, "High Cost", Table3[[#This Row],[Drug_Cost_GBP]] &lt; 1200, "Normal")</f>
        <v>Normal</v>
      </c>
      <c r="L655" s="8" t="str" cm="1">
        <f t="array" ref="L655">IFERROR(_xlfn.IFS(Table3[[#This Row],[Age (Years)]]  &gt; 75, "YES", Table3[[#This Row],[Age (Years)]] &lt; 75, "NO"), "UNKNOWN")</f>
        <v>NO</v>
      </c>
      <c r="M655" s="8" t="str">
        <f>IF(Table3[[#This Row],[Drug_Cost_GBP]] &gt; Analysis_Sheet!$B$21, "Above Average", "Within Average")</f>
        <v>Above Average</v>
      </c>
      <c r="N655" s="39" t="str">
        <f t="shared" si="10"/>
        <v>December 2024</v>
      </c>
    </row>
    <row r="656" spans="1:14" x14ac:dyDescent="0.3">
      <c r="A656" s="5" t="s">
        <v>791</v>
      </c>
      <c r="B656" s="18">
        <v>57</v>
      </c>
      <c r="C656" s="6" t="s">
        <v>900</v>
      </c>
      <c r="D656" s="6" t="s">
        <v>25</v>
      </c>
      <c r="E656" s="6" t="s">
        <v>23</v>
      </c>
      <c r="F656" s="7">
        <v>45292</v>
      </c>
      <c r="G656" s="6">
        <v>11</v>
      </c>
      <c r="H656" s="14">
        <v>1002.0675517241378</v>
      </c>
      <c r="I656" s="8" t="s">
        <v>21</v>
      </c>
      <c r="J656" s="8" t="str" cm="1">
        <f t="array" ref="J656">_xlfn.IFS(Table3[[#This Row],[Age (Years)]] &lt; 40, "Young", Table3[[#This Row],[Age (Years)]] &gt;= 40, "Middle", Table3[[#This Row],[Age (Years)]] &gt; 60, "Senior")</f>
        <v>Middle</v>
      </c>
      <c r="K656" s="8" t="str" cm="1">
        <f t="array" ref="K656">_xlfn.IFS(Table3[[#This Row],[Drug_Cost_GBP]] &gt; 1200, "High Cost", Table3[[#This Row],[Drug_Cost_GBP]] &lt; 1200, "Normal")</f>
        <v>Normal</v>
      </c>
      <c r="L656" s="8" t="str" cm="1">
        <f t="array" ref="L656">IFERROR(_xlfn.IFS(Table3[[#This Row],[Age (Years)]]  &gt; 75, "YES", Table3[[#This Row],[Age (Years)]] &lt; 75, "NO"), "UNKNOWN")</f>
        <v>NO</v>
      </c>
      <c r="M656" s="8" t="str">
        <f>IF(Table3[[#This Row],[Drug_Cost_GBP]] &gt; Analysis_Sheet!$B$21, "Above Average", "Within Average")</f>
        <v>Within Average</v>
      </c>
      <c r="N656" s="39" t="str">
        <f t="shared" si="10"/>
        <v>January 2024</v>
      </c>
    </row>
    <row r="657" spans="1:14" x14ac:dyDescent="0.3">
      <c r="A657" s="5" t="s">
        <v>793</v>
      </c>
      <c r="B657" s="18">
        <v>57</v>
      </c>
      <c r="C657" s="6" t="s">
        <v>38</v>
      </c>
      <c r="D657" s="6" t="s">
        <v>900</v>
      </c>
      <c r="E657" s="6" t="s">
        <v>34</v>
      </c>
      <c r="F657" s="7">
        <v>45617</v>
      </c>
      <c r="G657" s="6">
        <v>19</v>
      </c>
      <c r="H657" s="14">
        <v>708.27</v>
      </c>
      <c r="I657" s="8" t="s">
        <v>12</v>
      </c>
      <c r="J657" s="4" t="str" cm="1">
        <f t="array" ref="J657">_xlfn.IFS(Table3[[#This Row],[Age (Years)]] &lt; 40, "Young", Table3[[#This Row],[Age (Years)]] &gt;= 40, "Middle", Table3[[#This Row],[Age (Years)]] &gt; 60, "Senior")</f>
        <v>Middle</v>
      </c>
      <c r="K657" s="4" t="str" cm="1">
        <f t="array" ref="K657">_xlfn.IFS(Table3[[#This Row],[Drug_Cost_GBP]] &gt; 1200, "High Cost", Table3[[#This Row],[Drug_Cost_GBP]] &lt; 1200, "Normal")</f>
        <v>Normal</v>
      </c>
      <c r="L657" s="4" t="str" cm="1">
        <f t="array" ref="L657">IFERROR(_xlfn.IFS(Table3[[#This Row],[Age (Years)]]  &gt; 75, "YES", Table3[[#This Row],[Age (Years)]] &lt; 75, "NO"), "UNKNOWN")</f>
        <v>NO</v>
      </c>
      <c r="M657" s="4" t="str">
        <f>IF(Table3[[#This Row],[Drug_Cost_GBP]] &gt; Analysis_Sheet!$B$21, "Above Average", "Within Average")</f>
        <v>Within Average</v>
      </c>
      <c r="N657" s="39" t="str">
        <f t="shared" si="10"/>
        <v>November 2024</v>
      </c>
    </row>
    <row r="658" spans="1:14" x14ac:dyDescent="0.3">
      <c r="A658" s="1" t="s">
        <v>794</v>
      </c>
      <c r="B658" s="17">
        <v>57</v>
      </c>
      <c r="C658" s="2" t="s">
        <v>899</v>
      </c>
      <c r="D658" s="2" t="s">
        <v>900</v>
      </c>
      <c r="E658" s="2" t="s">
        <v>43</v>
      </c>
      <c r="F658" s="3">
        <v>45390</v>
      </c>
      <c r="G658" s="2">
        <v>12</v>
      </c>
      <c r="H658" s="13">
        <v>1002.0675517241378</v>
      </c>
      <c r="I658" s="4" t="s">
        <v>21</v>
      </c>
      <c r="J658" s="8" t="str" cm="1">
        <f t="array" ref="J658">_xlfn.IFS(Table3[[#This Row],[Age (Years)]] &lt; 40, "Young", Table3[[#This Row],[Age (Years)]] &gt;= 40, "Middle", Table3[[#This Row],[Age (Years)]] &gt; 60, "Senior")</f>
        <v>Middle</v>
      </c>
      <c r="K658" s="8" t="str" cm="1">
        <f t="array" ref="K658">_xlfn.IFS(Table3[[#This Row],[Drug_Cost_GBP]] &gt; 1200, "High Cost", Table3[[#This Row],[Drug_Cost_GBP]] &lt; 1200, "Normal")</f>
        <v>Normal</v>
      </c>
      <c r="L658" s="8" t="str" cm="1">
        <f t="array" ref="L658">IFERROR(_xlfn.IFS(Table3[[#This Row],[Age (Years)]]  &gt; 75, "YES", Table3[[#This Row],[Age (Years)]] &lt; 75, "NO"), "UNKNOWN")</f>
        <v>NO</v>
      </c>
      <c r="M658" s="8" t="str">
        <f>IF(Table3[[#This Row],[Drug_Cost_GBP]] &gt; Analysis_Sheet!$B$21, "Above Average", "Within Average")</f>
        <v>Within Average</v>
      </c>
      <c r="N658" s="39" t="str">
        <f t="shared" si="10"/>
        <v>April 2024</v>
      </c>
    </row>
    <row r="659" spans="1:14" x14ac:dyDescent="0.3">
      <c r="A659" s="5" t="s">
        <v>799</v>
      </c>
      <c r="B659" s="18">
        <v>57</v>
      </c>
      <c r="C659" s="6" t="s">
        <v>38</v>
      </c>
      <c r="D659" s="6" t="s">
        <v>25</v>
      </c>
      <c r="E659" s="6" t="s">
        <v>23</v>
      </c>
      <c r="F659" s="7">
        <v>45630</v>
      </c>
      <c r="G659" s="6">
        <v>12</v>
      </c>
      <c r="H659" s="14">
        <v>1002.0675517241378</v>
      </c>
      <c r="I659" s="8" t="s">
        <v>16</v>
      </c>
      <c r="J659" s="4" t="str" cm="1">
        <f t="array" ref="J659">_xlfn.IFS(Table3[[#This Row],[Age (Years)]] &lt; 40, "Young", Table3[[#This Row],[Age (Years)]] &gt;= 40, "Middle", Table3[[#This Row],[Age (Years)]] &gt; 60, "Senior")</f>
        <v>Middle</v>
      </c>
      <c r="K659" s="4" t="str" cm="1">
        <f t="array" ref="K659">_xlfn.IFS(Table3[[#This Row],[Drug_Cost_GBP]] &gt; 1200, "High Cost", Table3[[#This Row],[Drug_Cost_GBP]] &lt; 1200, "Normal")</f>
        <v>Normal</v>
      </c>
      <c r="L659" s="4" t="str" cm="1">
        <f t="array" ref="L659">IFERROR(_xlfn.IFS(Table3[[#This Row],[Age (Years)]]  &gt; 75, "YES", Table3[[#This Row],[Age (Years)]] &lt; 75, "NO"), "UNKNOWN")</f>
        <v>NO</v>
      </c>
      <c r="M659" s="4" t="str">
        <f>IF(Table3[[#This Row],[Drug_Cost_GBP]] &gt; Analysis_Sheet!$B$21, "Above Average", "Within Average")</f>
        <v>Within Average</v>
      </c>
      <c r="N659" s="39" t="str">
        <f t="shared" si="10"/>
        <v>December 2024</v>
      </c>
    </row>
    <row r="660" spans="1:14" x14ac:dyDescent="0.3">
      <c r="A660" s="1" t="s">
        <v>802</v>
      </c>
      <c r="B660" s="17">
        <v>57</v>
      </c>
      <c r="C660" s="2" t="s">
        <v>899</v>
      </c>
      <c r="D660" s="2" t="s">
        <v>14</v>
      </c>
      <c r="E660" s="2" t="s">
        <v>23</v>
      </c>
      <c r="F660" s="3" t="s">
        <v>900</v>
      </c>
      <c r="G660" s="2">
        <v>2</v>
      </c>
      <c r="H660" s="13">
        <v>1856.95</v>
      </c>
      <c r="I660" s="4" t="s">
        <v>21</v>
      </c>
      <c r="J660" s="4" t="str" cm="1">
        <f t="array" ref="J660">_xlfn.IFS(Table3[[#This Row],[Age (Years)]] &lt; 40, "Young", Table3[[#This Row],[Age (Years)]] &gt;= 40, "Middle", Table3[[#This Row],[Age (Years)]] &gt; 60, "Senior")</f>
        <v>Middle</v>
      </c>
      <c r="K660" s="4" t="str" cm="1">
        <f t="array" ref="K660">_xlfn.IFS(Table3[[#This Row],[Drug_Cost_GBP]] &gt; 1200, "High Cost", Table3[[#This Row],[Drug_Cost_GBP]] &lt; 1200, "Normal")</f>
        <v>High Cost</v>
      </c>
      <c r="L660" s="4" t="str" cm="1">
        <f t="array" ref="L660">IFERROR(_xlfn.IFS(Table3[[#This Row],[Age (Years)]]  &gt; 75, "YES", Table3[[#This Row],[Age (Years)]] &lt; 75, "NO"), "UNKNOWN")</f>
        <v>NO</v>
      </c>
      <c r="M660" s="4" t="str">
        <f>IF(Table3[[#This Row],[Drug_Cost_GBP]] &gt; Analysis_Sheet!$B$21, "Above Average", "Within Average")</f>
        <v>Above Average</v>
      </c>
      <c r="N660" s="39" t="str">
        <f t="shared" si="10"/>
        <v>Unknown</v>
      </c>
    </row>
    <row r="661" spans="1:14" x14ac:dyDescent="0.3">
      <c r="A661" s="1" t="s">
        <v>804</v>
      </c>
      <c r="B661" s="17">
        <v>57</v>
      </c>
      <c r="C661" s="2" t="s">
        <v>38</v>
      </c>
      <c r="D661" s="2" t="s">
        <v>14</v>
      </c>
      <c r="E661" s="2" t="s">
        <v>29</v>
      </c>
      <c r="F661" s="3">
        <v>45459</v>
      </c>
      <c r="G661" s="2">
        <v>4</v>
      </c>
      <c r="H661" s="13">
        <v>1002.0675517241378</v>
      </c>
      <c r="I661" s="4" t="s">
        <v>21</v>
      </c>
      <c r="J661" s="4" t="str" cm="1">
        <f t="array" ref="J661">_xlfn.IFS(Table3[[#This Row],[Age (Years)]] &lt; 40, "Young", Table3[[#This Row],[Age (Years)]] &gt;= 40, "Middle", Table3[[#This Row],[Age (Years)]] &gt; 60, "Senior")</f>
        <v>Middle</v>
      </c>
      <c r="K661" s="4" t="str" cm="1">
        <f t="array" ref="K661">_xlfn.IFS(Table3[[#This Row],[Drug_Cost_GBP]] &gt; 1200, "High Cost", Table3[[#This Row],[Drug_Cost_GBP]] &lt; 1200, "Normal")</f>
        <v>Normal</v>
      </c>
      <c r="L661" s="4" t="str" cm="1">
        <f t="array" ref="L661">IFERROR(_xlfn.IFS(Table3[[#This Row],[Age (Years)]]  &gt; 75, "YES", Table3[[#This Row],[Age (Years)]] &lt; 75, "NO"), "UNKNOWN")</f>
        <v>NO</v>
      </c>
      <c r="M661" s="4" t="str">
        <f>IF(Table3[[#This Row],[Drug_Cost_GBP]] &gt; Analysis_Sheet!$B$21, "Above Average", "Within Average")</f>
        <v>Within Average</v>
      </c>
      <c r="N661" s="39" t="str">
        <f t="shared" si="10"/>
        <v>June 2024</v>
      </c>
    </row>
    <row r="662" spans="1:14" x14ac:dyDescent="0.3">
      <c r="A662" s="1" t="s">
        <v>806</v>
      </c>
      <c r="B662" s="17">
        <v>57</v>
      </c>
      <c r="C662" s="2" t="s">
        <v>900</v>
      </c>
      <c r="D662" s="2" t="s">
        <v>25</v>
      </c>
      <c r="E662" s="2" t="s">
        <v>43</v>
      </c>
      <c r="F662" s="3">
        <v>45655</v>
      </c>
      <c r="G662" s="2">
        <v>2</v>
      </c>
      <c r="H662" s="13">
        <v>1002.0675517241378</v>
      </c>
      <c r="I662" s="4" t="s">
        <v>16</v>
      </c>
      <c r="J662" s="4" t="str" cm="1">
        <f t="array" ref="J662">_xlfn.IFS(Table3[[#This Row],[Age (Years)]] &lt; 40, "Young", Table3[[#This Row],[Age (Years)]] &gt;= 40, "Middle", Table3[[#This Row],[Age (Years)]] &gt; 60, "Senior")</f>
        <v>Middle</v>
      </c>
      <c r="K662" s="4" t="str" cm="1">
        <f t="array" ref="K662">_xlfn.IFS(Table3[[#This Row],[Drug_Cost_GBP]] &gt; 1200, "High Cost", Table3[[#This Row],[Drug_Cost_GBP]] &lt; 1200, "Normal")</f>
        <v>Normal</v>
      </c>
      <c r="L662" s="4" t="str" cm="1">
        <f t="array" ref="L662">IFERROR(_xlfn.IFS(Table3[[#This Row],[Age (Years)]]  &gt; 75, "YES", Table3[[#This Row],[Age (Years)]] &lt; 75, "NO"), "UNKNOWN")</f>
        <v>NO</v>
      </c>
      <c r="M662" s="4" t="str">
        <f>IF(Table3[[#This Row],[Drug_Cost_GBP]] &gt; Analysis_Sheet!$B$21, "Above Average", "Within Average")</f>
        <v>Within Average</v>
      </c>
      <c r="N662" s="39" t="str">
        <f t="shared" si="10"/>
        <v>December 2024</v>
      </c>
    </row>
    <row r="663" spans="1:14" x14ac:dyDescent="0.3">
      <c r="A663" s="1" t="s">
        <v>808</v>
      </c>
      <c r="B663" s="17">
        <v>57</v>
      </c>
      <c r="C663" s="2" t="s">
        <v>38</v>
      </c>
      <c r="D663" s="2" t="s">
        <v>19</v>
      </c>
      <c r="E663" s="2" t="s">
        <v>43</v>
      </c>
      <c r="F663" s="3">
        <v>45321</v>
      </c>
      <c r="G663" s="2">
        <v>14</v>
      </c>
      <c r="H663" s="13">
        <v>1002.0675517241378</v>
      </c>
      <c r="I663" s="4" t="s">
        <v>900</v>
      </c>
      <c r="J663" s="8" t="str" cm="1">
        <f t="array" ref="J663">_xlfn.IFS(Table3[[#This Row],[Age (Years)]] &lt; 40, "Young", Table3[[#This Row],[Age (Years)]] &gt;= 40, "Middle", Table3[[#This Row],[Age (Years)]] &gt; 60, "Senior")</f>
        <v>Middle</v>
      </c>
      <c r="K663" s="8" t="str" cm="1">
        <f t="array" ref="K663">_xlfn.IFS(Table3[[#This Row],[Drug_Cost_GBP]] &gt; 1200, "High Cost", Table3[[#This Row],[Drug_Cost_GBP]] &lt; 1200, "Normal")</f>
        <v>Normal</v>
      </c>
      <c r="L663" s="8" t="str" cm="1">
        <f t="array" ref="L663">IFERROR(_xlfn.IFS(Table3[[#This Row],[Age (Years)]]  &gt; 75, "YES", Table3[[#This Row],[Age (Years)]] &lt; 75, "NO"), "UNKNOWN")</f>
        <v>NO</v>
      </c>
      <c r="M663" s="8" t="str">
        <f>IF(Table3[[#This Row],[Drug_Cost_GBP]] &gt; Analysis_Sheet!$B$21, "Above Average", "Within Average")</f>
        <v>Within Average</v>
      </c>
      <c r="N663" s="39" t="str">
        <f t="shared" si="10"/>
        <v>January 2024</v>
      </c>
    </row>
    <row r="664" spans="1:14" x14ac:dyDescent="0.3">
      <c r="A664" s="5" t="s">
        <v>813</v>
      </c>
      <c r="B664" s="18">
        <v>57</v>
      </c>
      <c r="C664" s="6" t="s">
        <v>899</v>
      </c>
      <c r="D664" s="6" t="s">
        <v>14</v>
      </c>
      <c r="E664" s="6" t="s">
        <v>43</v>
      </c>
      <c r="F664" s="7">
        <v>45394</v>
      </c>
      <c r="G664" s="6">
        <v>16</v>
      </c>
      <c r="H664" s="14">
        <v>1002.0675517241378</v>
      </c>
      <c r="I664" s="8" t="s">
        <v>12</v>
      </c>
      <c r="J664" s="4" t="str" cm="1">
        <f t="array" ref="J664">_xlfn.IFS(Table3[[#This Row],[Age (Years)]] &lt; 40, "Young", Table3[[#This Row],[Age (Years)]] &gt;= 40, "Middle", Table3[[#This Row],[Age (Years)]] &gt; 60, "Senior")</f>
        <v>Middle</v>
      </c>
      <c r="K664" s="4" t="str" cm="1">
        <f t="array" ref="K664">_xlfn.IFS(Table3[[#This Row],[Drug_Cost_GBP]] &gt; 1200, "High Cost", Table3[[#This Row],[Drug_Cost_GBP]] &lt; 1200, "Normal")</f>
        <v>Normal</v>
      </c>
      <c r="L664" s="4" t="str" cm="1">
        <f t="array" ref="L664">IFERROR(_xlfn.IFS(Table3[[#This Row],[Age (Years)]]  &gt; 75, "YES", Table3[[#This Row],[Age (Years)]] &lt; 75, "NO"), "UNKNOWN")</f>
        <v>NO</v>
      </c>
      <c r="M664" s="4" t="str">
        <f>IF(Table3[[#This Row],[Drug_Cost_GBP]] &gt; Analysis_Sheet!$B$21, "Above Average", "Within Average")</f>
        <v>Within Average</v>
      </c>
      <c r="N664" s="39" t="str">
        <f t="shared" si="10"/>
        <v>April 2024</v>
      </c>
    </row>
    <row r="665" spans="1:14" x14ac:dyDescent="0.3">
      <c r="A665" s="1" t="s">
        <v>814</v>
      </c>
      <c r="B665" s="17">
        <v>57</v>
      </c>
      <c r="C665" s="2" t="s">
        <v>38</v>
      </c>
      <c r="D665" s="2" t="s">
        <v>14</v>
      </c>
      <c r="E665" s="2" t="s">
        <v>34</v>
      </c>
      <c r="F665" s="3">
        <v>45498</v>
      </c>
      <c r="G665" s="2">
        <v>12</v>
      </c>
      <c r="H665" s="13">
        <v>1002.0675517241378</v>
      </c>
      <c r="I665" s="4" t="s">
        <v>900</v>
      </c>
      <c r="J665" s="8" t="str" cm="1">
        <f t="array" ref="J665">_xlfn.IFS(Table3[[#This Row],[Age (Years)]] &lt; 40, "Young", Table3[[#This Row],[Age (Years)]] &gt;= 40, "Middle", Table3[[#This Row],[Age (Years)]] &gt; 60, "Senior")</f>
        <v>Middle</v>
      </c>
      <c r="K665" s="8" t="str" cm="1">
        <f t="array" ref="K665">_xlfn.IFS(Table3[[#This Row],[Drug_Cost_GBP]] &gt; 1200, "High Cost", Table3[[#This Row],[Drug_Cost_GBP]] &lt; 1200, "Normal")</f>
        <v>Normal</v>
      </c>
      <c r="L665" s="8" t="str" cm="1">
        <f t="array" ref="L665">IFERROR(_xlfn.IFS(Table3[[#This Row],[Age (Years)]]  &gt; 75, "YES", Table3[[#This Row],[Age (Years)]] &lt; 75, "NO"), "UNKNOWN")</f>
        <v>NO</v>
      </c>
      <c r="M665" s="8" t="str">
        <f>IF(Table3[[#This Row],[Drug_Cost_GBP]] &gt; Analysis_Sheet!$B$21, "Above Average", "Within Average")</f>
        <v>Within Average</v>
      </c>
      <c r="N665" s="39" t="str">
        <f t="shared" si="10"/>
        <v>July 2024</v>
      </c>
    </row>
    <row r="666" spans="1:14" x14ac:dyDescent="0.3">
      <c r="A666" s="5" t="s">
        <v>815</v>
      </c>
      <c r="B666" s="18">
        <v>57</v>
      </c>
      <c r="C666" s="6" t="s">
        <v>38</v>
      </c>
      <c r="D666" s="6" t="s">
        <v>898</v>
      </c>
      <c r="E666" s="6" t="s">
        <v>29</v>
      </c>
      <c r="F666" s="7">
        <v>45380</v>
      </c>
      <c r="G666" s="6">
        <v>12</v>
      </c>
      <c r="H666" s="14">
        <v>1002.0675517241378</v>
      </c>
      <c r="I666" s="8" t="s">
        <v>16</v>
      </c>
      <c r="J666" s="4" t="str" cm="1">
        <f t="array" ref="J666">_xlfn.IFS(Table3[[#This Row],[Age (Years)]] &lt; 40, "Young", Table3[[#This Row],[Age (Years)]] &gt;= 40, "Middle", Table3[[#This Row],[Age (Years)]] &gt; 60, "Senior")</f>
        <v>Middle</v>
      </c>
      <c r="K666" s="4" t="str" cm="1">
        <f t="array" ref="K666">_xlfn.IFS(Table3[[#This Row],[Drug_Cost_GBP]] &gt; 1200, "High Cost", Table3[[#This Row],[Drug_Cost_GBP]] &lt; 1200, "Normal")</f>
        <v>Normal</v>
      </c>
      <c r="L666" s="4" t="str" cm="1">
        <f t="array" ref="L666">IFERROR(_xlfn.IFS(Table3[[#This Row],[Age (Years)]]  &gt; 75, "YES", Table3[[#This Row],[Age (Years)]] &lt; 75, "NO"), "UNKNOWN")</f>
        <v>NO</v>
      </c>
      <c r="M666" s="4" t="str">
        <f>IF(Table3[[#This Row],[Drug_Cost_GBP]] &gt; Analysis_Sheet!$B$21, "Above Average", "Within Average")</f>
        <v>Within Average</v>
      </c>
      <c r="N666" s="39" t="str">
        <f t="shared" si="10"/>
        <v>March 2024</v>
      </c>
    </row>
    <row r="667" spans="1:14" x14ac:dyDescent="0.3">
      <c r="A667" s="1" t="s">
        <v>816</v>
      </c>
      <c r="B667" s="17">
        <v>57</v>
      </c>
      <c r="C667" s="2" t="s">
        <v>38</v>
      </c>
      <c r="D667" s="2" t="s">
        <v>10</v>
      </c>
      <c r="E667" s="2" t="s">
        <v>11</v>
      </c>
      <c r="F667" s="3">
        <v>45337</v>
      </c>
      <c r="G667" s="2">
        <v>12</v>
      </c>
      <c r="H667" s="13">
        <v>1002.0675517241378</v>
      </c>
      <c r="I667" s="4" t="s">
        <v>21</v>
      </c>
      <c r="J667" s="8" t="str" cm="1">
        <f t="array" ref="J667">_xlfn.IFS(Table3[[#This Row],[Age (Years)]] &lt; 40, "Young", Table3[[#This Row],[Age (Years)]] &gt;= 40, "Middle", Table3[[#This Row],[Age (Years)]] &gt; 60, "Senior")</f>
        <v>Middle</v>
      </c>
      <c r="K667" s="8" t="str" cm="1">
        <f t="array" ref="K667">_xlfn.IFS(Table3[[#This Row],[Drug_Cost_GBP]] &gt; 1200, "High Cost", Table3[[#This Row],[Drug_Cost_GBP]] &lt; 1200, "Normal")</f>
        <v>Normal</v>
      </c>
      <c r="L667" s="8" t="str" cm="1">
        <f t="array" ref="L667">IFERROR(_xlfn.IFS(Table3[[#This Row],[Age (Years)]]  &gt; 75, "YES", Table3[[#This Row],[Age (Years)]] &lt; 75, "NO"), "UNKNOWN")</f>
        <v>NO</v>
      </c>
      <c r="M667" s="8" t="str">
        <f>IF(Table3[[#This Row],[Drug_Cost_GBP]] &gt; Analysis_Sheet!$B$21, "Above Average", "Within Average")</f>
        <v>Within Average</v>
      </c>
      <c r="N667" s="39" t="str">
        <f t="shared" si="10"/>
        <v>February 2024</v>
      </c>
    </row>
    <row r="668" spans="1:14" x14ac:dyDescent="0.3">
      <c r="A668" s="5" t="s">
        <v>817</v>
      </c>
      <c r="B668" s="18">
        <v>57</v>
      </c>
      <c r="C668" s="6" t="s">
        <v>38</v>
      </c>
      <c r="D668" s="6" t="s">
        <v>10</v>
      </c>
      <c r="E668" s="6" t="s">
        <v>29</v>
      </c>
      <c r="F668" s="7">
        <v>45535</v>
      </c>
      <c r="G668" s="6">
        <v>12</v>
      </c>
      <c r="H668" s="14">
        <v>1002.0675517241378</v>
      </c>
      <c r="I668" s="8" t="s">
        <v>21</v>
      </c>
      <c r="J668" s="4" t="str" cm="1">
        <f t="array" ref="J668">_xlfn.IFS(Table3[[#This Row],[Age (Years)]] &lt; 40, "Young", Table3[[#This Row],[Age (Years)]] &gt;= 40, "Middle", Table3[[#This Row],[Age (Years)]] &gt; 60, "Senior")</f>
        <v>Middle</v>
      </c>
      <c r="K668" s="4" t="str" cm="1">
        <f t="array" ref="K668">_xlfn.IFS(Table3[[#This Row],[Drug_Cost_GBP]] &gt; 1200, "High Cost", Table3[[#This Row],[Drug_Cost_GBP]] &lt; 1200, "Normal")</f>
        <v>Normal</v>
      </c>
      <c r="L668" s="4" t="str" cm="1">
        <f t="array" ref="L668">IFERROR(_xlfn.IFS(Table3[[#This Row],[Age (Years)]]  &gt; 75, "YES", Table3[[#This Row],[Age (Years)]] &lt; 75, "NO"), "UNKNOWN")</f>
        <v>NO</v>
      </c>
      <c r="M668" s="4" t="str">
        <f>IF(Table3[[#This Row],[Drug_Cost_GBP]] &gt; Analysis_Sheet!$B$21, "Above Average", "Within Average")</f>
        <v>Within Average</v>
      </c>
      <c r="N668" s="39" t="str">
        <f t="shared" si="10"/>
        <v>August 2024</v>
      </c>
    </row>
    <row r="669" spans="1:14" x14ac:dyDescent="0.3">
      <c r="A669" s="1" t="s">
        <v>818</v>
      </c>
      <c r="B669" s="17">
        <v>57</v>
      </c>
      <c r="C669" s="2" t="s">
        <v>900</v>
      </c>
      <c r="D669" s="2" t="s">
        <v>14</v>
      </c>
      <c r="E669" s="2" t="s">
        <v>57</v>
      </c>
      <c r="F669" s="3">
        <v>45643</v>
      </c>
      <c r="G669" s="2">
        <v>12</v>
      </c>
      <c r="H669" s="13">
        <v>1002.0675517241378</v>
      </c>
      <c r="I669" s="4" t="s">
        <v>12</v>
      </c>
      <c r="J669" s="4" t="str" cm="1">
        <f t="array" ref="J669">_xlfn.IFS(Table3[[#This Row],[Age (Years)]] &lt; 40, "Young", Table3[[#This Row],[Age (Years)]] &gt;= 40, "Middle", Table3[[#This Row],[Age (Years)]] &gt; 60, "Senior")</f>
        <v>Middle</v>
      </c>
      <c r="K669" s="4" t="str" cm="1">
        <f t="array" ref="K669">_xlfn.IFS(Table3[[#This Row],[Drug_Cost_GBP]] &gt; 1200, "High Cost", Table3[[#This Row],[Drug_Cost_GBP]] &lt; 1200, "Normal")</f>
        <v>Normal</v>
      </c>
      <c r="L669" s="4" t="str" cm="1">
        <f t="array" ref="L669">IFERROR(_xlfn.IFS(Table3[[#This Row],[Age (Years)]]  &gt; 75, "YES", Table3[[#This Row],[Age (Years)]] &lt; 75, "NO"), "UNKNOWN")</f>
        <v>NO</v>
      </c>
      <c r="M669" s="4" t="str">
        <f>IF(Table3[[#This Row],[Drug_Cost_GBP]] &gt; Analysis_Sheet!$B$21, "Above Average", "Within Average")</f>
        <v>Within Average</v>
      </c>
      <c r="N669" s="39" t="str">
        <f t="shared" si="10"/>
        <v>December 2024</v>
      </c>
    </row>
    <row r="670" spans="1:14" x14ac:dyDescent="0.3">
      <c r="A670" s="1" t="s">
        <v>820</v>
      </c>
      <c r="B670" s="17">
        <v>57</v>
      </c>
      <c r="C670" s="2" t="s">
        <v>899</v>
      </c>
      <c r="D670" s="2" t="s">
        <v>19</v>
      </c>
      <c r="E670" s="2" t="s">
        <v>34</v>
      </c>
      <c r="F670" s="3">
        <v>45396</v>
      </c>
      <c r="G670" s="2">
        <v>10</v>
      </c>
      <c r="H670" s="13">
        <v>1002.0675517241378</v>
      </c>
      <c r="I670" s="4" t="s">
        <v>21</v>
      </c>
      <c r="J670" s="4" t="str" cm="1">
        <f t="array" ref="J670">_xlfn.IFS(Table3[[#This Row],[Age (Years)]] &lt; 40, "Young", Table3[[#This Row],[Age (Years)]] &gt;= 40, "Middle", Table3[[#This Row],[Age (Years)]] &gt; 60, "Senior")</f>
        <v>Middle</v>
      </c>
      <c r="K670" s="4" t="str" cm="1">
        <f t="array" ref="K670">_xlfn.IFS(Table3[[#This Row],[Drug_Cost_GBP]] &gt; 1200, "High Cost", Table3[[#This Row],[Drug_Cost_GBP]] &lt; 1200, "Normal")</f>
        <v>Normal</v>
      </c>
      <c r="L670" s="4" t="str" cm="1">
        <f t="array" ref="L670">IFERROR(_xlfn.IFS(Table3[[#This Row],[Age (Years)]]  &gt; 75, "YES", Table3[[#This Row],[Age (Years)]] &lt; 75, "NO"), "UNKNOWN")</f>
        <v>NO</v>
      </c>
      <c r="M670" s="4" t="str">
        <f>IF(Table3[[#This Row],[Drug_Cost_GBP]] &gt; Analysis_Sheet!$B$21, "Above Average", "Within Average")</f>
        <v>Within Average</v>
      </c>
      <c r="N670" s="39" t="str">
        <f t="shared" si="10"/>
        <v>April 2024</v>
      </c>
    </row>
    <row r="671" spans="1:14" x14ac:dyDescent="0.3">
      <c r="A671" s="1" t="s">
        <v>824</v>
      </c>
      <c r="B671" s="17">
        <v>57</v>
      </c>
      <c r="C671" s="2" t="s">
        <v>899</v>
      </c>
      <c r="D671" s="2" t="s">
        <v>900</v>
      </c>
      <c r="E671" s="2" t="s">
        <v>34</v>
      </c>
      <c r="F671" s="3">
        <v>45357</v>
      </c>
      <c r="G671" s="2">
        <v>12</v>
      </c>
      <c r="H671" s="13">
        <v>643.23</v>
      </c>
      <c r="I671" s="4" t="s">
        <v>12</v>
      </c>
      <c r="J671" s="8" t="str" cm="1">
        <f t="array" ref="J671">_xlfn.IFS(Table3[[#This Row],[Age (Years)]] &lt; 40, "Young", Table3[[#This Row],[Age (Years)]] &gt;= 40, "Middle", Table3[[#This Row],[Age (Years)]] &gt; 60, "Senior")</f>
        <v>Middle</v>
      </c>
      <c r="K671" s="8" t="str" cm="1">
        <f t="array" ref="K671">_xlfn.IFS(Table3[[#This Row],[Drug_Cost_GBP]] &gt; 1200, "High Cost", Table3[[#This Row],[Drug_Cost_GBP]] &lt; 1200, "Normal")</f>
        <v>Normal</v>
      </c>
      <c r="L671" s="8" t="str" cm="1">
        <f t="array" ref="L671">IFERROR(_xlfn.IFS(Table3[[#This Row],[Age (Years)]]  &gt; 75, "YES", Table3[[#This Row],[Age (Years)]] &lt; 75, "NO"), "UNKNOWN")</f>
        <v>NO</v>
      </c>
      <c r="M671" s="8" t="str">
        <f>IF(Table3[[#This Row],[Drug_Cost_GBP]] &gt; Analysis_Sheet!$B$21, "Above Average", "Within Average")</f>
        <v>Within Average</v>
      </c>
      <c r="N671" s="39" t="str">
        <f t="shared" si="10"/>
        <v>March 2024</v>
      </c>
    </row>
    <row r="672" spans="1:14" x14ac:dyDescent="0.3">
      <c r="A672" s="5" t="s">
        <v>825</v>
      </c>
      <c r="B672" s="18">
        <v>57</v>
      </c>
      <c r="C672" s="6" t="s">
        <v>38</v>
      </c>
      <c r="D672" s="6" t="s">
        <v>19</v>
      </c>
      <c r="E672" s="6" t="s">
        <v>34</v>
      </c>
      <c r="F672" s="7" t="s">
        <v>900</v>
      </c>
      <c r="G672" s="6">
        <v>18</v>
      </c>
      <c r="H672" s="14">
        <v>1002.0675517241378</v>
      </c>
      <c r="I672" s="8" t="s">
        <v>12</v>
      </c>
      <c r="J672" s="4" t="str" cm="1">
        <f t="array" ref="J672">_xlfn.IFS(Table3[[#This Row],[Age (Years)]] &lt; 40, "Young", Table3[[#This Row],[Age (Years)]] &gt;= 40, "Middle", Table3[[#This Row],[Age (Years)]] &gt; 60, "Senior")</f>
        <v>Middle</v>
      </c>
      <c r="K672" s="4" t="str" cm="1">
        <f t="array" ref="K672">_xlfn.IFS(Table3[[#This Row],[Drug_Cost_GBP]] &gt; 1200, "High Cost", Table3[[#This Row],[Drug_Cost_GBP]] &lt; 1200, "Normal")</f>
        <v>Normal</v>
      </c>
      <c r="L672" s="4" t="str" cm="1">
        <f t="array" ref="L672">IFERROR(_xlfn.IFS(Table3[[#This Row],[Age (Years)]]  &gt; 75, "YES", Table3[[#This Row],[Age (Years)]] &lt; 75, "NO"), "UNKNOWN")</f>
        <v>NO</v>
      </c>
      <c r="M672" s="4" t="str">
        <f>IF(Table3[[#This Row],[Drug_Cost_GBP]] &gt; Analysis_Sheet!$B$21, "Above Average", "Within Average")</f>
        <v>Within Average</v>
      </c>
      <c r="N672" s="39" t="str">
        <f t="shared" si="10"/>
        <v>Unknown</v>
      </c>
    </row>
    <row r="673" spans="1:14" x14ac:dyDescent="0.3">
      <c r="A673" s="1" t="s">
        <v>826</v>
      </c>
      <c r="B673" s="17">
        <v>57</v>
      </c>
      <c r="C673" s="2" t="s">
        <v>899</v>
      </c>
      <c r="D673" s="2" t="s">
        <v>14</v>
      </c>
      <c r="E673" s="2" t="s">
        <v>43</v>
      </c>
      <c r="F673" s="3">
        <v>45355</v>
      </c>
      <c r="G673" s="2">
        <v>12</v>
      </c>
      <c r="H673" s="13">
        <v>1002.0675517241378</v>
      </c>
      <c r="I673" s="4" t="s">
        <v>21</v>
      </c>
      <c r="J673" s="8" t="str" cm="1">
        <f t="array" ref="J673">_xlfn.IFS(Table3[[#This Row],[Age (Years)]] &lt; 40, "Young", Table3[[#This Row],[Age (Years)]] &gt;= 40, "Middle", Table3[[#This Row],[Age (Years)]] &gt; 60, "Senior")</f>
        <v>Middle</v>
      </c>
      <c r="K673" s="8" t="str" cm="1">
        <f t="array" ref="K673">_xlfn.IFS(Table3[[#This Row],[Drug_Cost_GBP]] &gt; 1200, "High Cost", Table3[[#This Row],[Drug_Cost_GBP]] &lt; 1200, "Normal")</f>
        <v>Normal</v>
      </c>
      <c r="L673" s="8" t="str" cm="1">
        <f t="array" ref="L673">IFERROR(_xlfn.IFS(Table3[[#This Row],[Age (Years)]]  &gt; 75, "YES", Table3[[#This Row],[Age (Years)]] &lt; 75, "NO"), "UNKNOWN")</f>
        <v>NO</v>
      </c>
      <c r="M673" s="8" t="str">
        <f>IF(Table3[[#This Row],[Drug_Cost_GBP]] &gt; Analysis_Sheet!$B$21, "Above Average", "Within Average")</f>
        <v>Within Average</v>
      </c>
      <c r="N673" s="39" t="str">
        <f t="shared" si="10"/>
        <v>March 2024</v>
      </c>
    </row>
    <row r="674" spans="1:14" x14ac:dyDescent="0.3">
      <c r="A674" s="5" t="s">
        <v>827</v>
      </c>
      <c r="B674" s="18">
        <v>57</v>
      </c>
      <c r="C674" s="6" t="s">
        <v>899</v>
      </c>
      <c r="D674" s="6" t="s">
        <v>19</v>
      </c>
      <c r="E674" s="6" t="s">
        <v>57</v>
      </c>
      <c r="F674" s="7">
        <v>45588</v>
      </c>
      <c r="G674" s="6">
        <v>8</v>
      </c>
      <c r="H674" s="14">
        <v>1002.0675517241378</v>
      </c>
      <c r="I674" s="8" t="s">
        <v>21</v>
      </c>
      <c r="J674" s="4" t="str" cm="1">
        <f t="array" ref="J674">_xlfn.IFS(Table3[[#This Row],[Age (Years)]] &lt; 40, "Young", Table3[[#This Row],[Age (Years)]] &gt;= 40, "Middle", Table3[[#This Row],[Age (Years)]] &gt; 60, "Senior")</f>
        <v>Middle</v>
      </c>
      <c r="K674" s="4" t="str" cm="1">
        <f t="array" ref="K674">_xlfn.IFS(Table3[[#This Row],[Drug_Cost_GBP]] &gt; 1200, "High Cost", Table3[[#This Row],[Drug_Cost_GBP]] &lt; 1200, "Normal")</f>
        <v>Normal</v>
      </c>
      <c r="L674" s="4" t="str" cm="1">
        <f t="array" ref="L674">IFERROR(_xlfn.IFS(Table3[[#This Row],[Age (Years)]]  &gt; 75, "YES", Table3[[#This Row],[Age (Years)]] &lt; 75, "NO"), "UNKNOWN")</f>
        <v>NO</v>
      </c>
      <c r="M674" s="4" t="str">
        <f>IF(Table3[[#This Row],[Drug_Cost_GBP]] &gt; Analysis_Sheet!$B$21, "Above Average", "Within Average")</f>
        <v>Within Average</v>
      </c>
      <c r="N674" s="39" t="str">
        <f t="shared" si="10"/>
        <v>October 2024</v>
      </c>
    </row>
    <row r="675" spans="1:14" x14ac:dyDescent="0.3">
      <c r="A675" s="1" t="s">
        <v>828</v>
      </c>
      <c r="B675" s="17">
        <v>57</v>
      </c>
      <c r="C675" s="2" t="s">
        <v>899</v>
      </c>
      <c r="D675" s="2" t="s">
        <v>25</v>
      </c>
      <c r="E675" s="2" t="s">
        <v>11</v>
      </c>
      <c r="F675" s="3" t="s">
        <v>900</v>
      </c>
      <c r="G675" s="2">
        <v>9</v>
      </c>
      <c r="H675" s="13">
        <v>1002.0675517241378</v>
      </c>
      <c r="I675" s="4" t="s">
        <v>12</v>
      </c>
      <c r="J675" s="8" t="str" cm="1">
        <f t="array" ref="J675">_xlfn.IFS(Table3[[#This Row],[Age (Years)]] &lt; 40, "Young", Table3[[#This Row],[Age (Years)]] &gt;= 40, "Middle", Table3[[#This Row],[Age (Years)]] &gt; 60, "Senior")</f>
        <v>Middle</v>
      </c>
      <c r="K675" s="8" t="str" cm="1">
        <f t="array" ref="K675">_xlfn.IFS(Table3[[#This Row],[Drug_Cost_GBP]] &gt; 1200, "High Cost", Table3[[#This Row],[Drug_Cost_GBP]] &lt; 1200, "Normal")</f>
        <v>Normal</v>
      </c>
      <c r="L675" s="8" t="str" cm="1">
        <f t="array" ref="L675">IFERROR(_xlfn.IFS(Table3[[#This Row],[Age (Years)]]  &gt; 75, "YES", Table3[[#This Row],[Age (Years)]] &lt; 75, "NO"), "UNKNOWN")</f>
        <v>NO</v>
      </c>
      <c r="M675" s="8" t="str">
        <f>IF(Table3[[#This Row],[Drug_Cost_GBP]] &gt; Analysis_Sheet!$B$21, "Above Average", "Within Average")</f>
        <v>Within Average</v>
      </c>
      <c r="N675" s="39" t="str">
        <f t="shared" si="10"/>
        <v>Unknown</v>
      </c>
    </row>
    <row r="676" spans="1:14" x14ac:dyDescent="0.3">
      <c r="A676" s="5" t="s">
        <v>829</v>
      </c>
      <c r="B676" s="18">
        <v>57</v>
      </c>
      <c r="C676" s="6" t="s">
        <v>899</v>
      </c>
      <c r="D676" s="6" t="s">
        <v>14</v>
      </c>
      <c r="E676" s="6" t="s">
        <v>34</v>
      </c>
      <c r="F676" s="7">
        <v>45638</v>
      </c>
      <c r="G676" s="6">
        <v>12</v>
      </c>
      <c r="H676" s="14">
        <v>1002.0675517241378</v>
      </c>
      <c r="I676" s="8" t="s">
        <v>26</v>
      </c>
      <c r="J676" s="4" t="str" cm="1">
        <f t="array" ref="J676">_xlfn.IFS(Table3[[#This Row],[Age (Years)]] &lt; 40, "Young", Table3[[#This Row],[Age (Years)]] &gt;= 40, "Middle", Table3[[#This Row],[Age (Years)]] &gt; 60, "Senior")</f>
        <v>Middle</v>
      </c>
      <c r="K676" s="4" t="str" cm="1">
        <f t="array" ref="K676">_xlfn.IFS(Table3[[#This Row],[Drug_Cost_GBP]] &gt; 1200, "High Cost", Table3[[#This Row],[Drug_Cost_GBP]] &lt; 1200, "Normal")</f>
        <v>Normal</v>
      </c>
      <c r="L676" s="4" t="str" cm="1">
        <f t="array" ref="L676">IFERROR(_xlfn.IFS(Table3[[#This Row],[Age (Years)]]  &gt; 75, "YES", Table3[[#This Row],[Age (Years)]] &lt; 75, "NO"), "UNKNOWN")</f>
        <v>NO</v>
      </c>
      <c r="M676" s="4" t="str">
        <f>IF(Table3[[#This Row],[Drug_Cost_GBP]] &gt; Analysis_Sheet!$B$21, "Above Average", "Within Average")</f>
        <v>Within Average</v>
      </c>
      <c r="N676" s="39" t="str">
        <f t="shared" si="10"/>
        <v>December 2024</v>
      </c>
    </row>
    <row r="677" spans="1:14" x14ac:dyDescent="0.3">
      <c r="A677" s="1" t="s">
        <v>830</v>
      </c>
      <c r="B677" s="17">
        <v>57</v>
      </c>
      <c r="C677" s="2" t="s">
        <v>899</v>
      </c>
      <c r="D677" s="2" t="s">
        <v>14</v>
      </c>
      <c r="E677" s="2" t="s">
        <v>57</v>
      </c>
      <c r="F677" s="3">
        <v>45436</v>
      </c>
      <c r="G677" s="2">
        <v>12</v>
      </c>
      <c r="H677" s="13">
        <v>1002.0675517241378</v>
      </c>
      <c r="I677" s="4" t="s">
        <v>900</v>
      </c>
      <c r="J677" s="8" t="str" cm="1">
        <f t="array" ref="J677">_xlfn.IFS(Table3[[#This Row],[Age (Years)]] &lt; 40, "Young", Table3[[#This Row],[Age (Years)]] &gt;= 40, "Middle", Table3[[#This Row],[Age (Years)]] &gt; 60, "Senior")</f>
        <v>Middle</v>
      </c>
      <c r="K677" s="8" t="str" cm="1">
        <f t="array" ref="K677">_xlfn.IFS(Table3[[#This Row],[Drug_Cost_GBP]] &gt; 1200, "High Cost", Table3[[#This Row],[Drug_Cost_GBP]] &lt; 1200, "Normal")</f>
        <v>Normal</v>
      </c>
      <c r="L677" s="8" t="str" cm="1">
        <f t="array" ref="L677">IFERROR(_xlfn.IFS(Table3[[#This Row],[Age (Years)]]  &gt; 75, "YES", Table3[[#This Row],[Age (Years)]] &lt; 75, "NO"), "UNKNOWN")</f>
        <v>NO</v>
      </c>
      <c r="M677" s="8" t="str">
        <f>IF(Table3[[#This Row],[Drug_Cost_GBP]] &gt; Analysis_Sheet!$B$21, "Above Average", "Within Average")</f>
        <v>Within Average</v>
      </c>
      <c r="N677" s="39" t="str">
        <f t="shared" si="10"/>
        <v>May 2024</v>
      </c>
    </row>
    <row r="678" spans="1:14" x14ac:dyDescent="0.3">
      <c r="A678" s="5" t="s">
        <v>831</v>
      </c>
      <c r="B678" s="18">
        <v>57</v>
      </c>
      <c r="C678" s="6" t="s">
        <v>38</v>
      </c>
      <c r="D678" s="6" t="s">
        <v>19</v>
      </c>
      <c r="E678" s="6" t="s">
        <v>34</v>
      </c>
      <c r="F678" s="7">
        <v>45624</v>
      </c>
      <c r="G678" s="6">
        <v>12</v>
      </c>
      <c r="H678" s="14">
        <v>1002.0675517241378</v>
      </c>
      <c r="I678" s="8" t="s">
        <v>16</v>
      </c>
      <c r="J678" s="4" t="str" cm="1">
        <f t="array" ref="J678">_xlfn.IFS(Table3[[#This Row],[Age (Years)]] &lt; 40, "Young", Table3[[#This Row],[Age (Years)]] &gt;= 40, "Middle", Table3[[#This Row],[Age (Years)]] &gt; 60, "Senior")</f>
        <v>Middle</v>
      </c>
      <c r="K678" s="4" t="str" cm="1">
        <f t="array" ref="K678">_xlfn.IFS(Table3[[#This Row],[Drug_Cost_GBP]] &gt; 1200, "High Cost", Table3[[#This Row],[Drug_Cost_GBP]] &lt; 1200, "Normal")</f>
        <v>Normal</v>
      </c>
      <c r="L678" s="4" t="str" cm="1">
        <f t="array" ref="L678">IFERROR(_xlfn.IFS(Table3[[#This Row],[Age (Years)]]  &gt; 75, "YES", Table3[[#This Row],[Age (Years)]] &lt; 75, "NO"), "UNKNOWN")</f>
        <v>NO</v>
      </c>
      <c r="M678" s="4" t="str">
        <f>IF(Table3[[#This Row],[Drug_Cost_GBP]] &gt; Analysis_Sheet!$B$21, "Above Average", "Within Average")</f>
        <v>Within Average</v>
      </c>
      <c r="N678" s="39" t="str">
        <f t="shared" si="10"/>
        <v>November 2024</v>
      </c>
    </row>
    <row r="679" spans="1:14" x14ac:dyDescent="0.3">
      <c r="A679" s="1" t="s">
        <v>832</v>
      </c>
      <c r="B679" s="17">
        <v>57</v>
      </c>
      <c r="C679" s="2" t="s">
        <v>38</v>
      </c>
      <c r="D679" s="2" t="s">
        <v>19</v>
      </c>
      <c r="E679" s="2" t="s">
        <v>11</v>
      </c>
      <c r="F679" s="3">
        <v>45629</v>
      </c>
      <c r="G679" s="2">
        <v>12</v>
      </c>
      <c r="H679" s="13">
        <v>1002.0675517241378</v>
      </c>
      <c r="I679" s="4" t="s">
        <v>900</v>
      </c>
      <c r="J679" s="8" t="str" cm="1">
        <f t="array" ref="J679">_xlfn.IFS(Table3[[#This Row],[Age (Years)]] &lt; 40, "Young", Table3[[#This Row],[Age (Years)]] &gt;= 40, "Middle", Table3[[#This Row],[Age (Years)]] &gt; 60, "Senior")</f>
        <v>Middle</v>
      </c>
      <c r="K679" s="8" t="str" cm="1">
        <f t="array" ref="K679">_xlfn.IFS(Table3[[#This Row],[Drug_Cost_GBP]] &gt; 1200, "High Cost", Table3[[#This Row],[Drug_Cost_GBP]] &lt; 1200, "Normal")</f>
        <v>Normal</v>
      </c>
      <c r="L679" s="8" t="str" cm="1">
        <f t="array" ref="L679">IFERROR(_xlfn.IFS(Table3[[#This Row],[Age (Years)]]  &gt; 75, "YES", Table3[[#This Row],[Age (Years)]] &lt; 75, "NO"), "UNKNOWN")</f>
        <v>NO</v>
      </c>
      <c r="M679" s="8" t="str">
        <f>IF(Table3[[#This Row],[Drug_Cost_GBP]] &gt; Analysis_Sheet!$B$21, "Above Average", "Within Average")</f>
        <v>Within Average</v>
      </c>
      <c r="N679" s="39" t="str">
        <f t="shared" si="10"/>
        <v>December 2024</v>
      </c>
    </row>
    <row r="680" spans="1:14" x14ac:dyDescent="0.3">
      <c r="A680" s="5" t="s">
        <v>833</v>
      </c>
      <c r="B680" s="18">
        <v>57</v>
      </c>
      <c r="C680" s="6" t="s">
        <v>900</v>
      </c>
      <c r="D680" s="6" t="s">
        <v>14</v>
      </c>
      <c r="E680" s="6" t="s">
        <v>11</v>
      </c>
      <c r="F680" s="7">
        <v>45603</v>
      </c>
      <c r="G680" s="6">
        <v>12</v>
      </c>
      <c r="H680" s="14">
        <v>803.23</v>
      </c>
      <c r="I680" s="8" t="s">
        <v>26</v>
      </c>
      <c r="J680" s="8" t="str" cm="1">
        <f t="array" ref="J680">_xlfn.IFS(Table3[[#This Row],[Age (Years)]] &lt; 40, "Young", Table3[[#This Row],[Age (Years)]] &gt;= 40, "Middle", Table3[[#This Row],[Age (Years)]] &gt; 60, "Senior")</f>
        <v>Middle</v>
      </c>
      <c r="K680" s="8" t="str" cm="1">
        <f t="array" ref="K680">_xlfn.IFS(Table3[[#This Row],[Drug_Cost_GBP]] &gt; 1200, "High Cost", Table3[[#This Row],[Drug_Cost_GBP]] &lt; 1200, "Normal")</f>
        <v>Normal</v>
      </c>
      <c r="L680" s="8" t="str" cm="1">
        <f t="array" ref="L680">IFERROR(_xlfn.IFS(Table3[[#This Row],[Age (Years)]]  &gt; 75, "YES", Table3[[#This Row],[Age (Years)]] &lt; 75, "NO"), "UNKNOWN")</f>
        <v>NO</v>
      </c>
      <c r="M680" s="8" t="str">
        <f>IF(Table3[[#This Row],[Drug_Cost_GBP]] &gt; Analysis_Sheet!$B$21, "Above Average", "Within Average")</f>
        <v>Within Average</v>
      </c>
      <c r="N680" s="39" t="str">
        <f t="shared" si="10"/>
        <v>November 2024</v>
      </c>
    </row>
    <row r="681" spans="1:14" x14ac:dyDescent="0.3">
      <c r="A681" s="5" t="s">
        <v>835</v>
      </c>
      <c r="B681" s="18">
        <v>57</v>
      </c>
      <c r="C681" s="6" t="s">
        <v>38</v>
      </c>
      <c r="D681" s="6" t="s">
        <v>898</v>
      </c>
      <c r="E681" s="6" t="s">
        <v>34</v>
      </c>
      <c r="F681" s="7">
        <v>45297</v>
      </c>
      <c r="G681" s="6">
        <v>12</v>
      </c>
      <c r="H681" s="14">
        <v>1002.0675517241378</v>
      </c>
      <c r="I681" s="8" t="s">
        <v>900</v>
      </c>
      <c r="J681" s="8" t="str" cm="1">
        <f t="array" ref="J681">_xlfn.IFS(Table3[[#This Row],[Age (Years)]] &lt; 40, "Young", Table3[[#This Row],[Age (Years)]] &gt;= 40, "Middle", Table3[[#This Row],[Age (Years)]] &gt; 60, "Senior")</f>
        <v>Middle</v>
      </c>
      <c r="K681" s="8" t="str" cm="1">
        <f t="array" ref="K681">_xlfn.IFS(Table3[[#This Row],[Drug_Cost_GBP]] &gt; 1200, "High Cost", Table3[[#This Row],[Drug_Cost_GBP]] &lt; 1200, "Normal")</f>
        <v>Normal</v>
      </c>
      <c r="L681" s="8" t="str" cm="1">
        <f t="array" ref="L681">IFERROR(_xlfn.IFS(Table3[[#This Row],[Age (Years)]]  &gt; 75, "YES", Table3[[#This Row],[Age (Years)]] &lt; 75, "NO"), "UNKNOWN")</f>
        <v>NO</v>
      </c>
      <c r="M681" s="8" t="str">
        <f>IF(Table3[[#This Row],[Drug_Cost_GBP]] &gt; Analysis_Sheet!$B$21, "Above Average", "Within Average")</f>
        <v>Within Average</v>
      </c>
      <c r="N681" s="39" t="str">
        <f t="shared" si="10"/>
        <v>January 2024</v>
      </c>
    </row>
    <row r="682" spans="1:14" x14ac:dyDescent="0.3">
      <c r="A682" s="5" t="s">
        <v>837</v>
      </c>
      <c r="B682" s="18">
        <v>57</v>
      </c>
      <c r="C682" s="6" t="s">
        <v>38</v>
      </c>
      <c r="D682" s="6" t="s">
        <v>10</v>
      </c>
      <c r="E682" s="6" t="s">
        <v>43</v>
      </c>
      <c r="F682" s="7">
        <v>45426</v>
      </c>
      <c r="G682" s="6">
        <v>12</v>
      </c>
      <c r="H682" s="14">
        <v>1002.0675517241378</v>
      </c>
      <c r="I682" s="8" t="s">
        <v>26</v>
      </c>
      <c r="J682" s="4" t="str" cm="1">
        <f t="array" ref="J682">_xlfn.IFS(Table3[[#This Row],[Age (Years)]] &lt; 40, "Young", Table3[[#This Row],[Age (Years)]] &gt;= 40, "Middle", Table3[[#This Row],[Age (Years)]] &gt; 60, "Senior")</f>
        <v>Middle</v>
      </c>
      <c r="K682" s="4" t="str" cm="1">
        <f t="array" ref="K682">_xlfn.IFS(Table3[[#This Row],[Drug_Cost_GBP]] &gt; 1200, "High Cost", Table3[[#This Row],[Drug_Cost_GBP]] &lt; 1200, "Normal")</f>
        <v>Normal</v>
      </c>
      <c r="L682" s="4" t="str" cm="1">
        <f t="array" ref="L682">IFERROR(_xlfn.IFS(Table3[[#This Row],[Age (Years)]]  &gt; 75, "YES", Table3[[#This Row],[Age (Years)]] &lt; 75, "NO"), "UNKNOWN")</f>
        <v>NO</v>
      </c>
      <c r="M682" s="4" t="str">
        <f>IF(Table3[[#This Row],[Drug_Cost_GBP]] &gt; Analysis_Sheet!$B$21, "Above Average", "Within Average")</f>
        <v>Within Average</v>
      </c>
      <c r="N682" s="39" t="str">
        <f t="shared" si="10"/>
        <v>May 2024</v>
      </c>
    </row>
    <row r="683" spans="1:14" x14ac:dyDescent="0.3">
      <c r="A683" s="1" t="s">
        <v>838</v>
      </c>
      <c r="B683" s="17">
        <v>57</v>
      </c>
      <c r="C683" s="2" t="s">
        <v>899</v>
      </c>
      <c r="D683" s="2" t="s">
        <v>10</v>
      </c>
      <c r="E683" s="2" t="s">
        <v>23</v>
      </c>
      <c r="F683" s="3">
        <v>45413</v>
      </c>
      <c r="G683" s="2">
        <v>13</v>
      </c>
      <c r="H683" s="13">
        <v>1920.55</v>
      </c>
      <c r="I683" s="4" t="s">
        <v>21</v>
      </c>
      <c r="J683" s="8" t="str" cm="1">
        <f t="array" ref="J683">_xlfn.IFS(Table3[[#This Row],[Age (Years)]] &lt; 40, "Young", Table3[[#This Row],[Age (Years)]] &gt;= 40, "Middle", Table3[[#This Row],[Age (Years)]] &gt; 60, "Senior")</f>
        <v>Middle</v>
      </c>
      <c r="K683" s="8" t="str" cm="1">
        <f t="array" ref="K683">_xlfn.IFS(Table3[[#This Row],[Drug_Cost_GBP]] &gt; 1200, "High Cost", Table3[[#This Row],[Drug_Cost_GBP]] &lt; 1200, "Normal")</f>
        <v>High Cost</v>
      </c>
      <c r="L683" s="8" t="str" cm="1">
        <f t="array" ref="L683">IFERROR(_xlfn.IFS(Table3[[#This Row],[Age (Years)]]  &gt; 75, "YES", Table3[[#This Row],[Age (Years)]] &lt; 75, "NO"), "UNKNOWN")</f>
        <v>NO</v>
      </c>
      <c r="M683" s="8" t="str">
        <f>IF(Table3[[#This Row],[Drug_Cost_GBP]] &gt; Analysis_Sheet!$B$21, "Above Average", "Within Average")</f>
        <v>Above Average</v>
      </c>
      <c r="N683" s="39" t="str">
        <f t="shared" si="10"/>
        <v>May 2024</v>
      </c>
    </row>
    <row r="684" spans="1:14" x14ac:dyDescent="0.3">
      <c r="A684" s="5" t="s">
        <v>839</v>
      </c>
      <c r="B684" s="18">
        <v>57</v>
      </c>
      <c r="C684" s="6" t="s">
        <v>899</v>
      </c>
      <c r="D684" s="6" t="s">
        <v>14</v>
      </c>
      <c r="E684" s="6" t="s">
        <v>34</v>
      </c>
      <c r="F684" s="7" t="s">
        <v>900</v>
      </c>
      <c r="G684" s="6">
        <v>12</v>
      </c>
      <c r="H684" s="14">
        <v>1002.0675517241378</v>
      </c>
      <c r="I684" s="8" t="s">
        <v>16</v>
      </c>
      <c r="J684" s="8" t="str" cm="1">
        <f t="array" ref="J684">_xlfn.IFS(Table3[[#This Row],[Age (Years)]] &lt; 40, "Young", Table3[[#This Row],[Age (Years)]] &gt;= 40, "Middle", Table3[[#This Row],[Age (Years)]] &gt; 60, "Senior")</f>
        <v>Middle</v>
      </c>
      <c r="K684" s="8" t="str" cm="1">
        <f t="array" ref="K684">_xlfn.IFS(Table3[[#This Row],[Drug_Cost_GBP]] &gt; 1200, "High Cost", Table3[[#This Row],[Drug_Cost_GBP]] &lt; 1200, "Normal")</f>
        <v>Normal</v>
      </c>
      <c r="L684" s="8" t="str" cm="1">
        <f t="array" ref="L684">IFERROR(_xlfn.IFS(Table3[[#This Row],[Age (Years)]]  &gt; 75, "YES", Table3[[#This Row],[Age (Years)]] &lt; 75, "NO"), "UNKNOWN")</f>
        <v>NO</v>
      </c>
      <c r="M684" s="8" t="str">
        <f>IF(Table3[[#This Row],[Drug_Cost_GBP]] &gt; Analysis_Sheet!$B$21, "Above Average", "Within Average")</f>
        <v>Within Average</v>
      </c>
      <c r="N684" s="39" t="str">
        <f t="shared" si="10"/>
        <v>Unknown</v>
      </c>
    </row>
    <row r="685" spans="1:14" x14ac:dyDescent="0.3">
      <c r="A685" s="5" t="s">
        <v>841</v>
      </c>
      <c r="B685" s="18">
        <v>57</v>
      </c>
      <c r="C685" s="6" t="s">
        <v>38</v>
      </c>
      <c r="D685" s="6" t="s">
        <v>10</v>
      </c>
      <c r="E685" s="6" t="s">
        <v>11</v>
      </c>
      <c r="F685" s="7">
        <v>45622</v>
      </c>
      <c r="G685" s="6">
        <v>12</v>
      </c>
      <c r="H685" s="14">
        <v>63.46</v>
      </c>
      <c r="I685" s="8" t="s">
        <v>12</v>
      </c>
      <c r="J685" s="8" t="str" cm="1">
        <f t="array" ref="J685">_xlfn.IFS(Table3[[#This Row],[Age (Years)]] &lt; 40, "Young", Table3[[#This Row],[Age (Years)]] &gt;= 40, "Middle", Table3[[#This Row],[Age (Years)]] &gt; 60, "Senior")</f>
        <v>Middle</v>
      </c>
      <c r="K685" s="8" t="str" cm="1">
        <f t="array" ref="K685">_xlfn.IFS(Table3[[#This Row],[Drug_Cost_GBP]] &gt; 1200, "High Cost", Table3[[#This Row],[Drug_Cost_GBP]] &lt; 1200, "Normal")</f>
        <v>Normal</v>
      </c>
      <c r="L685" s="8" t="str" cm="1">
        <f t="array" ref="L685">IFERROR(_xlfn.IFS(Table3[[#This Row],[Age (Years)]]  &gt; 75, "YES", Table3[[#This Row],[Age (Years)]] &lt; 75, "NO"), "UNKNOWN")</f>
        <v>NO</v>
      </c>
      <c r="M685" s="8" t="str">
        <f>IF(Table3[[#This Row],[Drug_Cost_GBP]] &gt; Analysis_Sheet!$B$21, "Above Average", "Within Average")</f>
        <v>Within Average</v>
      </c>
      <c r="N685" s="39" t="str">
        <f t="shared" si="10"/>
        <v>November 2024</v>
      </c>
    </row>
    <row r="686" spans="1:14" x14ac:dyDescent="0.3">
      <c r="A686" s="5" t="s">
        <v>843</v>
      </c>
      <c r="B686" s="18">
        <v>57</v>
      </c>
      <c r="C686" s="6" t="s">
        <v>899</v>
      </c>
      <c r="D686" s="6" t="s">
        <v>51</v>
      </c>
      <c r="E686" s="6" t="s">
        <v>43</v>
      </c>
      <c r="F686" s="7">
        <v>45319</v>
      </c>
      <c r="G686" s="6">
        <v>12</v>
      </c>
      <c r="H686" s="14">
        <v>1002.0675517241378</v>
      </c>
      <c r="I686" s="8" t="s">
        <v>12</v>
      </c>
      <c r="J686" s="4" t="str" cm="1">
        <f t="array" ref="J686">_xlfn.IFS(Table3[[#This Row],[Age (Years)]] &lt; 40, "Young", Table3[[#This Row],[Age (Years)]] &gt;= 40, "Middle", Table3[[#This Row],[Age (Years)]] &gt; 60, "Senior")</f>
        <v>Middle</v>
      </c>
      <c r="K686" s="4" t="str" cm="1">
        <f t="array" ref="K686">_xlfn.IFS(Table3[[#This Row],[Drug_Cost_GBP]] &gt; 1200, "High Cost", Table3[[#This Row],[Drug_Cost_GBP]] &lt; 1200, "Normal")</f>
        <v>Normal</v>
      </c>
      <c r="L686" s="4" t="str" cm="1">
        <f t="array" ref="L686">IFERROR(_xlfn.IFS(Table3[[#This Row],[Age (Years)]]  &gt; 75, "YES", Table3[[#This Row],[Age (Years)]] &lt; 75, "NO"), "UNKNOWN")</f>
        <v>NO</v>
      </c>
      <c r="M686" s="4" t="str">
        <f>IF(Table3[[#This Row],[Drug_Cost_GBP]] &gt; Analysis_Sheet!$B$21, "Above Average", "Within Average")</f>
        <v>Within Average</v>
      </c>
      <c r="N686" s="39" t="str">
        <f t="shared" si="10"/>
        <v>January 2024</v>
      </c>
    </row>
    <row r="687" spans="1:14" x14ac:dyDescent="0.3">
      <c r="A687" s="1" t="s">
        <v>844</v>
      </c>
      <c r="B687" s="17">
        <v>57</v>
      </c>
      <c r="C687" s="2" t="s">
        <v>900</v>
      </c>
      <c r="D687" s="2" t="s">
        <v>900</v>
      </c>
      <c r="E687" s="2" t="s">
        <v>43</v>
      </c>
      <c r="F687" s="3">
        <v>45382</v>
      </c>
      <c r="G687" s="2">
        <v>3</v>
      </c>
      <c r="H687" s="13">
        <v>1002.0675517241378</v>
      </c>
      <c r="I687" s="4" t="s">
        <v>26</v>
      </c>
      <c r="J687" s="8" t="str" cm="1">
        <f t="array" ref="J687">_xlfn.IFS(Table3[[#This Row],[Age (Years)]] &lt; 40, "Young", Table3[[#This Row],[Age (Years)]] &gt;= 40, "Middle", Table3[[#This Row],[Age (Years)]] &gt; 60, "Senior")</f>
        <v>Middle</v>
      </c>
      <c r="K687" s="8" t="str" cm="1">
        <f t="array" ref="K687">_xlfn.IFS(Table3[[#This Row],[Drug_Cost_GBP]] &gt; 1200, "High Cost", Table3[[#This Row],[Drug_Cost_GBP]] &lt; 1200, "Normal")</f>
        <v>Normal</v>
      </c>
      <c r="L687" s="8" t="str" cm="1">
        <f t="array" ref="L687">IFERROR(_xlfn.IFS(Table3[[#This Row],[Age (Years)]]  &gt; 75, "YES", Table3[[#This Row],[Age (Years)]] &lt; 75, "NO"), "UNKNOWN")</f>
        <v>NO</v>
      </c>
      <c r="M687" s="8" t="str">
        <f>IF(Table3[[#This Row],[Drug_Cost_GBP]] &gt; Analysis_Sheet!$B$21, "Above Average", "Within Average")</f>
        <v>Within Average</v>
      </c>
      <c r="N687" s="39" t="str">
        <f t="shared" si="10"/>
        <v>March 2024</v>
      </c>
    </row>
    <row r="688" spans="1:14" x14ac:dyDescent="0.3">
      <c r="A688" s="5" t="s">
        <v>845</v>
      </c>
      <c r="B688" s="18">
        <v>57</v>
      </c>
      <c r="C688" s="6" t="s">
        <v>899</v>
      </c>
      <c r="D688" s="6" t="s">
        <v>48</v>
      </c>
      <c r="E688" s="6" t="s">
        <v>43</v>
      </c>
      <c r="F688" s="7" t="s">
        <v>900</v>
      </c>
      <c r="G688" s="6">
        <v>12</v>
      </c>
      <c r="H688" s="14">
        <v>1002.0675517241378</v>
      </c>
      <c r="I688" s="8" t="s">
        <v>16</v>
      </c>
      <c r="J688" s="4" t="str" cm="1">
        <f t="array" ref="J688">_xlfn.IFS(Table3[[#This Row],[Age (Years)]] &lt; 40, "Young", Table3[[#This Row],[Age (Years)]] &gt;= 40, "Middle", Table3[[#This Row],[Age (Years)]] &gt; 60, "Senior")</f>
        <v>Middle</v>
      </c>
      <c r="K688" s="4" t="str" cm="1">
        <f t="array" ref="K688">_xlfn.IFS(Table3[[#This Row],[Drug_Cost_GBP]] &gt; 1200, "High Cost", Table3[[#This Row],[Drug_Cost_GBP]] &lt; 1200, "Normal")</f>
        <v>Normal</v>
      </c>
      <c r="L688" s="4" t="str" cm="1">
        <f t="array" ref="L688">IFERROR(_xlfn.IFS(Table3[[#This Row],[Age (Years)]]  &gt; 75, "YES", Table3[[#This Row],[Age (Years)]] &lt; 75, "NO"), "UNKNOWN")</f>
        <v>NO</v>
      </c>
      <c r="M688" s="4" t="str">
        <f>IF(Table3[[#This Row],[Drug_Cost_GBP]] &gt; Analysis_Sheet!$B$21, "Above Average", "Within Average")</f>
        <v>Within Average</v>
      </c>
      <c r="N688" s="39" t="str">
        <f t="shared" si="10"/>
        <v>Unknown</v>
      </c>
    </row>
    <row r="689" spans="1:14" x14ac:dyDescent="0.3">
      <c r="A689" s="1" t="s">
        <v>848</v>
      </c>
      <c r="B689" s="17">
        <v>57</v>
      </c>
      <c r="C689" s="2" t="s">
        <v>900</v>
      </c>
      <c r="D689" s="2" t="s">
        <v>19</v>
      </c>
      <c r="E689" s="2" t="s">
        <v>34</v>
      </c>
      <c r="F689" s="3">
        <v>45617</v>
      </c>
      <c r="G689" s="2">
        <v>18</v>
      </c>
      <c r="H689" s="13">
        <v>1002.0675517241378</v>
      </c>
      <c r="I689" s="4" t="s">
        <v>21</v>
      </c>
      <c r="J689" s="8" t="str" cm="1">
        <f t="array" ref="J689">_xlfn.IFS(Table3[[#This Row],[Age (Years)]] &lt; 40, "Young", Table3[[#This Row],[Age (Years)]] &gt;= 40, "Middle", Table3[[#This Row],[Age (Years)]] &gt; 60, "Senior")</f>
        <v>Middle</v>
      </c>
      <c r="K689" s="8" t="str" cm="1">
        <f t="array" ref="K689">_xlfn.IFS(Table3[[#This Row],[Drug_Cost_GBP]] &gt; 1200, "High Cost", Table3[[#This Row],[Drug_Cost_GBP]] &lt; 1200, "Normal")</f>
        <v>Normal</v>
      </c>
      <c r="L689" s="8" t="str" cm="1">
        <f t="array" ref="L689">IFERROR(_xlfn.IFS(Table3[[#This Row],[Age (Years)]]  &gt; 75, "YES", Table3[[#This Row],[Age (Years)]] &lt; 75, "NO"), "UNKNOWN")</f>
        <v>NO</v>
      </c>
      <c r="M689" s="8" t="str">
        <f>IF(Table3[[#This Row],[Drug_Cost_GBP]] &gt; Analysis_Sheet!$B$21, "Above Average", "Within Average")</f>
        <v>Within Average</v>
      </c>
      <c r="N689" s="39" t="str">
        <f t="shared" si="10"/>
        <v>November 2024</v>
      </c>
    </row>
    <row r="690" spans="1:14" x14ac:dyDescent="0.3">
      <c r="A690" s="5" t="s">
        <v>849</v>
      </c>
      <c r="B690" s="18">
        <v>57</v>
      </c>
      <c r="C690" s="6" t="s">
        <v>900</v>
      </c>
      <c r="D690" s="6" t="s">
        <v>14</v>
      </c>
      <c r="E690" s="6" t="s">
        <v>34</v>
      </c>
      <c r="F690" s="7">
        <v>45455</v>
      </c>
      <c r="G690" s="6">
        <v>12</v>
      </c>
      <c r="H690" s="14">
        <v>1002.0675517241378</v>
      </c>
      <c r="I690" s="8" t="s">
        <v>12</v>
      </c>
      <c r="J690" s="4" t="str" cm="1">
        <f t="array" ref="J690">_xlfn.IFS(Table3[[#This Row],[Age (Years)]] &lt; 40, "Young", Table3[[#This Row],[Age (Years)]] &gt;= 40, "Middle", Table3[[#This Row],[Age (Years)]] &gt; 60, "Senior")</f>
        <v>Middle</v>
      </c>
      <c r="K690" s="4" t="str" cm="1">
        <f t="array" ref="K690">_xlfn.IFS(Table3[[#This Row],[Drug_Cost_GBP]] &gt; 1200, "High Cost", Table3[[#This Row],[Drug_Cost_GBP]] &lt; 1200, "Normal")</f>
        <v>Normal</v>
      </c>
      <c r="L690" s="4" t="str" cm="1">
        <f t="array" ref="L690">IFERROR(_xlfn.IFS(Table3[[#This Row],[Age (Years)]]  &gt; 75, "YES", Table3[[#This Row],[Age (Years)]] &lt; 75, "NO"), "UNKNOWN")</f>
        <v>NO</v>
      </c>
      <c r="M690" s="4" t="str">
        <f>IF(Table3[[#This Row],[Drug_Cost_GBP]] &gt; Analysis_Sheet!$B$21, "Above Average", "Within Average")</f>
        <v>Within Average</v>
      </c>
      <c r="N690" s="39" t="str">
        <f t="shared" si="10"/>
        <v>June 2024</v>
      </c>
    </row>
    <row r="691" spans="1:14" x14ac:dyDescent="0.3">
      <c r="A691" s="1" t="s">
        <v>850</v>
      </c>
      <c r="B691" s="17">
        <v>57</v>
      </c>
      <c r="C691" s="2" t="s">
        <v>38</v>
      </c>
      <c r="D691" s="2" t="s">
        <v>51</v>
      </c>
      <c r="E691" s="2" t="s">
        <v>11</v>
      </c>
      <c r="F691" s="3">
        <v>45595</v>
      </c>
      <c r="G691" s="2">
        <v>20</v>
      </c>
      <c r="H691" s="13">
        <v>1002.0675517241378</v>
      </c>
      <c r="I691" s="4" t="s">
        <v>21</v>
      </c>
      <c r="J691" s="4" t="str" cm="1">
        <f t="array" ref="J691">_xlfn.IFS(Table3[[#This Row],[Age (Years)]] &lt; 40, "Young", Table3[[#This Row],[Age (Years)]] &gt;= 40, "Middle", Table3[[#This Row],[Age (Years)]] &gt; 60, "Senior")</f>
        <v>Middle</v>
      </c>
      <c r="K691" s="4" t="str" cm="1">
        <f t="array" ref="K691">_xlfn.IFS(Table3[[#This Row],[Drug_Cost_GBP]] &gt; 1200, "High Cost", Table3[[#This Row],[Drug_Cost_GBP]] &lt; 1200, "Normal")</f>
        <v>Normal</v>
      </c>
      <c r="L691" s="4" t="str" cm="1">
        <f t="array" ref="L691">IFERROR(_xlfn.IFS(Table3[[#This Row],[Age (Years)]]  &gt; 75, "YES", Table3[[#This Row],[Age (Years)]] &lt; 75, "NO"), "UNKNOWN")</f>
        <v>NO</v>
      </c>
      <c r="M691" s="4" t="str">
        <f>IF(Table3[[#This Row],[Drug_Cost_GBP]] &gt; Analysis_Sheet!$B$21, "Above Average", "Within Average")</f>
        <v>Within Average</v>
      </c>
      <c r="N691" s="39" t="str">
        <f t="shared" si="10"/>
        <v>October 2024</v>
      </c>
    </row>
    <row r="692" spans="1:14" x14ac:dyDescent="0.3">
      <c r="A692" s="1" t="s">
        <v>852</v>
      </c>
      <c r="B692" s="17">
        <v>57</v>
      </c>
      <c r="C692" s="2" t="s">
        <v>38</v>
      </c>
      <c r="D692" s="2" t="s">
        <v>14</v>
      </c>
      <c r="E692" s="2" t="s">
        <v>23</v>
      </c>
      <c r="F692" s="3">
        <v>45597</v>
      </c>
      <c r="G692" s="2">
        <v>12</v>
      </c>
      <c r="H692" s="13">
        <v>1489.88</v>
      </c>
      <c r="I692" s="4" t="s">
        <v>26</v>
      </c>
      <c r="J692" s="8" t="str" cm="1">
        <f t="array" ref="J692">_xlfn.IFS(Table3[[#This Row],[Age (Years)]] &lt; 40, "Young", Table3[[#This Row],[Age (Years)]] &gt;= 40, "Middle", Table3[[#This Row],[Age (Years)]] &gt; 60, "Senior")</f>
        <v>Middle</v>
      </c>
      <c r="K692" s="8" t="str" cm="1">
        <f t="array" ref="K692">_xlfn.IFS(Table3[[#This Row],[Drug_Cost_GBP]] &gt; 1200, "High Cost", Table3[[#This Row],[Drug_Cost_GBP]] &lt; 1200, "Normal")</f>
        <v>High Cost</v>
      </c>
      <c r="L692" s="8" t="str" cm="1">
        <f t="array" ref="L692">IFERROR(_xlfn.IFS(Table3[[#This Row],[Age (Years)]]  &gt; 75, "YES", Table3[[#This Row],[Age (Years)]] &lt; 75, "NO"), "UNKNOWN")</f>
        <v>NO</v>
      </c>
      <c r="M692" s="8" t="str">
        <f>IF(Table3[[#This Row],[Drug_Cost_GBP]] &gt; Analysis_Sheet!$B$21, "Above Average", "Within Average")</f>
        <v>Above Average</v>
      </c>
      <c r="N692" s="39" t="str">
        <f t="shared" si="10"/>
        <v>November 2024</v>
      </c>
    </row>
    <row r="693" spans="1:14" x14ac:dyDescent="0.3">
      <c r="A693" s="5" t="s">
        <v>853</v>
      </c>
      <c r="B693" s="18">
        <v>57</v>
      </c>
      <c r="C693" s="6" t="s">
        <v>899</v>
      </c>
      <c r="D693" s="6" t="s">
        <v>14</v>
      </c>
      <c r="E693" s="6" t="s">
        <v>11</v>
      </c>
      <c r="F693" s="7">
        <v>45601</v>
      </c>
      <c r="G693" s="6">
        <v>12</v>
      </c>
      <c r="H693" s="14">
        <v>1002.0675517241378</v>
      </c>
      <c r="I693" s="8" t="s">
        <v>21</v>
      </c>
      <c r="J693" s="4" t="str" cm="1">
        <f t="array" ref="J693">_xlfn.IFS(Table3[[#This Row],[Age (Years)]] &lt; 40, "Young", Table3[[#This Row],[Age (Years)]] &gt;= 40, "Middle", Table3[[#This Row],[Age (Years)]] &gt; 60, "Senior")</f>
        <v>Middle</v>
      </c>
      <c r="K693" s="4" t="str" cm="1">
        <f t="array" ref="K693">_xlfn.IFS(Table3[[#This Row],[Drug_Cost_GBP]] &gt; 1200, "High Cost", Table3[[#This Row],[Drug_Cost_GBP]] &lt; 1200, "Normal")</f>
        <v>Normal</v>
      </c>
      <c r="L693" s="4" t="str" cm="1">
        <f t="array" ref="L693">IFERROR(_xlfn.IFS(Table3[[#This Row],[Age (Years)]]  &gt; 75, "YES", Table3[[#This Row],[Age (Years)]] &lt; 75, "NO"), "UNKNOWN")</f>
        <v>NO</v>
      </c>
      <c r="M693" s="4" t="str">
        <f>IF(Table3[[#This Row],[Drug_Cost_GBP]] &gt; Analysis_Sheet!$B$21, "Above Average", "Within Average")</f>
        <v>Within Average</v>
      </c>
      <c r="N693" s="39" t="str">
        <f t="shared" si="10"/>
        <v>November 2024</v>
      </c>
    </row>
    <row r="694" spans="1:14" x14ac:dyDescent="0.3">
      <c r="A694" s="1" t="s">
        <v>854</v>
      </c>
      <c r="B694" s="17">
        <v>57</v>
      </c>
      <c r="C694" s="2" t="s">
        <v>899</v>
      </c>
      <c r="D694" s="2" t="s">
        <v>19</v>
      </c>
      <c r="E694" s="2" t="s">
        <v>23</v>
      </c>
      <c r="F694" s="3" t="s">
        <v>900</v>
      </c>
      <c r="G694" s="2">
        <v>12</v>
      </c>
      <c r="H694" s="13">
        <v>1002.0675517241378</v>
      </c>
      <c r="I694" s="4" t="s">
        <v>26</v>
      </c>
      <c r="J694" s="8" t="str" cm="1">
        <f t="array" ref="J694">_xlfn.IFS(Table3[[#This Row],[Age (Years)]] &lt; 40, "Young", Table3[[#This Row],[Age (Years)]] &gt;= 40, "Middle", Table3[[#This Row],[Age (Years)]] &gt; 60, "Senior")</f>
        <v>Middle</v>
      </c>
      <c r="K694" s="8" t="str" cm="1">
        <f t="array" ref="K694">_xlfn.IFS(Table3[[#This Row],[Drug_Cost_GBP]] &gt; 1200, "High Cost", Table3[[#This Row],[Drug_Cost_GBP]] &lt; 1200, "Normal")</f>
        <v>Normal</v>
      </c>
      <c r="L694" s="8" t="str" cm="1">
        <f t="array" ref="L694">IFERROR(_xlfn.IFS(Table3[[#This Row],[Age (Years)]]  &gt; 75, "YES", Table3[[#This Row],[Age (Years)]] &lt; 75, "NO"), "UNKNOWN")</f>
        <v>NO</v>
      </c>
      <c r="M694" s="8" t="str">
        <f>IF(Table3[[#This Row],[Drug_Cost_GBP]] &gt; Analysis_Sheet!$B$21, "Above Average", "Within Average")</f>
        <v>Within Average</v>
      </c>
      <c r="N694" s="39" t="str">
        <f t="shared" si="10"/>
        <v>Unknown</v>
      </c>
    </row>
    <row r="695" spans="1:14" x14ac:dyDescent="0.3">
      <c r="A695" s="5" t="s">
        <v>855</v>
      </c>
      <c r="B695" s="18">
        <v>57</v>
      </c>
      <c r="C695" s="6" t="s">
        <v>900</v>
      </c>
      <c r="D695" s="6" t="s">
        <v>14</v>
      </c>
      <c r="E695" s="6" t="s">
        <v>43</v>
      </c>
      <c r="F695" s="7">
        <v>45527</v>
      </c>
      <c r="G695" s="6">
        <v>12</v>
      </c>
      <c r="H695" s="14">
        <v>1677.77</v>
      </c>
      <c r="I695" s="8" t="s">
        <v>21</v>
      </c>
      <c r="J695" s="4" t="str" cm="1">
        <f t="array" ref="J695">_xlfn.IFS(Table3[[#This Row],[Age (Years)]] &lt; 40, "Young", Table3[[#This Row],[Age (Years)]] &gt;= 40, "Middle", Table3[[#This Row],[Age (Years)]] &gt; 60, "Senior")</f>
        <v>Middle</v>
      </c>
      <c r="K695" s="4" t="str" cm="1">
        <f t="array" ref="K695">_xlfn.IFS(Table3[[#This Row],[Drug_Cost_GBP]] &gt; 1200, "High Cost", Table3[[#This Row],[Drug_Cost_GBP]] &lt; 1200, "Normal")</f>
        <v>High Cost</v>
      </c>
      <c r="L695" s="4" t="str" cm="1">
        <f t="array" ref="L695">IFERROR(_xlfn.IFS(Table3[[#This Row],[Age (Years)]]  &gt; 75, "YES", Table3[[#This Row],[Age (Years)]] &lt; 75, "NO"), "UNKNOWN")</f>
        <v>NO</v>
      </c>
      <c r="M695" s="4" t="str">
        <f>IF(Table3[[#This Row],[Drug_Cost_GBP]] &gt; Analysis_Sheet!$B$21, "Above Average", "Within Average")</f>
        <v>Above Average</v>
      </c>
      <c r="N695" s="39" t="str">
        <f t="shared" si="10"/>
        <v>August 2024</v>
      </c>
    </row>
    <row r="696" spans="1:14" x14ac:dyDescent="0.3">
      <c r="A696" s="1" t="s">
        <v>856</v>
      </c>
      <c r="B696" s="17">
        <v>57</v>
      </c>
      <c r="C696" s="2" t="s">
        <v>38</v>
      </c>
      <c r="D696" s="2" t="s">
        <v>14</v>
      </c>
      <c r="E696" s="2" t="s">
        <v>23</v>
      </c>
      <c r="F696" s="3">
        <v>45418</v>
      </c>
      <c r="G696" s="2">
        <v>12</v>
      </c>
      <c r="H696" s="13">
        <v>1002.0675517241378</v>
      </c>
      <c r="I696" s="4" t="s">
        <v>16</v>
      </c>
      <c r="J696" s="8" t="str" cm="1">
        <f t="array" ref="J696">_xlfn.IFS(Table3[[#This Row],[Age (Years)]] &lt; 40, "Young", Table3[[#This Row],[Age (Years)]] &gt;= 40, "Middle", Table3[[#This Row],[Age (Years)]] &gt; 60, "Senior")</f>
        <v>Middle</v>
      </c>
      <c r="K696" s="8" t="str" cm="1">
        <f t="array" ref="K696">_xlfn.IFS(Table3[[#This Row],[Drug_Cost_GBP]] &gt; 1200, "High Cost", Table3[[#This Row],[Drug_Cost_GBP]] &lt; 1200, "Normal")</f>
        <v>Normal</v>
      </c>
      <c r="L696" s="8" t="str" cm="1">
        <f t="array" ref="L696">IFERROR(_xlfn.IFS(Table3[[#This Row],[Age (Years)]]  &gt; 75, "YES", Table3[[#This Row],[Age (Years)]] &lt; 75, "NO"), "UNKNOWN")</f>
        <v>NO</v>
      </c>
      <c r="M696" s="8" t="str">
        <f>IF(Table3[[#This Row],[Drug_Cost_GBP]] &gt; Analysis_Sheet!$B$21, "Above Average", "Within Average")</f>
        <v>Within Average</v>
      </c>
      <c r="N696" s="39" t="str">
        <f t="shared" si="10"/>
        <v>May 2024</v>
      </c>
    </row>
    <row r="697" spans="1:14" x14ac:dyDescent="0.3">
      <c r="A697" s="5" t="s">
        <v>857</v>
      </c>
      <c r="B697" s="18">
        <v>57</v>
      </c>
      <c r="C697" s="6" t="s">
        <v>38</v>
      </c>
      <c r="D697" s="6" t="s">
        <v>900</v>
      </c>
      <c r="E697" s="6" t="s">
        <v>11</v>
      </c>
      <c r="F697" s="7">
        <v>45508</v>
      </c>
      <c r="G697" s="6">
        <v>2</v>
      </c>
      <c r="H697" s="14">
        <v>680.04</v>
      </c>
      <c r="I697" s="8" t="s">
        <v>21</v>
      </c>
      <c r="J697" s="8" t="str" cm="1">
        <f t="array" ref="J697">_xlfn.IFS(Table3[[#This Row],[Age (Years)]] &lt; 40, "Young", Table3[[#This Row],[Age (Years)]] &gt;= 40, "Middle", Table3[[#This Row],[Age (Years)]] &gt; 60, "Senior")</f>
        <v>Middle</v>
      </c>
      <c r="K697" s="8" t="str" cm="1">
        <f t="array" ref="K697">_xlfn.IFS(Table3[[#This Row],[Drug_Cost_GBP]] &gt; 1200, "High Cost", Table3[[#This Row],[Drug_Cost_GBP]] &lt; 1200, "Normal")</f>
        <v>Normal</v>
      </c>
      <c r="L697" s="8" t="str" cm="1">
        <f t="array" ref="L697">IFERROR(_xlfn.IFS(Table3[[#This Row],[Age (Years)]]  &gt; 75, "YES", Table3[[#This Row],[Age (Years)]] &lt; 75, "NO"), "UNKNOWN")</f>
        <v>NO</v>
      </c>
      <c r="M697" s="8" t="str">
        <f>IF(Table3[[#This Row],[Drug_Cost_GBP]] &gt; Analysis_Sheet!$B$21, "Above Average", "Within Average")</f>
        <v>Within Average</v>
      </c>
      <c r="N697" s="39" t="str">
        <f t="shared" si="10"/>
        <v>August 2024</v>
      </c>
    </row>
    <row r="698" spans="1:14" x14ac:dyDescent="0.3">
      <c r="A698" s="5" t="s">
        <v>859</v>
      </c>
      <c r="B698" s="18">
        <v>57</v>
      </c>
      <c r="C698" s="6" t="s">
        <v>38</v>
      </c>
      <c r="D698" s="6" t="s">
        <v>10</v>
      </c>
      <c r="E698" s="6" t="s">
        <v>23</v>
      </c>
      <c r="F698" s="7">
        <v>45617</v>
      </c>
      <c r="G698" s="6">
        <v>12</v>
      </c>
      <c r="H698" s="14">
        <v>1002.0675517241378</v>
      </c>
      <c r="I698" s="8" t="s">
        <v>16</v>
      </c>
      <c r="J698" s="4" t="str" cm="1">
        <f t="array" ref="J698">_xlfn.IFS(Table3[[#This Row],[Age (Years)]] &lt; 40, "Young", Table3[[#This Row],[Age (Years)]] &gt;= 40, "Middle", Table3[[#This Row],[Age (Years)]] &gt; 60, "Senior")</f>
        <v>Middle</v>
      </c>
      <c r="K698" s="4" t="str" cm="1">
        <f t="array" ref="K698">_xlfn.IFS(Table3[[#This Row],[Drug_Cost_GBP]] &gt; 1200, "High Cost", Table3[[#This Row],[Drug_Cost_GBP]] &lt; 1200, "Normal")</f>
        <v>Normal</v>
      </c>
      <c r="L698" s="4" t="str" cm="1">
        <f t="array" ref="L698">IFERROR(_xlfn.IFS(Table3[[#This Row],[Age (Years)]]  &gt; 75, "YES", Table3[[#This Row],[Age (Years)]] &lt; 75, "NO"), "UNKNOWN")</f>
        <v>NO</v>
      </c>
      <c r="M698" s="4" t="str">
        <f>IF(Table3[[#This Row],[Drug_Cost_GBP]] &gt; Analysis_Sheet!$B$21, "Above Average", "Within Average")</f>
        <v>Within Average</v>
      </c>
      <c r="N698" s="39" t="str">
        <f t="shared" si="10"/>
        <v>November 2024</v>
      </c>
    </row>
    <row r="699" spans="1:14" x14ac:dyDescent="0.3">
      <c r="A699" s="1" t="s">
        <v>862</v>
      </c>
      <c r="B699" s="17">
        <v>57</v>
      </c>
      <c r="C699" s="2" t="s">
        <v>899</v>
      </c>
      <c r="D699" s="2" t="s">
        <v>900</v>
      </c>
      <c r="E699" s="2" t="s">
        <v>23</v>
      </c>
      <c r="F699" s="3">
        <v>45545</v>
      </c>
      <c r="G699" s="2">
        <v>12</v>
      </c>
      <c r="H699" s="13">
        <v>1002.0675517241378</v>
      </c>
      <c r="I699" s="4" t="s">
        <v>26</v>
      </c>
      <c r="J699" s="4" t="str" cm="1">
        <f t="array" ref="J699">_xlfn.IFS(Table3[[#This Row],[Age (Years)]] &lt; 40, "Young", Table3[[#This Row],[Age (Years)]] &gt;= 40, "Middle", Table3[[#This Row],[Age (Years)]] &gt; 60, "Senior")</f>
        <v>Middle</v>
      </c>
      <c r="K699" s="4" t="str" cm="1">
        <f t="array" ref="K699">_xlfn.IFS(Table3[[#This Row],[Drug_Cost_GBP]] &gt; 1200, "High Cost", Table3[[#This Row],[Drug_Cost_GBP]] &lt; 1200, "Normal")</f>
        <v>Normal</v>
      </c>
      <c r="L699" s="4" t="str" cm="1">
        <f t="array" ref="L699">IFERROR(_xlfn.IFS(Table3[[#This Row],[Age (Years)]]  &gt; 75, "YES", Table3[[#This Row],[Age (Years)]] &lt; 75, "NO"), "UNKNOWN")</f>
        <v>NO</v>
      </c>
      <c r="M699" s="4" t="str">
        <f>IF(Table3[[#This Row],[Drug_Cost_GBP]] &gt; Analysis_Sheet!$B$21, "Above Average", "Within Average")</f>
        <v>Within Average</v>
      </c>
      <c r="N699" s="39" t="str">
        <f t="shared" si="10"/>
        <v>September 2024</v>
      </c>
    </row>
    <row r="700" spans="1:14" x14ac:dyDescent="0.3">
      <c r="A700" s="1" t="s">
        <v>864</v>
      </c>
      <c r="B700" s="17">
        <v>57</v>
      </c>
      <c r="C700" s="2" t="s">
        <v>899</v>
      </c>
      <c r="D700" s="2" t="s">
        <v>14</v>
      </c>
      <c r="E700" s="2" t="s">
        <v>43</v>
      </c>
      <c r="F700" s="3">
        <v>45477</v>
      </c>
      <c r="G700" s="2">
        <v>9</v>
      </c>
      <c r="H700" s="13">
        <v>1002.0675517241378</v>
      </c>
      <c r="I700" s="4" t="s">
        <v>12</v>
      </c>
      <c r="J700" s="8" t="str" cm="1">
        <f t="array" ref="J700">_xlfn.IFS(Table3[[#This Row],[Age (Years)]] &lt; 40, "Young", Table3[[#This Row],[Age (Years)]] &gt;= 40, "Middle", Table3[[#This Row],[Age (Years)]] &gt; 60, "Senior")</f>
        <v>Middle</v>
      </c>
      <c r="K700" s="8" t="str" cm="1">
        <f t="array" ref="K700">_xlfn.IFS(Table3[[#This Row],[Drug_Cost_GBP]] &gt; 1200, "High Cost", Table3[[#This Row],[Drug_Cost_GBP]] &lt; 1200, "Normal")</f>
        <v>Normal</v>
      </c>
      <c r="L700" s="8" t="str" cm="1">
        <f t="array" ref="L700">IFERROR(_xlfn.IFS(Table3[[#This Row],[Age (Years)]]  &gt; 75, "YES", Table3[[#This Row],[Age (Years)]] &lt; 75, "NO"), "UNKNOWN")</f>
        <v>NO</v>
      </c>
      <c r="M700" s="8" t="str">
        <f>IF(Table3[[#This Row],[Drug_Cost_GBP]] &gt; Analysis_Sheet!$B$21, "Above Average", "Within Average")</f>
        <v>Within Average</v>
      </c>
      <c r="N700" s="39" t="str">
        <f t="shared" si="10"/>
        <v>July 2024</v>
      </c>
    </row>
    <row r="701" spans="1:14" x14ac:dyDescent="0.3">
      <c r="A701" s="5" t="s">
        <v>865</v>
      </c>
      <c r="B701" s="18">
        <v>57</v>
      </c>
      <c r="C701" s="6" t="s">
        <v>899</v>
      </c>
      <c r="D701" s="6" t="s">
        <v>19</v>
      </c>
      <c r="E701" s="6" t="s">
        <v>57</v>
      </c>
      <c r="F701" s="7">
        <v>45545</v>
      </c>
      <c r="G701" s="6">
        <v>12</v>
      </c>
      <c r="H701" s="14">
        <v>1002.0675517241378</v>
      </c>
      <c r="I701" s="8" t="s">
        <v>21</v>
      </c>
      <c r="J701" s="4" t="str" cm="1">
        <f t="array" ref="J701">_xlfn.IFS(Table3[[#This Row],[Age (Years)]] &lt; 40, "Young", Table3[[#This Row],[Age (Years)]] &gt;= 40, "Middle", Table3[[#This Row],[Age (Years)]] &gt; 60, "Senior")</f>
        <v>Middle</v>
      </c>
      <c r="K701" s="4" t="str" cm="1">
        <f t="array" ref="K701">_xlfn.IFS(Table3[[#This Row],[Drug_Cost_GBP]] &gt; 1200, "High Cost", Table3[[#This Row],[Drug_Cost_GBP]] &lt; 1200, "Normal")</f>
        <v>Normal</v>
      </c>
      <c r="L701" s="4" t="str" cm="1">
        <f t="array" ref="L701">IFERROR(_xlfn.IFS(Table3[[#This Row],[Age (Years)]]  &gt; 75, "YES", Table3[[#This Row],[Age (Years)]] &lt; 75, "NO"), "UNKNOWN")</f>
        <v>NO</v>
      </c>
      <c r="M701" s="4" t="str">
        <f>IF(Table3[[#This Row],[Drug_Cost_GBP]] &gt; Analysis_Sheet!$B$21, "Above Average", "Within Average")</f>
        <v>Within Average</v>
      </c>
      <c r="N701" s="39" t="str">
        <f t="shared" si="10"/>
        <v>September 2024</v>
      </c>
    </row>
    <row r="702" spans="1:14" x14ac:dyDescent="0.3">
      <c r="A702" s="1" t="s">
        <v>866</v>
      </c>
      <c r="B702" s="17">
        <v>57</v>
      </c>
      <c r="C702" s="2" t="s">
        <v>38</v>
      </c>
      <c r="D702" s="2" t="s">
        <v>898</v>
      </c>
      <c r="E702" s="2" t="s">
        <v>23</v>
      </c>
      <c r="F702" s="3">
        <v>45447</v>
      </c>
      <c r="G702" s="2">
        <v>12</v>
      </c>
      <c r="H702" s="13">
        <v>1948.48</v>
      </c>
      <c r="I702" s="4" t="s">
        <v>16</v>
      </c>
      <c r="J702" s="8" t="str" cm="1">
        <f t="array" ref="J702">_xlfn.IFS(Table3[[#This Row],[Age (Years)]] &lt; 40, "Young", Table3[[#This Row],[Age (Years)]] &gt;= 40, "Middle", Table3[[#This Row],[Age (Years)]] &gt; 60, "Senior")</f>
        <v>Middle</v>
      </c>
      <c r="K702" s="8" t="str" cm="1">
        <f t="array" ref="K702">_xlfn.IFS(Table3[[#This Row],[Drug_Cost_GBP]] &gt; 1200, "High Cost", Table3[[#This Row],[Drug_Cost_GBP]] &lt; 1200, "Normal")</f>
        <v>High Cost</v>
      </c>
      <c r="L702" s="8" t="str" cm="1">
        <f t="array" ref="L702">IFERROR(_xlfn.IFS(Table3[[#This Row],[Age (Years)]]  &gt; 75, "YES", Table3[[#This Row],[Age (Years)]] &lt; 75, "NO"), "UNKNOWN")</f>
        <v>NO</v>
      </c>
      <c r="M702" s="8" t="str">
        <f>IF(Table3[[#This Row],[Drug_Cost_GBP]] &gt; Analysis_Sheet!$B$21, "Above Average", "Within Average")</f>
        <v>Above Average</v>
      </c>
      <c r="N702" s="39" t="str">
        <f t="shared" si="10"/>
        <v>June 2024</v>
      </c>
    </row>
    <row r="703" spans="1:14" x14ac:dyDescent="0.3">
      <c r="A703" s="5" t="s">
        <v>867</v>
      </c>
      <c r="B703" s="18">
        <v>57</v>
      </c>
      <c r="C703" s="6" t="s">
        <v>899</v>
      </c>
      <c r="D703" s="6" t="s">
        <v>900</v>
      </c>
      <c r="E703" s="6" t="s">
        <v>43</v>
      </c>
      <c r="F703" s="7" t="s">
        <v>900</v>
      </c>
      <c r="G703" s="6">
        <v>4</v>
      </c>
      <c r="H703" s="14">
        <v>1429.49</v>
      </c>
      <c r="I703" s="8" t="s">
        <v>12</v>
      </c>
      <c r="J703" s="4" t="str" cm="1">
        <f t="array" ref="J703">_xlfn.IFS(Table3[[#This Row],[Age (Years)]] &lt; 40, "Young", Table3[[#This Row],[Age (Years)]] &gt;= 40, "Middle", Table3[[#This Row],[Age (Years)]] &gt; 60, "Senior")</f>
        <v>Middle</v>
      </c>
      <c r="K703" s="4" t="str" cm="1">
        <f t="array" ref="K703">_xlfn.IFS(Table3[[#This Row],[Drug_Cost_GBP]] &gt; 1200, "High Cost", Table3[[#This Row],[Drug_Cost_GBP]] &lt; 1200, "Normal")</f>
        <v>High Cost</v>
      </c>
      <c r="L703" s="4" t="str" cm="1">
        <f t="array" ref="L703">IFERROR(_xlfn.IFS(Table3[[#This Row],[Age (Years)]]  &gt; 75, "YES", Table3[[#This Row],[Age (Years)]] &lt; 75, "NO"), "UNKNOWN")</f>
        <v>NO</v>
      </c>
      <c r="M703" s="4" t="str">
        <f>IF(Table3[[#This Row],[Drug_Cost_GBP]] &gt; Analysis_Sheet!$B$21, "Above Average", "Within Average")</f>
        <v>Above Average</v>
      </c>
      <c r="N703" s="39" t="str">
        <f t="shared" si="10"/>
        <v>Unknown</v>
      </c>
    </row>
    <row r="704" spans="1:14" x14ac:dyDescent="0.3">
      <c r="A704" s="1" t="s">
        <v>868</v>
      </c>
      <c r="B704" s="17">
        <v>57</v>
      </c>
      <c r="C704" s="2" t="s">
        <v>900</v>
      </c>
      <c r="D704" s="2" t="s">
        <v>898</v>
      </c>
      <c r="E704" s="2" t="s">
        <v>11</v>
      </c>
      <c r="F704" s="3" t="s">
        <v>900</v>
      </c>
      <c r="G704" s="2">
        <v>12</v>
      </c>
      <c r="H704" s="13">
        <v>1349.15</v>
      </c>
      <c r="I704" s="4" t="s">
        <v>26</v>
      </c>
      <c r="J704" s="8" t="str" cm="1">
        <f t="array" ref="J704">_xlfn.IFS(Table3[[#This Row],[Age (Years)]] &lt; 40, "Young", Table3[[#This Row],[Age (Years)]] &gt;= 40, "Middle", Table3[[#This Row],[Age (Years)]] &gt; 60, "Senior")</f>
        <v>Middle</v>
      </c>
      <c r="K704" s="8" t="str" cm="1">
        <f t="array" ref="K704">_xlfn.IFS(Table3[[#This Row],[Drug_Cost_GBP]] &gt; 1200, "High Cost", Table3[[#This Row],[Drug_Cost_GBP]] &lt; 1200, "Normal")</f>
        <v>High Cost</v>
      </c>
      <c r="L704" s="8" t="str" cm="1">
        <f t="array" ref="L704">IFERROR(_xlfn.IFS(Table3[[#This Row],[Age (Years)]]  &gt; 75, "YES", Table3[[#This Row],[Age (Years)]] &lt; 75, "NO"), "UNKNOWN")</f>
        <v>NO</v>
      </c>
      <c r="M704" s="8" t="str">
        <f>IF(Table3[[#This Row],[Drug_Cost_GBP]] &gt; Analysis_Sheet!$B$21, "Above Average", "Within Average")</f>
        <v>Above Average</v>
      </c>
      <c r="N704" s="39" t="str">
        <f t="shared" si="10"/>
        <v>Unknown</v>
      </c>
    </row>
    <row r="705" spans="1:14" x14ac:dyDescent="0.3">
      <c r="A705" s="5" t="s">
        <v>869</v>
      </c>
      <c r="B705" s="18">
        <v>57</v>
      </c>
      <c r="C705" s="6" t="s">
        <v>900</v>
      </c>
      <c r="D705" s="6" t="s">
        <v>25</v>
      </c>
      <c r="E705" s="6" t="s">
        <v>43</v>
      </c>
      <c r="F705" s="7" t="s">
        <v>900</v>
      </c>
      <c r="G705" s="6">
        <v>12</v>
      </c>
      <c r="H705" s="14">
        <v>948.61</v>
      </c>
      <c r="I705" s="8" t="s">
        <v>21</v>
      </c>
      <c r="J705" s="4" t="str" cm="1">
        <f t="array" ref="J705">_xlfn.IFS(Table3[[#This Row],[Age (Years)]] &lt; 40, "Young", Table3[[#This Row],[Age (Years)]] &gt;= 40, "Middle", Table3[[#This Row],[Age (Years)]] &gt; 60, "Senior")</f>
        <v>Middle</v>
      </c>
      <c r="K705" s="4" t="str" cm="1">
        <f t="array" ref="K705">_xlfn.IFS(Table3[[#This Row],[Drug_Cost_GBP]] &gt; 1200, "High Cost", Table3[[#This Row],[Drug_Cost_GBP]] &lt; 1200, "Normal")</f>
        <v>Normal</v>
      </c>
      <c r="L705" s="4" t="str" cm="1">
        <f t="array" ref="L705">IFERROR(_xlfn.IFS(Table3[[#This Row],[Age (Years)]]  &gt; 75, "YES", Table3[[#This Row],[Age (Years)]] &lt; 75, "NO"), "UNKNOWN")</f>
        <v>NO</v>
      </c>
      <c r="M705" s="4" t="str">
        <f>IF(Table3[[#This Row],[Drug_Cost_GBP]] &gt; Analysis_Sheet!$B$21, "Above Average", "Within Average")</f>
        <v>Within Average</v>
      </c>
      <c r="N705" s="39" t="str">
        <f t="shared" si="10"/>
        <v>Unknown</v>
      </c>
    </row>
    <row r="706" spans="1:14" x14ac:dyDescent="0.3">
      <c r="A706" s="1" t="s">
        <v>872</v>
      </c>
      <c r="B706" s="17">
        <v>57</v>
      </c>
      <c r="C706" s="2" t="s">
        <v>38</v>
      </c>
      <c r="D706" s="2" t="s">
        <v>14</v>
      </c>
      <c r="E706" s="2" t="s">
        <v>11</v>
      </c>
      <c r="F706" s="3">
        <v>45381</v>
      </c>
      <c r="G706" s="2">
        <v>6</v>
      </c>
      <c r="H706" s="13">
        <v>1002.0675517241378</v>
      </c>
      <c r="I706" s="4" t="s">
        <v>21</v>
      </c>
      <c r="J706" s="8" t="str" cm="1">
        <f t="array" ref="J706">_xlfn.IFS(Table3[[#This Row],[Age (Years)]] &lt; 40, "Young", Table3[[#This Row],[Age (Years)]] &gt;= 40, "Middle", Table3[[#This Row],[Age (Years)]] &gt; 60, "Senior")</f>
        <v>Middle</v>
      </c>
      <c r="K706" s="8" t="str" cm="1">
        <f t="array" ref="K706">_xlfn.IFS(Table3[[#This Row],[Drug_Cost_GBP]] &gt; 1200, "High Cost", Table3[[#This Row],[Drug_Cost_GBP]] &lt; 1200, "Normal")</f>
        <v>Normal</v>
      </c>
      <c r="L706" s="8" t="str" cm="1">
        <f t="array" ref="L706">IFERROR(_xlfn.IFS(Table3[[#This Row],[Age (Years)]]  &gt; 75, "YES", Table3[[#This Row],[Age (Years)]] &lt; 75, "NO"), "UNKNOWN")</f>
        <v>NO</v>
      </c>
      <c r="M706" s="8" t="str">
        <f>IF(Table3[[#This Row],[Drug_Cost_GBP]] &gt; Analysis_Sheet!$B$21, "Above Average", "Within Average")</f>
        <v>Within Average</v>
      </c>
      <c r="N706" s="39" t="str">
        <f t="shared" si="10"/>
        <v>March 2024</v>
      </c>
    </row>
    <row r="707" spans="1:14" x14ac:dyDescent="0.3">
      <c r="A707" s="5" t="s">
        <v>873</v>
      </c>
      <c r="B707" s="18">
        <v>57</v>
      </c>
      <c r="C707" s="6" t="s">
        <v>38</v>
      </c>
      <c r="D707" s="6" t="s">
        <v>51</v>
      </c>
      <c r="E707" s="6" t="s">
        <v>34</v>
      </c>
      <c r="F707" s="7" t="s">
        <v>900</v>
      </c>
      <c r="G707" s="6">
        <v>13</v>
      </c>
      <c r="H707" s="14">
        <v>1329.58</v>
      </c>
      <c r="I707" s="8" t="s">
        <v>16</v>
      </c>
      <c r="J707" s="4" t="str" cm="1">
        <f t="array" ref="J707">_xlfn.IFS(Table3[[#This Row],[Age (Years)]] &lt; 40, "Young", Table3[[#This Row],[Age (Years)]] &gt;= 40, "Middle", Table3[[#This Row],[Age (Years)]] &gt; 60, "Senior")</f>
        <v>Middle</v>
      </c>
      <c r="K707" s="4" t="str" cm="1">
        <f t="array" ref="K707">_xlfn.IFS(Table3[[#This Row],[Drug_Cost_GBP]] &gt; 1200, "High Cost", Table3[[#This Row],[Drug_Cost_GBP]] &lt; 1200, "Normal")</f>
        <v>High Cost</v>
      </c>
      <c r="L707" s="4" t="str" cm="1">
        <f t="array" ref="L707">IFERROR(_xlfn.IFS(Table3[[#This Row],[Age (Years)]]  &gt; 75, "YES", Table3[[#This Row],[Age (Years)]] &lt; 75, "NO"), "UNKNOWN")</f>
        <v>NO</v>
      </c>
      <c r="M707" s="4" t="str">
        <f>IF(Table3[[#This Row],[Drug_Cost_GBP]] &gt; Analysis_Sheet!$B$21, "Above Average", "Within Average")</f>
        <v>Above Average</v>
      </c>
      <c r="N707" s="39" t="str">
        <f t="shared" ref="N707:N770" si="11">IF(ISNUMBER(F707),TEXT(F707,"MMMM YYYY"),"Unknown")</f>
        <v>Unknown</v>
      </c>
    </row>
    <row r="708" spans="1:14" x14ac:dyDescent="0.3">
      <c r="A708" s="1" t="s">
        <v>874</v>
      </c>
      <c r="B708" s="17">
        <v>57</v>
      </c>
      <c r="C708" s="2" t="s">
        <v>899</v>
      </c>
      <c r="D708" s="2" t="s">
        <v>51</v>
      </c>
      <c r="E708" s="2" t="s">
        <v>43</v>
      </c>
      <c r="F708" s="3">
        <v>45336</v>
      </c>
      <c r="G708" s="2">
        <v>18</v>
      </c>
      <c r="H708" s="13">
        <v>1002.0675517241378</v>
      </c>
      <c r="I708" s="4" t="s">
        <v>12</v>
      </c>
      <c r="J708" s="8" t="str" cm="1">
        <f t="array" ref="J708">_xlfn.IFS(Table3[[#This Row],[Age (Years)]] &lt; 40, "Young", Table3[[#This Row],[Age (Years)]] &gt;= 40, "Middle", Table3[[#This Row],[Age (Years)]] &gt; 60, "Senior")</f>
        <v>Middle</v>
      </c>
      <c r="K708" s="8" t="str" cm="1">
        <f t="array" ref="K708">_xlfn.IFS(Table3[[#This Row],[Drug_Cost_GBP]] &gt; 1200, "High Cost", Table3[[#This Row],[Drug_Cost_GBP]] &lt; 1200, "Normal")</f>
        <v>Normal</v>
      </c>
      <c r="L708" s="8" t="str" cm="1">
        <f t="array" ref="L708">IFERROR(_xlfn.IFS(Table3[[#This Row],[Age (Years)]]  &gt; 75, "YES", Table3[[#This Row],[Age (Years)]] &lt; 75, "NO"), "UNKNOWN")</f>
        <v>NO</v>
      </c>
      <c r="M708" s="8" t="str">
        <f>IF(Table3[[#This Row],[Drug_Cost_GBP]] &gt; Analysis_Sheet!$B$21, "Above Average", "Within Average")</f>
        <v>Within Average</v>
      </c>
      <c r="N708" s="39" t="str">
        <f t="shared" si="11"/>
        <v>February 2024</v>
      </c>
    </row>
    <row r="709" spans="1:14" x14ac:dyDescent="0.3">
      <c r="A709" s="5" t="s">
        <v>875</v>
      </c>
      <c r="B709" s="18">
        <v>57</v>
      </c>
      <c r="C709" s="6" t="s">
        <v>38</v>
      </c>
      <c r="D709" s="6" t="s">
        <v>900</v>
      </c>
      <c r="E709" s="6" t="s">
        <v>29</v>
      </c>
      <c r="F709" s="7">
        <v>45531</v>
      </c>
      <c r="G709" s="6">
        <v>12</v>
      </c>
      <c r="H709" s="14">
        <v>1002.0675517241378</v>
      </c>
      <c r="I709" s="8" t="s">
        <v>12</v>
      </c>
      <c r="J709" s="8" t="str" cm="1">
        <f t="array" ref="J709">_xlfn.IFS(Table3[[#This Row],[Age (Years)]] &lt; 40, "Young", Table3[[#This Row],[Age (Years)]] &gt;= 40, "Middle", Table3[[#This Row],[Age (Years)]] &gt; 60, "Senior")</f>
        <v>Middle</v>
      </c>
      <c r="K709" s="8" t="str" cm="1">
        <f t="array" ref="K709">_xlfn.IFS(Table3[[#This Row],[Drug_Cost_GBP]] &gt; 1200, "High Cost", Table3[[#This Row],[Drug_Cost_GBP]] &lt; 1200, "Normal")</f>
        <v>Normal</v>
      </c>
      <c r="L709" s="8" t="str" cm="1">
        <f t="array" ref="L709">IFERROR(_xlfn.IFS(Table3[[#This Row],[Age (Years)]]  &gt; 75, "YES", Table3[[#This Row],[Age (Years)]] &lt; 75, "NO"), "UNKNOWN")</f>
        <v>NO</v>
      </c>
      <c r="M709" s="8" t="str">
        <f>IF(Table3[[#This Row],[Drug_Cost_GBP]] &gt; Analysis_Sheet!$B$21, "Above Average", "Within Average")</f>
        <v>Within Average</v>
      </c>
      <c r="N709" s="39" t="str">
        <f t="shared" si="11"/>
        <v>August 2024</v>
      </c>
    </row>
    <row r="710" spans="1:14" x14ac:dyDescent="0.3">
      <c r="A710" s="5" t="s">
        <v>877</v>
      </c>
      <c r="B710" s="18">
        <v>57</v>
      </c>
      <c r="C710" s="6" t="s">
        <v>899</v>
      </c>
      <c r="D710" s="6" t="s">
        <v>898</v>
      </c>
      <c r="E710" s="6" t="s">
        <v>29</v>
      </c>
      <c r="F710" s="7">
        <v>45531</v>
      </c>
      <c r="G710" s="6">
        <v>16</v>
      </c>
      <c r="H710" s="14">
        <v>1002.0675517241378</v>
      </c>
      <c r="I710" s="8" t="s">
        <v>900</v>
      </c>
      <c r="J710" s="4" t="str" cm="1">
        <f t="array" ref="J710">_xlfn.IFS(Table3[[#This Row],[Age (Years)]] &lt; 40, "Young", Table3[[#This Row],[Age (Years)]] &gt;= 40, "Middle", Table3[[#This Row],[Age (Years)]] &gt; 60, "Senior")</f>
        <v>Middle</v>
      </c>
      <c r="K710" s="4" t="str" cm="1">
        <f t="array" ref="K710">_xlfn.IFS(Table3[[#This Row],[Drug_Cost_GBP]] &gt; 1200, "High Cost", Table3[[#This Row],[Drug_Cost_GBP]] &lt; 1200, "Normal")</f>
        <v>Normal</v>
      </c>
      <c r="L710" s="4" t="str" cm="1">
        <f t="array" ref="L710">IFERROR(_xlfn.IFS(Table3[[#This Row],[Age (Years)]]  &gt; 75, "YES", Table3[[#This Row],[Age (Years)]] &lt; 75, "NO"), "UNKNOWN")</f>
        <v>NO</v>
      </c>
      <c r="M710" s="4" t="str">
        <f>IF(Table3[[#This Row],[Drug_Cost_GBP]] &gt; Analysis_Sheet!$B$21, "Above Average", "Within Average")</f>
        <v>Within Average</v>
      </c>
      <c r="N710" s="39" t="str">
        <f t="shared" si="11"/>
        <v>August 2024</v>
      </c>
    </row>
    <row r="711" spans="1:14" x14ac:dyDescent="0.3">
      <c r="A711" s="1" t="s">
        <v>878</v>
      </c>
      <c r="B711" s="17">
        <v>57</v>
      </c>
      <c r="C711" s="2" t="s">
        <v>38</v>
      </c>
      <c r="D711" s="2" t="s">
        <v>51</v>
      </c>
      <c r="E711" s="2" t="s">
        <v>43</v>
      </c>
      <c r="F711" s="3">
        <v>45552</v>
      </c>
      <c r="G711" s="2">
        <v>12</v>
      </c>
      <c r="H711" s="13">
        <v>285.10000000000002</v>
      </c>
      <c r="I711" s="4" t="s">
        <v>21</v>
      </c>
      <c r="J711" s="4" t="str" cm="1">
        <f t="array" ref="J711">_xlfn.IFS(Table3[[#This Row],[Age (Years)]] &lt; 40, "Young", Table3[[#This Row],[Age (Years)]] &gt;= 40, "Middle", Table3[[#This Row],[Age (Years)]] &gt; 60, "Senior")</f>
        <v>Middle</v>
      </c>
      <c r="K711" s="4" t="str" cm="1">
        <f t="array" ref="K711">_xlfn.IFS(Table3[[#This Row],[Drug_Cost_GBP]] &gt; 1200, "High Cost", Table3[[#This Row],[Drug_Cost_GBP]] &lt; 1200, "Normal")</f>
        <v>Normal</v>
      </c>
      <c r="L711" s="4" t="str" cm="1">
        <f t="array" ref="L711">IFERROR(_xlfn.IFS(Table3[[#This Row],[Age (Years)]]  &gt; 75, "YES", Table3[[#This Row],[Age (Years)]] &lt; 75, "NO"), "UNKNOWN")</f>
        <v>NO</v>
      </c>
      <c r="M711" s="4" t="str">
        <f>IF(Table3[[#This Row],[Drug_Cost_GBP]] &gt; Analysis_Sheet!$B$21, "Above Average", "Within Average")</f>
        <v>Within Average</v>
      </c>
      <c r="N711" s="39" t="str">
        <f t="shared" si="11"/>
        <v>September 2024</v>
      </c>
    </row>
    <row r="712" spans="1:14" x14ac:dyDescent="0.3">
      <c r="A712" s="1" t="s">
        <v>880</v>
      </c>
      <c r="B712" s="17">
        <v>57</v>
      </c>
      <c r="C712" s="2" t="s">
        <v>38</v>
      </c>
      <c r="D712" s="2" t="s">
        <v>14</v>
      </c>
      <c r="E712" s="2" t="s">
        <v>23</v>
      </c>
      <c r="F712" s="3">
        <v>45379</v>
      </c>
      <c r="G712" s="2">
        <v>12</v>
      </c>
      <c r="H712" s="13">
        <v>1002.0675517241378</v>
      </c>
      <c r="I712" s="4" t="s">
        <v>21</v>
      </c>
      <c r="J712" s="8" t="str" cm="1">
        <f t="array" ref="J712">_xlfn.IFS(Table3[[#This Row],[Age (Years)]] &lt; 40, "Young", Table3[[#This Row],[Age (Years)]] &gt;= 40, "Middle", Table3[[#This Row],[Age (Years)]] &gt; 60, "Senior")</f>
        <v>Middle</v>
      </c>
      <c r="K712" s="8" t="str" cm="1">
        <f t="array" ref="K712">_xlfn.IFS(Table3[[#This Row],[Drug_Cost_GBP]] &gt; 1200, "High Cost", Table3[[#This Row],[Drug_Cost_GBP]] &lt; 1200, "Normal")</f>
        <v>Normal</v>
      </c>
      <c r="L712" s="8" t="str" cm="1">
        <f t="array" ref="L712">IFERROR(_xlfn.IFS(Table3[[#This Row],[Age (Years)]]  &gt; 75, "YES", Table3[[#This Row],[Age (Years)]] &lt; 75, "NO"), "UNKNOWN")</f>
        <v>NO</v>
      </c>
      <c r="M712" s="8" t="str">
        <f>IF(Table3[[#This Row],[Drug_Cost_GBP]] &gt; Analysis_Sheet!$B$21, "Above Average", "Within Average")</f>
        <v>Within Average</v>
      </c>
      <c r="N712" s="39" t="str">
        <f t="shared" si="11"/>
        <v>March 2024</v>
      </c>
    </row>
    <row r="713" spans="1:14" x14ac:dyDescent="0.3">
      <c r="A713" s="5" t="s">
        <v>881</v>
      </c>
      <c r="B713" s="18">
        <v>57</v>
      </c>
      <c r="C713" s="6" t="s">
        <v>899</v>
      </c>
      <c r="D713" s="6" t="s">
        <v>25</v>
      </c>
      <c r="E713" s="6" t="s">
        <v>43</v>
      </c>
      <c r="F713" s="7">
        <v>45317</v>
      </c>
      <c r="G713" s="6">
        <v>11</v>
      </c>
      <c r="H713" s="14">
        <v>668.97</v>
      </c>
      <c r="I713" s="8" t="s">
        <v>16</v>
      </c>
      <c r="J713" s="4" t="str" cm="1">
        <f t="array" ref="J713">_xlfn.IFS(Table3[[#This Row],[Age (Years)]] &lt; 40, "Young", Table3[[#This Row],[Age (Years)]] &gt;= 40, "Middle", Table3[[#This Row],[Age (Years)]] &gt; 60, "Senior")</f>
        <v>Middle</v>
      </c>
      <c r="K713" s="4" t="str" cm="1">
        <f t="array" ref="K713">_xlfn.IFS(Table3[[#This Row],[Drug_Cost_GBP]] &gt; 1200, "High Cost", Table3[[#This Row],[Drug_Cost_GBP]] &lt; 1200, "Normal")</f>
        <v>Normal</v>
      </c>
      <c r="L713" s="4" t="str" cm="1">
        <f t="array" ref="L713">IFERROR(_xlfn.IFS(Table3[[#This Row],[Age (Years)]]  &gt; 75, "YES", Table3[[#This Row],[Age (Years)]] &lt; 75, "NO"), "UNKNOWN")</f>
        <v>NO</v>
      </c>
      <c r="M713" s="4" t="str">
        <f>IF(Table3[[#This Row],[Drug_Cost_GBP]] &gt; Analysis_Sheet!$B$21, "Above Average", "Within Average")</f>
        <v>Within Average</v>
      </c>
      <c r="N713" s="39" t="str">
        <f t="shared" si="11"/>
        <v>January 2024</v>
      </c>
    </row>
    <row r="714" spans="1:14" x14ac:dyDescent="0.3">
      <c r="A714" s="1" t="s">
        <v>882</v>
      </c>
      <c r="B714" s="17">
        <v>57</v>
      </c>
      <c r="C714" s="2" t="s">
        <v>38</v>
      </c>
      <c r="D714" s="2" t="s">
        <v>25</v>
      </c>
      <c r="E714" s="2" t="s">
        <v>29</v>
      </c>
      <c r="F714" s="3">
        <v>45581</v>
      </c>
      <c r="G714" s="2">
        <v>14</v>
      </c>
      <c r="H714" s="13">
        <v>1032.0999999999999</v>
      </c>
      <c r="I714" s="4" t="s">
        <v>12</v>
      </c>
      <c r="J714" s="8" t="str" cm="1">
        <f t="array" ref="J714">_xlfn.IFS(Table3[[#This Row],[Age (Years)]] &lt; 40, "Young", Table3[[#This Row],[Age (Years)]] &gt;= 40, "Middle", Table3[[#This Row],[Age (Years)]] &gt; 60, "Senior")</f>
        <v>Middle</v>
      </c>
      <c r="K714" s="8" t="str" cm="1">
        <f t="array" ref="K714">_xlfn.IFS(Table3[[#This Row],[Drug_Cost_GBP]] &gt; 1200, "High Cost", Table3[[#This Row],[Drug_Cost_GBP]] &lt; 1200, "Normal")</f>
        <v>Normal</v>
      </c>
      <c r="L714" s="8" t="str" cm="1">
        <f t="array" ref="L714">IFERROR(_xlfn.IFS(Table3[[#This Row],[Age (Years)]]  &gt; 75, "YES", Table3[[#This Row],[Age (Years)]] &lt; 75, "NO"), "UNKNOWN")</f>
        <v>NO</v>
      </c>
      <c r="M714" s="8" t="str">
        <f>IF(Table3[[#This Row],[Drug_Cost_GBP]] &gt; Analysis_Sheet!$B$21, "Above Average", "Within Average")</f>
        <v>Above Average</v>
      </c>
      <c r="N714" s="39" t="str">
        <f t="shared" si="11"/>
        <v>October 2024</v>
      </c>
    </row>
    <row r="715" spans="1:14" x14ac:dyDescent="0.3">
      <c r="A715" s="5" t="s">
        <v>885</v>
      </c>
      <c r="B715" s="18">
        <v>57</v>
      </c>
      <c r="C715" s="6" t="s">
        <v>899</v>
      </c>
      <c r="D715" s="6" t="s">
        <v>51</v>
      </c>
      <c r="E715" s="6" t="s">
        <v>23</v>
      </c>
      <c r="F715" s="7">
        <v>45484</v>
      </c>
      <c r="G715" s="6">
        <v>4</v>
      </c>
      <c r="H715" s="14">
        <v>1002.0675517241378</v>
      </c>
      <c r="I715" s="8" t="s">
        <v>21</v>
      </c>
      <c r="J715" s="4" t="str" cm="1">
        <f t="array" ref="J715">_xlfn.IFS(Table3[[#This Row],[Age (Years)]] &lt; 40, "Young", Table3[[#This Row],[Age (Years)]] &gt;= 40, "Middle", Table3[[#This Row],[Age (Years)]] &gt; 60, "Senior")</f>
        <v>Middle</v>
      </c>
      <c r="K715" s="4" t="str" cm="1">
        <f t="array" ref="K715">_xlfn.IFS(Table3[[#This Row],[Drug_Cost_GBP]] &gt; 1200, "High Cost", Table3[[#This Row],[Drug_Cost_GBP]] &lt; 1200, "Normal")</f>
        <v>Normal</v>
      </c>
      <c r="L715" s="4" t="str" cm="1">
        <f t="array" ref="L715">IFERROR(_xlfn.IFS(Table3[[#This Row],[Age (Years)]]  &gt; 75, "YES", Table3[[#This Row],[Age (Years)]] &lt; 75, "NO"), "UNKNOWN")</f>
        <v>NO</v>
      </c>
      <c r="M715" s="4" t="str">
        <f>IF(Table3[[#This Row],[Drug_Cost_GBP]] &gt; Analysis_Sheet!$B$21, "Above Average", "Within Average")</f>
        <v>Within Average</v>
      </c>
      <c r="N715" s="39" t="str">
        <f t="shared" si="11"/>
        <v>July 2024</v>
      </c>
    </row>
    <row r="716" spans="1:14" x14ac:dyDescent="0.3">
      <c r="A716" s="1" t="s">
        <v>886</v>
      </c>
      <c r="B716" s="17">
        <v>57</v>
      </c>
      <c r="C716" s="2" t="s">
        <v>900</v>
      </c>
      <c r="D716" s="2" t="s">
        <v>19</v>
      </c>
      <c r="E716" s="2" t="s">
        <v>11</v>
      </c>
      <c r="F716" s="3">
        <v>45380</v>
      </c>
      <c r="G716" s="2">
        <v>12</v>
      </c>
      <c r="H716" s="13">
        <v>1977.87</v>
      </c>
      <c r="I716" s="4" t="s">
        <v>12</v>
      </c>
      <c r="J716" s="8" t="str" cm="1">
        <f t="array" ref="J716">_xlfn.IFS(Table3[[#This Row],[Age (Years)]] &lt; 40, "Young", Table3[[#This Row],[Age (Years)]] &gt;= 40, "Middle", Table3[[#This Row],[Age (Years)]] &gt; 60, "Senior")</f>
        <v>Middle</v>
      </c>
      <c r="K716" s="8" t="str" cm="1">
        <f t="array" ref="K716">_xlfn.IFS(Table3[[#This Row],[Drug_Cost_GBP]] &gt; 1200, "High Cost", Table3[[#This Row],[Drug_Cost_GBP]] &lt; 1200, "Normal")</f>
        <v>High Cost</v>
      </c>
      <c r="L716" s="8" t="str" cm="1">
        <f t="array" ref="L716">IFERROR(_xlfn.IFS(Table3[[#This Row],[Age (Years)]]  &gt; 75, "YES", Table3[[#This Row],[Age (Years)]] &lt; 75, "NO"), "UNKNOWN")</f>
        <v>NO</v>
      </c>
      <c r="M716" s="8" t="str">
        <f>IF(Table3[[#This Row],[Drug_Cost_GBP]] &gt; Analysis_Sheet!$B$21, "Above Average", "Within Average")</f>
        <v>Above Average</v>
      </c>
      <c r="N716" s="39" t="str">
        <f t="shared" si="11"/>
        <v>March 2024</v>
      </c>
    </row>
    <row r="717" spans="1:14" x14ac:dyDescent="0.3">
      <c r="A717" s="5" t="s">
        <v>887</v>
      </c>
      <c r="B717" s="18">
        <v>57</v>
      </c>
      <c r="C717" s="6" t="s">
        <v>900</v>
      </c>
      <c r="D717" s="6" t="s">
        <v>25</v>
      </c>
      <c r="E717" s="6" t="s">
        <v>34</v>
      </c>
      <c r="F717" s="7">
        <v>45553</v>
      </c>
      <c r="G717" s="6">
        <v>12</v>
      </c>
      <c r="H717" s="14">
        <v>1002.0675517241378</v>
      </c>
      <c r="I717" s="8" t="s">
        <v>12</v>
      </c>
      <c r="J717" s="4" t="str" cm="1">
        <f t="array" ref="J717">_xlfn.IFS(Table3[[#This Row],[Age (Years)]] &lt; 40, "Young", Table3[[#This Row],[Age (Years)]] &gt;= 40, "Middle", Table3[[#This Row],[Age (Years)]] &gt; 60, "Senior")</f>
        <v>Middle</v>
      </c>
      <c r="K717" s="4" t="str" cm="1">
        <f t="array" ref="K717">_xlfn.IFS(Table3[[#This Row],[Drug_Cost_GBP]] &gt; 1200, "High Cost", Table3[[#This Row],[Drug_Cost_GBP]] &lt; 1200, "Normal")</f>
        <v>Normal</v>
      </c>
      <c r="L717" s="4" t="str" cm="1">
        <f t="array" ref="L717">IFERROR(_xlfn.IFS(Table3[[#This Row],[Age (Years)]]  &gt; 75, "YES", Table3[[#This Row],[Age (Years)]] &lt; 75, "NO"), "UNKNOWN")</f>
        <v>NO</v>
      </c>
      <c r="M717" s="4" t="str">
        <f>IF(Table3[[#This Row],[Drug_Cost_GBP]] &gt; Analysis_Sheet!$B$21, "Above Average", "Within Average")</f>
        <v>Within Average</v>
      </c>
      <c r="N717" s="39" t="str">
        <f t="shared" si="11"/>
        <v>September 2024</v>
      </c>
    </row>
    <row r="718" spans="1:14" x14ac:dyDescent="0.3">
      <c r="A718" s="1" t="s">
        <v>888</v>
      </c>
      <c r="B718" s="17">
        <v>57</v>
      </c>
      <c r="C718" s="2" t="s">
        <v>900</v>
      </c>
      <c r="D718" s="2" t="s">
        <v>51</v>
      </c>
      <c r="E718" s="2" t="s">
        <v>23</v>
      </c>
      <c r="F718" s="3">
        <v>45515</v>
      </c>
      <c r="G718" s="2">
        <v>12</v>
      </c>
      <c r="H718" s="13">
        <v>1701.18</v>
      </c>
      <c r="I718" s="4" t="s">
        <v>12</v>
      </c>
      <c r="J718" s="8" t="str" cm="1">
        <f t="array" ref="J718">_xlfn.IFS(Table3[[#This Row],[Age (Years)]] &lt; 40, "Young", Table3[[#This Row],[Age (Years)]] &gt;= 40, "Middle", Table3[[#This Row],[Age (Years)]] &gt; 60, "Senior")</f>
        <v>Middle</v>
      </c>
      <c r="K718" s="8" t="str" cm="1">
        <f t="array" ref="K718">_xlfn.IFS(Table3[[#This Row],[Drug_Cost_GBP]] &gt; 1200, "High Cost", Table3[[#This Row],[Drug_Cost_GBP]] &lt; 1200, "Normal")</f>
        <v>High Cost</v>
      </c>
      <c r="L718" s="8" t="str" cm="1">
        <f t="array" ref="L718">IFERROR(_xlfn.IFS(Table3[[#This Row],[Age (Years)]]  &gt; 75, "YES", Table3[[#This Row],[Age (Years)]] &lt; 75, "NO"), "UNKNOWN")</f>
        <v>NO</v>
      </c>
      <c r="M718" s="8" t="str">
        <f>IF(Table3[[#This Row],[Drug_Cost_GBP]] &gt; Analysis_Sheet!$B$21, "Above Average", "Within Average")</f>
        <v>Above Average</v>
      </c>
      <c r="N718" s="39" t="str">
        <f t="shared" si="11"/>
        <v>August 2024</v>
      </c>
    </row>
    <row r="719" spans="1:14" x14ac:dyDescent="0.3">
      <c r="A719" s="5" t="s">
        <v>889</v>
      </c>
      <c r="B719" s="18">
        <v>57</v>
      </c>
      <c r="C719" s="6" t="s">
        <v>899</v>
      </c>
      <c r="D719" s="6" t="s">
        <v>898</v>
      </c>
      <c r="E719" s="6" t="s">
        <v>34</v>
      </c>
      <c r="F719" s="7">
        <v>45431</v>
      </c>
      <c r="G719" s="6">
        <v>12</v>
      </c>
      <c r="H719" s="14">
        <v>1002.0675517241378</v>
      </c>
      <c r="I719" s="8" t="s">
        <v>21</v>
      </c>
      <c r="J719" s="4" t="str" cm="1">
        <f t="array" ref="J719">_xlfn.IFS(Table3[[#This Row],[Age (Years)]] &lt; 40, "Young", Table3[[#This Row],[Age (Years)]] &gt;= 40, "Middle", Table3[[#This Row],[Age (Years)]] &gt; 60, "Senior")</f>
        <v>Middle</v>
      </c>
      <c r="K719" s="4" t="str" cm="1">
        <f t="array" ref="K719">_xlfn.IFS(Table3[[#This Row],[Drug_Cost_GBP]] &gt; 1200, "High Cost", Table3[[#This Row],[Drug_Cost_GBP]] &lt; 1200, "Normal")</f>
        <v>Normal</v>
      </c>
      <c r="L719" s="4" t="str" cm="1">
        <f t="array" ref="L719">IFERROR(_xlfn.IFS(Table3[[#This Row],[Age (Years)]]  &gt; 75, "YES", Table3[[#This Row],[Age (Years)]] &lt; 75, "NO"), "UNKNOWN")</f>
        <v>NO</v>
      </c>
      <c r="M719" s="4" t="str">
        <f>IF(Table3[[#This Row],[Drug_Cost_GBP]] &gt; Analysis_Sheet!$B$21, "Above Average", "Within Average")</f>
        <v>Within Average</v>
      </c>
      <c r="N719" s="39" t="str">
        <f t="shared" si="11"/>
        <v>May 2024</v>
      </c>
    </row>
    <row r="720" spans="1:14" x14ac:dyDescent="0.3">
      <c r="A720" s="1" t="s">
        <v>892</v>
      </c>
      <c r="B720" s="17">
        <v>57</v>
      </c>
      <c r="C720" s="2" t="s">
        <v>900</v>
      </c>
      <c r="D720" s="2" t="s">
        <v>10</v>
      </c>
      <c r="E720" s="2" t="s">
        <v>29</v>
      </c>
      <c r="F720" s="3">
        <v>45390</v>
      </c>
      <c r="G720" s="2">
        <v>12</v>
      </c>
      <c r="H720" s="13">
        <v>1002.0675517241378</v>
      </c>
      <c r="I720" s="4" t="s">
        <v>16</v>
      </c>
      <c r="J720" s="8" t="str" cm="1">
        <f t="array" ref="J720">_xlfn.IFS(Table3[[#This Row],[Age (Years)]] &lt; 40, "Young", Table3[[#This Row],[Age (Years)]] &gt;= 40, "Middle", Table3[[#This Row],[Age (Years)]] &gt; 60, "Senior")</f>
        <v>Middle</v>
      </c>
      <c r="K720" s="8" t="str" cm="1">
        <f t="array" ref="K720">_xlfn.IFS(Table3[[#This Row],[Drug_Cost_GBP]] &gt; 1200, "High Cost", Table3[[#This Row],[Drug_Cost_GBP]] &lt; 1200, "Normal")</f>
        <v>Normal</v>
      </c>
      <c r="L720" s="8" t="str" cm="1">
        <f t="array" ref="L720">IFERROR(_xlfn.IFS(Table3[[#This Row],[Age (Years)]]  &gt; 75, "YES", Table3[[#This Row],[Age (Years)]] &lt; 75, "NO"), "UNKNOWN")</f>
        <v>NO</v>
      </c>
      <c r="M720" s="8" t="str">
        <f>IF(Table3[[#This Row],[Drug_Cost_GBP]] &gt; Analysis_Sheet!$B$21, "Above Average", "Within Average")</f>
        <v>Within Average</v>
      </c>
      <c r="N720" s="39" t="str">
        <f t="shared" si="11"/>
        <v>April 2024</v>
      </c>
    </row>
    <row r="721" spans="1:14" x14ac:dyDescent="0.3">
      <c r="A721" s="5" t="s">
        <v>895</v>
      </c>
      <c r="B721" s="18">
        <v>57</v>
      </c>
      <c r="C721" s="6" t="s">
        <v>899</v>
      </c>
      <c r="D721" s="6" t="s">
        <v>10</v>
      </c>
      <c r="E721" s="6" t="s">
        <v>23</v>
      </c>
      <c r="F721" s="7">
        <v>45590</v>
      </c>
      <c r="G721" s="6">
        <v>12</v>
      </c>
      <c r="H721" s="14">
        <v>1002.0675517241378</v>
      </c>
      <c r="I721" s="8" t="s">
        <v>12</v>
      </c>
      <c r="J721" s="4" t="str" cm="1">
        <f t="array" ref="J721">_xlfn.IFS(Table3[[#This Row],[Age (Years)]] &lt; 40, "Young", Table3[[#This Row],[Age (Years)]] &gt;= 40, "Middle", Table3[[#This Row],[Age (Years)]] &gt; 60, "Senior")</f>
        <v>Middle</v>
      </c>
      <c r="K721" s="4" t="str" cm="1">
        <f t="array" ref="K721">_xlfn.IFS(Table3[[#This Row],[Drug_Cost_GBP]] &gt; 1200, "High Cost", Table3[[#This Row],[Drug_Cost_GBP]] &lt; 1200, "Normal")</f>
        <v>Normal</v>
      </c>
      <c r="L721" s="4" t="str" cm="1">
        <f t="array" ref="L721">IFERROR(_xlfn.IFS(Table3[[#This Row],[Age (Years)]]  &gt; 75, "YES", Table3[[#This Row],[Age (Years)]] &lt; 75, "NO"), "UNKNOWN")</f>
        <v>NO</v>
      </c>
      <c r="M721" s="4" t="str">
        <f>IF(Table3[[#This Row],[Drug_Cost_GBP]] &gt; Analysis_Sheet!$B$21, "Above Average", "Within Average")</f>
        <v>Within Average</v>
      </c>
      <c r="N721" s="39" t="str">
        <f t="shared" si="11"/>
        <v>October 2024</v>
      </c>
    </row>
    <row r="722" spans="1:14" x14ac:dyDescent="0.3">
      <c r="A722" s="1" t="s">
        <v>896</v>
      </c>
      <c r="B722" s="17">
        <v>57</v>
      </c>
      <c r="C722" s="2" t="s">
        <v>899</v>
      </c>
      <c r="D722" s="2" t="s">
        <v>51</v>
      </c>
      <c r="E722" s="2" t="s">
        <v>23</v>
      </c>
      <c r="F722" s="3">
        <v>45438</v>
      </c>
      <c r="G722" s="2">
        <v>12</v>
      </c>
      <c r="H722" s="13">
        <v>1002.0675517241378</v>
      </c>
      <c r="I722" s="4" t="s">
        <v>900</v>
      </c>
      <c r="J722" s="4" t="str" cm="1">
        <f t="array" ref="J722">_xlfn.IFS(Table3[[#This Row],[Age (Years)]] &lt; 40, "Young", Table3[[#This Row],[Age (Years)]] &gt;= 40, "Middle", Table3[[#This Row],[Age (Years)]] &gt; 60, "Senior")</f>
        <v>Middle</v>
      </c>
      <c r="K722" s="4" t="str" cm="1">
        <f t="array" ref="K722">_xlfn.IFS(Table3[[#This Row],[Drug_Cost_GBP]] &gt; 1200, "High Cost", Table3[[#This Row],[Drug_Cost_GBP]] &lt; 1200, "Normal")</f>
        <v>Normal</v>
      </c>
      <c r="L722" s="4" t="str" cm="1">
        <f t="array" ref="L722">IFERROR(_xlfn.IFS(Table3[[#This Row],[Age (Years)]]  &gt; 75, "YES", Table3[[#This Row],[Age (Years)]] &lt; 75, "NO"), "UNKNOWN")</f>
        <v>NO</v>
      </c>
      <c r="M722" s="4" t="str">
        <f>IF(Table3[[#This Row],[Drug_Cost_GBP]] &gt; Analysis_Sheet!$B$21, "Above Average", "Within Average")</f>
        <v>Within Average</v>
      </c>
      <c r="N722" s="39" t="str">
        <f t="shared" si="11"/>
        <v>May 2024</v>
      </c>
    </row>
    <row r="723" spans="1:14" x14ac:dyDescent="0.3">
      <c r="A723" s="1" t="s">
        <v>64</v>
      </c>
      <c r="B723" s="17">
        <v>56</v>
      </c>
      <c r="C723" s="2" t="s">
        <v>38</v>
      </c>
      <c r="D723" s="2" t="s">
        <v>900</v>
      </c>
      <c r="E723" s="2" t="s">
        <v>23</v>
      </c>
      <c r="F723" s="3">
        <v>45398</v>
      </c>
      <c r="G723" s="2">
        <v>12</v>
      </c>
      <c r="H723" s="13">
        <v>1002.0675517241378</v>
      </c>
      <c r="I723" s="4" t="s">
        <v>900</v>
      </c>
      <c r="J723" s="8" t="str" cm="1">
        <f t="array" ref="J723">_xlfn.IFS(Table3[[#This Row],[Age (Years)]] &lt; 40, "Young", Table3[[#This Row],[Age (Years)]] &gt;= 40, "Middle", Table3[[#This Row],[Age (Years)]] &gt; 60, "Senior")</f>
        <v>Middle</v>
      </c>
      <c r="K723" s="8" t="str" cm="1">
        <f t="array" ref="K723">_xlfn.IFS(Table3[[#This Row],[Drug_Cost_GBP]] &gt; 1200, "High Cost", Table3[[#This Row],[Drug_Cost_GBP]] &lt; 1200, "Normal")</f>
        <v>Normal</v>
      </c>
      <c r="L723" s="8" t="str" cm="1">
        <f t="array" ref="L723">IFERROR(_xlfn.IFS(Table3[[#This Row],[Age (Years)]]  &gt; 75, "YES", Table3[[#This Row],[Age (Years)]] &lt; 75, "NO"), "UNKNOWN")</f>
        <v>NO</v>
      </c>
      <c r="M723" s="8" t="str">
        <f>IF(Table3[[#This Row],[Drug_Cost_GBP]] &gt; Analysis_Sheet!$B$21, "Above Average", "Within Average")</f>
        <v>Within Average</v>
      </c>
      <c r="N723" s="39" t="str">
        <f t="shared" si="11"/>
        <v>April 2024</v>
      </c>
    </row>
    <row r="724" spans="1:14" x14ac:dyDescent="0.3">
      <c r="A724" s="5" t="s">
        <v>455</v>
      </c>
      <c r="B724" s="18">
        <v>56</v>
      </c>
      <c r="C724" s="6" t="s">
        <v>38</v>
      </c>
      <c r="D724" s="6" t="s">
        <v>10</v>
      </c>
      <c r="E724" s="6" t="s">
        <v>23</v>
      </c>
      <c r="F724" s="7">
        <v>45417</v>
      </c>
      <c r="G724" s="6">
        <v>19</v>
      </c>
      <c r="H724" s="14">
        <v>147.86000000000001</v>
      </c>
      <c r="I724" s="8" t="s">
        <v>26</v>
      </c>
      <c r="J724" s="8" t="str" cm="1">
        <f t="array" ref="J724">_xlfn.IFS(Table3[[#This Row],[Age (Years)]] &lt; 40, "Young", Table3[[#This Row],[Age (Years)]] &gt;= 40, "Middle", Table3[[#This Row],[Age (Years)]] &gt; 60, "Senior")</f>
        <v>Middle</v>
      </c>
      <c r="K724" s="8" t="str" cm="1">
        <f t="array" ref="K724">_xlfn.IFS(Table3[[#This Row],[Drug_Cost_GBP]] &gt; 1200, "High Cost", Table3[[#This Row],[Drug_Cost_GBP]] &lt; 1200, "Normal")</f>
        <v>Normal</v>
      </c>
      <c r="L724" s="8" t="str" cm="1">
        <f t="array" ref="L724">IFERROR(_xlfn.IFS(Table3[[#This Row],[Age (Years)]]  &gt; 75, "YES", Table3[[#This Row],[Age (Years)]] &lt; 75, "NO"), "UNKNOWN")</f>
        <v>NO</v>
      </c>
      <c r="M724" s="8" t="str">
        <f>IF(Table3[[#This Row],[Drug_Cost_GBP]] &gt; Analysis_Sheet!$B$21, "Above Average", "Within Average")</f>
        <v>Within Average</v>
      </c>
      <c r="N724" s="39" t="str">
        <f t="shared" si="11"/>
        <v>May 2024</v>
      </c>
    </row>
    <row r="725" spans="1:14" x14ac:dyDescent="0.3">
      <c r="A725" s="5" t="s">
        <v>465</v>
      </c>
      <c r="B725" s="18">
        <v>56</v>
      </c>
      <c r="C725" s="6" t="s">
        <v>900</v>
      </c>
      <c r="D725" s="6" t="s">
        <v>48</v>
      </c>
      <c r="E725" s="6" t="s">
        <v>23</v>
      </c>
      <c r="F725" s="7">
        <v>45554</v>
      </c>
      <c r="G725" s="6">
        <v>12</v>
      </c>
      <c r="H725" s="14">
        <v>1293.78</v>
      </c>
      <c r="I725" s="8" t="s">
        <v>12</v>
      </c>
      <c r="J725" s="8" t="str" cm="1">
        <f t="array" ref="J725">_xlfn.IFS(Table3[[#This Row],[Age (Years)]] &lt; 40, "Young", Table3[[#This Row],[Age (Years)]] &gt;= 40, "Middle", Table3[[#This Row],[Age (Years)]] &gt; 60, "Senior")</f>
        <v>Middle</v>
      </c>
      <c r="K725" s="8" t="str" cm="1">
        <f t="array" ref="K725">_xlfn.IFS(Table3[[#This Row],[Drug_Cost_GBP]] &gt; 1200, "High Cost", Table3[[#This Row],[Drug_Cost_GBP]] &lt; 1200, "Normal")</f>
        <v>High Cost</v>
      </c>
      <c r="L725" s="8" t="str" cm="1">
        <f t="array" ref="L725">IFERROR(_xlfn.IFS(Table3[[#This Row],[Age (Years)]]  &gt; 75, "YES", Table3[[#This Row],[Age (Years)]] &lt; 75, "NO"), "UNKNOWN")</f>
        <v>NO</v>
      </c>
      <c r="M725" s="8" t="str">
        <f>IF(Table3[[#This Row],[Drug_Cost_GBP]] &gt; Analysis_Sheet!$B$21, "Above Average", "Within Average")</f>
        <v>Above Average</v>
      </c>
      <c r="N725" s="39" t="str">
        <f t="shared" si="11"/>
        <v>September 2024</v>
      </c>
    </row>
    <row r="726" spans="1:14" x14ac:dyDescent="0.3">
      <c r="A726" s="5" t="s">
        <v>563</v>
      </c>
      <c r="B726" s="18">
        <v>56</v>
      </c>
      <c r="C726" s="6" t="s">
        <v>899</v>
      </c>
      <c r="D726" s="6" t="s">
        <v>900</v>
      </c>
      <c r="E726" s="6" t="s">
        <v>43</v>
      </c>
      <c r="F726" s="7">
        <v>45464</v>
      </c>
      <c r="G726" s="6">
        <v>12</v>
      </c>
      <c r="H726" s="14">
        <v>922.04</v>
      </c>
      <c r="I726" s="8" t="s">
        <v>12</v>
      </c>
      <c r="J726" s="4" t="str" cm="1">
        <f t="array" ref="J726">_xlfn.IFS(Table3[[#This Row],[Age (Years)]] &lt; 40, "Young", Table3[[#This Row],[Age (Years)]] &gt;= 40, "Middle", Table3[[#This Row],[Age (Years)]] &gt; 60, "Senior")</f>
        <v>Middle</v>
      </c>
      <c r="K726" s="4" t="str" cm="1">
        <f t="array" ref="K726">_xlfn.IFS(Table3[[#This Row],[Drug_Cost_GBP]] &gt; 1200, "High Cost", Table3[[#This Row],[Drug_Cost_GBP]] &lt; 1200, "Normal")</f>
        <v>Normal</v>
      </c>
      <c r="L726" s="4" t="str" cm="1">
        <f t="array" ref="L726">IFERROR(_xlfn.IFS(Table3[[#This Row],[Age (Years)]]  &gt; 75, "YES", Table3[[#This Row],[Age (Years)]] &lt; 75, "NO"), "UNKNOWN")</f>
        <v>NO</v>
      </c>
      <c r="M726" s="4" t="str">
        <f>IF(Table3[[#This Row],[Drug_Cost_GBP]] &gt; Analysis_Sheet!$B$21, "Above Average", "Within Average")</f>
        <v>Within Average</v>
      </c>
      <c r="N726" s="39" t="str">
        <f t="shared" si="11"/>
        <v>June 2024</v>
      </c>
    </row>
    <row r="727" spans="1:14" x14ac:dyDescent="0.3">
      <c r="A727" s="1" t="s">
        <v>624</v>
      </c>
      <c r="B727" s="17">
        <v>56</v>
      </c>
      <c r="C727" s="2" t="s">
        <v>900</v>
      </c>
      <c r="D727" s="2" t="s">
        <v>51</v>
      </c>
      <c r="E727" s="2" t="s">
        <v>34</v>
      </c>
      <c r="F727" s="3" t="s">
        <v>900</v>
      </c>
      <c r="G727" s="2">
        <v>15</v>
      </c>
      <c r="H727" s="13">
        <v>1154.6300000000001</v>
      </c>
      <c r="I727" s="4" t="s">
        <v>21</v>
      </c>
      <c r="J727" s="32" t="str" cm="1">
        <f t="array" ref="J727">_xlfn.IFS(Table3[[#This Row],[Age (Years)]] &lt; 40, "Young", Table3[[#This Row],[Age (Years)]] &gt;= 40, "Middle", Table3[[#This Row],[Age (Years)]] &gt; 60, "Senior")</f>
        <v>Middle</v>
      </c>
      <c r="K727" s="32" t="str" cm="1">
        <f t="array" ref="K727">_xlfn.IFS(Table3[[#This Row],[Drug_Cost_GBP]] &gt; 1200, "High Cost", Table3[[#This Row],[Drug_Cost_GBP]] &lt; 1200, "Normal")</f>
        <v>Normal</v>
      </c>
      <c r="L727" s="32" t="str" cm="1">
        <f t="array" ref="L727">IFERROR(_xlfn.IFS(Table3[[#This Row],[Age (Years)]]  &gt; 75, "YES", Table3[[#This Row],[Age (Years)]] &lt; 75, "NO"), "UNKNOWN")</f>
        <v>NO</v>
      </c>
      <c r="M727" s="32" t="str">
        <f>IF(Table3[[#This Row],[Drug_Cost_GBP]] &gt; Analysis_Sheet!$B$21, "Above Average", "Within Average")</f>
        <v>Above Average</v>
      </c>
      <c r="N727" s="39" t="str">
        <f t="shared" si="11"/>
        <v>Unknown</v>
      </c>
    </row>
    <row r="728" spans="1:14" x14ac:dyDescent="0.3">
      <c r="A728" s="1" t="s">
        <v>162</v>
      </c>
      <c r="B728" s="17">
        <v>55</v>
      </c>
      <c r="C728" s="2" t="s">
        <v>899</v>
      </c>
      <c r="D728" s="2" t="s">
        <v>19</v>
      </c>
      <c r="E728" s="2" t="s">
        <v>29</v>
      </c>
      <c r="F728" s="3">
        <v>45610</v>
      </c>
      <c r="G728" s="2">
        <v>6</v>
      </c>
      <c r="H728" s="13">
        <v>1002.0675517241378</v>
      </c>
      <c r="I728" s="4" t="s">
        <v>26</v>
      </c>
      <c r="J728" s="8" t="str" cm="1">
        <f t="array" ref="J728">_xlfn.IFS(Table3[[#This Row],[Age (Years)]] &lt; 40, "Young", Table3[[#This Row],[Age (Years)]] &gt;= 40, "Middle", Table3[[#This Row],[Age (Years)]] &gt; 60, "Senior")</f>
        <v>Middle</v>
      </c>
      <c r="K728" s="8" t="str" cm="1">
        <f t="array" ref="K728">_xlfn.IFS(Table3[[#This Row],[Drug_Cost_GBP]] &gt; 1200, "High Cost", Table3[[#This Row],[Drug_Cost_GBP]] &lt; 1200, "Normal")</f>
        <v>Normal</v>
      </c>
      <c r="L728" s="8" t="str" cm="1">
        <f t="array" ref="L728">IFERROR(_xlfn.IFS(Table3[[#This Row],[Age (Years)]]  &gt; 75, "YES", Table3[[#This Row],[Age (Years)]] &lt; 75, "NO"), "UNKNOWN")</f>
        <v>NO</v>
      </c>
      <c r="M728" s="8" t="str">
        <f>IF(Table3[[#This Row],[Drug_Cost_GBP]] &gt; Analysis_Sheet!$B$21, "Above Average", "Within Average")</f>
        <v>Within Average</v>
      </c>
      <c r="N728" s="39" t="str">
        <f t="shared" si="11"/>
        <v>November 2024</v>
      </c>
    </row>
    <row r="729" spans="1:14" x14ac:dyDescent="0.3">
      <c r="A729" s="5" t="s">
        <v>253</v>
      </c>
      <c r="B729" s="18">
        <v>55</v>
      </c>
      <c r="C729" s="6" t="s">
        <v>38</v>
      </c>
      <c r="D729" s="6" t="s">
        <v>25</v>
      </c>
      <c r="E729" s="6" t="s">
        <v>34</v>
      </c>
      <c r="F729" s="7">
        <v>45408</v>
      </c>
      <c r="G729" s="6">
        <v>12</v>
      </c>
      <c r="H729" s="14">
        <v>1002.0675517241378</v>
      </c>
      <c r="I729" s="8" t="s">
        <v>21</v>
      </c>
      <c r="J729" s="8" t="str" cm="1">
        <f t="array" ref="J729">_xlfn.IFS(Table3[[#This Row],[Age (Years)]] &lt; 40, "Young", Table3[[#This Row],[Age (Years)]] &gt;= 40, "Middle", Table3[[#This Row],[Age (Years)]] &gt; 60, "Senior")</f>
        <v>Middle</v>
      </c>
      <c r="K729" s="8" t="str" cm="1">
        <f t="array" ref="K729">_xlfn.IFS(Table3[[#This Row],[Drug_Cost_GBP]] &gt; 1200, "High Cost", Table3[[#This Row],[Drug_Cost_GBP]] &lt; 1200, "Normal")</f>
        <v>Normal</v>
      </c>
      <c r="L729" s="8" t="str" cm="1">
        <f t="array" ref="L729">IFERROR(_xlfn.IFS(Table3[[#This Row],[Age (Years)]]  &gt; 75, "YES", Table3[[#This Row],[Age (Years)]] &lt; 75, "NO"), "UNKNOWN")</f>
        <v>NO</v>
      </c>
      <c r="M729" s="8" t="str">
        <f>IF(Table3[[#This Row],[Drug_Cost_GBP]] &gt; Analysis_Sheet!$B$21, "Above Average", "Within Average")</f>
        <v>Within Average</v>
      </c>
      <c r="N729" s="39" t="str">
        <f t="shared" si="11"/>
        <v>April 2024</v>
      </c>
    </row>
    <row r="730" spans="1:14" x14ac:dyDescent="0.3">
      <c r="A730" s="5" t="s">
        <v>603</v>
      </c>
      <c r="B730" s="18">
        <v>55</v>
      </c>
      <c r="C730" s="6" t="s">
        <v>38</v>
      </c>
      <c r="D730" s="6" t="s">
        <v>51</v>
      </c>
      <c r="E730" s="6" t="s">
        <v>11</v>
      </c>
      <c r="F730" s="7">
        <v>45350</v>
      </c>
      <c r="G730" s="6">
        <v>12</v>
      </c>
      <c r="H730" s="14">
        <v>1002.0675517241378</v>
      </c>
      <c r="I730" s="8" t="s">
        <v>16</v>
      </c>
      <c r="J730" s="4" t="str" cm="1">
        <f t="array" ref="J730">_xlfn.IFS(Table3[[#This Row],[Age (Years)]] &lt; 40, "Young", Table3[[#This Row],[Age (Years)]] &gt;= 40, "Middle", Table3[[#This Row],[Age (Years)]] &gt; 60, "Senior")</f>
        <v>Middle</v>
      </c>
      <c r="K730" s="4" t="str" cm="1">
        <f t="array" ref="K730">_xlfn.IFS(Table3[[#This Row],[Drug_Cost_GBP]] &gt; 1200, "High Cost", Table3[[#This Row],[Drug_Cost_GBP]] &lt; 1200, "Normal")</f>
        <v>Normal</v>
      </c>
      <c r="L730" s="4" t="str" cm="1">
        <f t="array" ref="L730">IFERROR(_xlfn.IFS(Table3[[#This Row],[Age (Years)]]  &gt; 75, "YES", Table3[[#This Row],[Age (Years)]] &lt; 75, "NO"), "UNKNOWN")</f>
        <v>NO</v>
      </c>
      <c r="M730" s="4" t="str">
        <f>IF(Table3[[#This Row],[Drug_Cost_GBP]] &gt; Analysis_Sheet!$B$21, "Above Average", "Within Average")</f>
        <v>Within Average</v>
      </c>
      <c r="N730" s="39" t="str">
        <f t="shared" si="11"/>
        <v>February 2024</v>
      </c>
    </row>
    <row r="731" spans="1:14" x14ac:dyDescent="0.3">
      <c r="A731" s="1" t="s">
        <v>642</v>
      </c>
      <c r="B731" s="17">
        <v>55</v>
      </c>
      <c r="C731" s="2" t="s">
        <v>899</v>
      </c>
      <c r="D731" s="2" t="s">
        <v>10</v>
      </c>
      <c r="E731" s="2" t="s">
        <v>23</v>
      </c>
      <c r="F731" s="3">
        <v>45299</v>
      </c>
      <c r="G731" s="2">
        <v>12</v>
      </c>
      <c r="H731" s="13">
        <v>1002.0675517241378</v>
      </c>
      <c r="I731" s="4" t="s">
        <v>26</v>
      </c>
      <c r="J731" s="4" t="str" cm="1">
        <f t="array" ref="J731">_xlfn.IFS(Table3[[#This Row],[Age (Years)]] &lt; 40, "Young", Table3[[#This Row],[Age (Years)]] &gt;= 40, "Middle", Table3[[#This Row],[Age (Years)]] &gt; 60, "Senior")</f>
        <v>Middle</v>
      </c>
      <c r="K731" s="4" t="str" cm="1">
        <f t="array" ref="K731">_xlfn.IFS(Table3[[#This Row],[Drug_Cost_GBP]] &gt; 1200, "High Cost", Table3[[#This Row],[Drug_Cost_GBP]] &lt; 1200, "Normal")</f>
        <v>Normal</v>
      </c>
      <c r="L731" s="4" t="str" cm="1">
        <f t="array" ref="L731">IFERROR(_xlfn.IFS(Table3[[#This Row],[Age (Years)]]  &gt; 75, "YES", Table3[[#This Row],[Age (Years)]] &lt; 75, "NO"), "UNKNOWN")</f>
        <v>NO</v>
      </c>
      <c r="M731" s="4" t="str">
        <f>IF(Table3[[#This Row],[Drug_Cost_GBP]] &gt; Analysis_Sheet!$B$21, "Above Average", "Within Average")</f>
        <v>Within Average</v>
      </c>
      <c r="N731" s="39" t="str">
        <f t="shared" si="11"/>
        <v>January 2024</v>
      </c>
    </row>
    <row r="732" spans="1:14" x14ac:dyDescent="0.3">
      <c r="A732" s="1" t="s">
        <v>858</v>
      </c>
      <c r="B732" s="17">
        <v>55</v>
      </c>
      <c r="C732" s="2" t="s">
        <v>899</v>
      </c>
      <c r="D732" s="2" t="s">
        <v>48</v>
      </c>
      <c r="E732" s="2" t="s">
        <v>43</v>
      </c>
      <c r="F732" s="3">
        <v>45593</v>
      </c>
      <c r="G732" s="2">
        <v>12</v>
      </c>
      <c r="H732" s="13">
        <v>1002.0675517241378</v>
      </c>
      <c r="I732" s="4" t="s">
        <v>21</v>
      </c>
      <c r="J732" s="4" t="str" cm="1">
        <f t="array" ref="J732">_xlfn.IFS(Table3[[#This Row],[Age (Years)]] &lt; 40, "Young", Table3[[#This Row],[Age (Years)]] &gt;= 40, "Middle", Table3[[#This Row],[Age (Years)]] &gt; 60, "Senior")</f>
        <v>Middle</v>
      </c>
      <c r="K732" s="4" t="str" cm="1">
        <f t="array" ref="K732">_xlfn.IFS(Table3[[#This Row],[Drug_Cost_GBP]] &gt; 1200, "High Cost", Table3[[#This Row],[Drug_Cost_GBP]] &lt; 1200, "Normal")</f>
        <v>Normal</v>
      </c>
      <c r="L732" s="4" t="str" cm="1">
        <f t="array" ref="L732">IFERROR(_xlfn.IFS(Table3[[#This Row],[Age (Years)]]  &gt; 75, "YES", Table3[[#This Row],[Age (Years)]] &lt; 75, "NO"), "UNKNOWN")</f>
        <v>NO</v>
      </c>
      <c r="M732" s="4" t="str">
        <f>IF(Table3[[#This Row],[Drug_Cost_GBP]] &gt; Analysis_Sheet!$B$21, "Above Average", "Within Average")</f>
        <v>Within Average</v>
      </c>
      <c r="N732" s="39" t="str">
        <f t="shared" si="11"/>
        <v>October 2024</v>
      </c>
    </row>
    <row r="733" spans="1:14" x14ac:dyDescent="0.3">
      <c r="A733" s="1" t="s">
        <v>182</v>
      </c>
      <c r="B733" s="17">
        <v>54</v>
      </c>
      <c r="C733" s="2" t="s">
        <v>38</v>
      </c>
      <c r="D733" s="2" t="s">
        <v>14</v>
      </c>
      <c r="E733" s="2" t="s">
        <v>23</v>
      </c>
      <c r="F733" s="3">
        <v>45404</v>
      </c>
      <c r="G733" s="2">
        <v>14</v>
      </c>
      <c r="H733" s="13">
        <v>1244.18</v>
      </c>
      <c r="I733" s="4" t="s">
        <v>16</v>
      </c>
      <c r="J733" s="4" t="str" cm="1">
        <f t="array" ref="J733">_xlfn.IFS(Table3[[#This Row],[Age (Years)]] &lt; 40, "Young", Table3[[#This Row],[Age (Years)]] &gt;= 40, "Middle", Table3[[#This Row],[Age (Years)]] &gt; 60, "Senior")</f>
        <v>Middle</v>
      </c>
      <c r="K733" s="4" t="str" cm="1">
        <f t="array" ref="K733">_xlfn.IFS(Table3[[#This Row],[Drug_Cost_GBP]] &gt; 1200, "High Cost", Table3[[#This Row],[Drug_Cost_GBP]] &lt; 1200, "Normal")</f>
        <v>High Cost</v>
      </c>
      <c r="L733" s="4" t="str" cm="1">
        <f t="array" ref="L733">IFERROR(_xlfn.IFS(Table3[[#This Row],[Age (Years)]]  &gt; 75, "YES", Table3[[#This Row],[Age (Years)]] &lt; 75, "NO"), "UNKNOWN")</f>
        <v>NO</v>
      </c>
      <c r="M733" s="4" t="str">
        <f>IF(Table3[[#This Row],[Drug_Cost_GBP]] &gt; Analysis_Sheet!$B$21, "Above Average", "Within Average")</f>
        <v>Above Average</v>
      </c>
      <c r="N733" s="39" t="str">
        <f t="shared" si="11"/>
        <v>April 2024</v>
      </c>
    </row>
    <row r="734" spans="1:14" x14ac:dyDescent="0.3">
      <c r="A734" s="1" t="s">
        <v>626</v>
      </c>
      <c r="B734" s="17">
        <v>54</v>
      </c>
      <c r="C734" s="2" t="s">
        <v>899</v>
      </c>
      <c r="D734" s="2" t="s">
        <v>51</v>
      </c>
      <c r="E734" s="2" t="s">
        <v>23</v>
      </c>
      <c r="F734" s="3" t="s">
        <v>900</v>
      </c>
      <c r="G734" s="2">
        <v>12</v>
      </c>
      <c r="H734" s="13">
        <v>1002.0675517241378</v>
      </c>
      <c r="I734" s="4" t="s">
        <v>21</v>
      </c>
      <c r="J734" s="4" t="str" cm="1">
        <f t="array" ref="J734">_xlfn.IFS(Table3[[#This Row],[Age (Years)]] &lt; 40, "Young", Table3[[#This Row],[Age (Years)]] &gt;= 40, "Middle", Table3[[#This Row],[Age (Years)]] &gt; 60, "Senior")</f>
        <v>Middle</v>
      </c>
      <c r="K734" s="4" t="str" cm="1">
        <f t="array" ref="K734">_xlfn.IFS(Table3[[#This Row],[Drug_Cost_GBP]] &gt; 1200, "High Cost", Table3[[#This Row],[Drug_Cost_GBP]] &lt; 1200, "Normal")</f>
        <v>Normal</v>
      </c>
      <c r="L734" s="4" t="str" cm="1">
        <f t="array" ref="L734">IFERROR(_xlfn.IFS(Table3[[#This Row],[Age (Years)]]  &gt; 75, "YES", Table3[[#This Row],[Age (Years)]] &lt; 75, "NO"), "UNKNOWN")</f>
        <v>NO</v>
      </c>
      <c r="M734" s="4" t="str">
        <f>IF(Table3[[#This Row],[Drug_Cost_GBP]] &gt; Analysis_Sheet!$B$21, "Above Average", "Within Average")</f>
        <v>Within Average</v>
      </c>
      <c r="N734" s="39" t="str">
        <f t="shared" si="11"/>
        <v>Unknown</v>
      </c>
    </row>
    <row r="735" spans="1:14" x14ac:dyDescent="0.3">
      <c r="A735" s="1" t="s">
        <v>676</v>
      </c>
      <c r="B735" s="17">
        <v>54</v>
      </c>
      <c r="C735" s="2" t="s">
        <v>899</v>
      </c>
      <c r="D735" s="2" t="s">
        <v>10</v>
      </c>
      <c r="E735" s="2" t="s">
        <v>29</v>
      </c>
      <c r="F735" s="3">
        <v>45430</v>
      </c>
      <c r="G735" s="2">
        <v>12</v>
      </c>
      <c r="H735" s="13">
        <v>1002.0675517241378</v>
      </c>
      <c r="I735" s="4" t="s">
        <v>21</v>
      </c>
      <c r="J735" s="4" t="str" cm="1">
        <f t="array" ref="J735">_xlfn.IFS(Table3[[#This Row],[Age (Years)]] &lt; 40, "Young", Table3[[#This Row],[Age (Years)]] &gt;= 40, "Middle", Table3[[#This Row],[Age (Years)]] &gt; 60, "Senior")</f>
        <v>Middle</v>
      </c>
      <c r="K735" s="4" t="str" cm="1">
        <f t="array" ref="K735">_xlfn.IFS(Table3[[#This Row],[Drug_Cost_GBP]] &gt; 1200, "High Cost", Table3[[#This Row],[Drug_Cost_GBP]] &lt; 1200, "Normal")</f>
        <v>Normal</v>
      </c>
      <c r="L735" s="4" t="str" cm="1">
        <f t="array" ref="L735">IFERROR(_xlfn.IFS(Table3[[#This Row],[Age (Years)]]  &gt; 75, "YES", Table3[[#This Row],[Age (Years)]] &lt; 75, "NO"), "UNKNOWN")</f>
        <v>NO</v>
      </c>
      <c r="M735" s="4" t="str">
        <f>IF(Table3[[#This Row],[Drug_Cost_GBP]] &gt; Analysis_Sheet!$B$21, "Above Average", "Within Average")</f>
        <v>Within Average</v>
      </c>
      <c r="N735" s="39" t="str">
        <f t="shared" si="11"/>
        <v>May 2024</v>
      </c>
    </row>
    <row r="736" spans="1:14" x14ac:dyDescent="0.3">
      <c r="A736" s="1" t="s">
        <v>752</v>
      </c>
      <c r="B736" s="17">
        <v>54</v>
      </c>
      <c r="C736" s="2" t="s">
        <v>899</v>
      </c>
      <c r="D736" s="2" t="s">
        <v>898</v>
      </c>
      <c r="E736" s="2" t="s">
        <v>23</v>
      </c>
      <c r="F736" s="3">
        <v>45640</v>
      </c>
      <c r="G736" s="2">
        <v>12</v>
      </c>
      <c r="H736" s="13">
        <v>449.26</v>
      </c>
      <c r="I736" s="4" t="s">
        <v>900</v>
      </c>
      <c r="J736" s="4" t="str" cm="1">
        <f t="array" ref="J736">_xlfn.IFS(Table3[[#This Row],[Age (Years)]] &lt; 40, "Young", Table3[[#This Row],[Age (Years)]] &gt;= 40, "Middle", Table3[[#This Row],[Age (Years)]] &gt; 60, "Senior")</f>
        <v>Middle</v>
      </c>
      <c r="K736" s="4" t="str" cm="1">
        <f t="array" ref="K736">_xlfn.IFS(Table3[[#This Row],[Drug_Cost_GBP]] &gt; 1200, "High Cost", Table3[[#This Row],[Drug_Cost_GBP]] &lt; 1200, "Normal")</f>
        <v>Normal</v>
      </c>
      <c r="L736" s="4" t="str" cm="1">
        <f t="array" ref="L736">IFERROR(_xlfn.IFS(Table3[[#This Row],[Age (Years)]]  &gt; 75, "YES", Table3[[#This Row],[Age (Years)]] &lt; 75, "NO"), "UNKNOWN")</f>
        <v>NO</v>
      </c>
      <c r="M736" s="4" t="str">
        <f>IF(Table3[[#This Row],[Drug_Cost_GBP]] &gt; Analysis_Sheet!$B$21, "Above Average", "Within Average")</f>
        <v>Within Average</v>
      </c>
      <c r="N736" s="39" t="str">
        <f t="shared" si="11"/>
        <v>December 2024</v>
      </c>
    </row>
    <row r="737" spans="1:14" x14ac:dyDescent="0.3">
      <c r="A737" s="1" t="s">
        <v>784</v>
      </c>
      <c r="B737" s="17">
        <v>54</v>
      </c>
      <c r="C737" s="2" t="s">
        <v>38</v>
      </c>
      <c r="D737" s="2" t="s">
        <v>898</v>
      </c>
      <c r="E737" s="2" t="s">
        <v>23</v>
      </c>
      <c r="F737" s="3">
        <v>45437</v>
      </c>
      <c r="G737" s="2">
        <v>16</v>
      </c>
      <c r="H737" s="13">
        <v>1002.0675517241378</v>
      </c>
      <c r="I737" s="4" t="s">
        <v>900</v>
      </c>
      <c r="J737" s="4" t="str" cm="1">
        <f t="array" ref="J737">_xlfn.IFS(Table3[[#This Row],[Age (Years)]] &lt; 40, "Young", Table3[[#This Row],[Age (Years)]] &gt;= 40, "Middle", Table3[[#This Row],[Age (Years)]] &gt; 60, "Senior")</f>
        <v>Middle</v>
      </c>
      <c r="K737" s="4" t="str" cm="1">
        <f t="array" ref="K737">_xlfn.IFS(Table3[[#This Row],[Drug_Cost_GBP]] &gt; 1200, "High Cost", Table3[[#This Row],[Drug_Cost_GBP]] &lt; 1200, "Normal")</f>
        <v>Normal</v>
      </c>
      <c r="L737" s="4" t="str" cm="1">
        <f t="array" ref="L737">IFERROR(_xlfn.IFS(Table3[[#This Row],[Age (Years)]]  &gt; 75, "YES", Table3[[#This Row],[Age (Years)]] &lt; 75, "NO"), "UNKNOWN")</f>
        <v>NO</v>
      </c>
      <c r="M737" s="4" t="str">
        <f>IF(Table3[[#This Row],[Drug_Cost_GBP]] &gt; Analysis_Sheet!$B$21, "Above Average", "Within Average")</f>
        <v>Within Average</v>
      </c>
      <c r="N737" s="39" t="str">
        <f t="shared" si="11"/>
        <v>May 2024</v>
      </c>
    </row>
    <row r="738" spans="1:14" x14ac:dyDescent="0.3">
      <c r="A738" s="5" t="s">
        <v>77</v>
      </c>
      <c r="B738" s="18">
        <v>53</v>
      </c>
      <c r="C738" s="6" t="s">
        <v>899</v>
      </c>
      <c r="D738" s="6" t="s">
        <v>48</v>
      </c>
      <c r="E738" s="6" t="s">
        <v>11</v>
      </c>
      <c r="F738" s="7">
        <v>45424</v>
      </c>
      <c r="G738" s="6">
        <v>12</v>
      </c>
      <c r="H738" s="14">
        <v>1002.0675517241378</v>
      </c>
      <c r="I738" s="8" t="s">
        <v>16</v>
      </c>
      <c r="J738" s="8" t="str" cm="1">
        <f t="array" ref="J738">_xlfn.IFS(Table3[[#This Row],[Age (Years)]] &lt; 40, "Young", Table3[[#This Row],[Age (Years)]] &gt;= 40, "Middle", Table3[[#This Row],[Age (Years)]] &gt; 60, "Senior")</f>
        <v>Middle</v>
      </c>
      <c r="K738" s="8" t="str" cm="1">
        <f t="array" ref="K738">_xlfn.IFS(Table3[[#This Row],[Drug_Cost_GBP]] &gt; 1200, "High Cost", Table3[[#This Row],[Drug_Cost_GBP]] &lt; 1200, "Normal")</f>
        <v>Normal</v>
      </c>
      <c r="L738" s="8" t="str" cm="1">
        <f t="array" ref="L738">IFERROR(_xlfn.IFS(Table3[[#This Row],[Age (Years)]]  &gt; 75, "YES", Table3[[#This Row],[Age (Years)]] &lt; 75, "NO"), "UNKNOWN")</f>
        <v>NO</v>
      </c>
      <c r="M738" s="8" t="str">
        <f>IF(Table3[[#This Row],[Drug_Cost_GBP]] &gt; Analysis_Sheet!$B$21, "Above Average", "Within Average")</f>
        <v>Within Average</v>
      </c>
      <c r="N738" s="39" t="str">
        <f t="shared" si="11"/>
        <v>May 2024</v>
      </c>
    </row>
    <row r="739" spans="1:14" x14ac:dyDescent="0.3">
      <c r="A739" s="5" t="s">
        <v>313</v>
      </c>
      <c r="B739" s="18">
        <v>53</v>
      </c>
      <c r="C739" s="6" t="s">
        <v>899</v>
      </c>
      <c r="D739" s="6" t="s">
        <v>14</v>
      </c>
      <c r="E739" s="6" t="s">
        <v>43</v>
      </c>
      <c r="F739" s="7">
        <v>45646</v>
      </c>
      <c r="G739" s="6">
        <v>12</v>
      </c>
      <c r="H739" s="14">
        <v>944.82</v>
      </c>
      <c r="I739" s="8" t="s">
        <v>12</v>
      </c>
      <c r="J739" s="4" t="str" cm="1">
        <f t="array" ref="J739">_xlfn.IFS(Table3[[#This Row],[Age (Years)]] &lt; 40, "Young", Table3[[#This Row],[Age (Years)]] &gt;= 40, "Middle", Table3[[#This Row],[Age (Years)]] &gt; 60, "Senior")</f>
        <v>Middle</v>
      </c>
      <c r="K739" s="4" t="str" cm="1">
        <f t="array" ref="K739">_xlfn.IFS(Table3[[#This Row],[Drug_Cost_GBP]] &gt; 1200, "High Cost", Table3[[#This Row],[Drug_Cost_GBP]] &lt; 1200, "Normal")</f>
        <v>Normal</v>
      </c>
      <c r="L739" s="4" t="str" cm="1">
        <f t="array" ref="L739">IFERROR(_xlfn.IFS(Table3[[#This Row],[Age (Years)]]  &gt; 75, "YES", Table3[[#This Row],[Age (Years)]] &lt; 75, "NO"), "UNKNOWN")</f>
        <v>NO</v>
      </c>
      <c r="M739" s="4" t="str">
        <f>IF(Table3[[#This Row],[Drug_Cost_GBP]] &gt; Analysis_Sheet!$B$21, "Above Average", "Within Average")</f>
        <v>Within Average</v>
      </c>
      <c r="N739" s="39" t="str">
        <f t="shared" si="11"/>
        <v>December 2024</v>
      </c>
    </row>
    <row r="740" spans="1:14" x14ac:dyDescent="0.3">
      <c r="A740" s="1" t="s">
        <v>530</v>
      </c>
      <c r="B740" s="17">
        <v>52</v>
      </c>
      <c r="C740" s="2" t="s">
        <v>899</v>
      </c>
      <c r="D740" s="2" t="s">
        <v>51</v>
      </c>
      <c r="E740" s="2" t="s">
        <v>11</v>
      </c>
      <c r="F740" s="3">
        <v>45372</v>
      </c>
      <c r="G740" s="2">
        <v>2</v>
      </c>
      <c r="H740" s="13">
        <v>1625</v>
      </c>
      <c r="I740" s="4" t="s">
        <v>26</v>
      </c>
      <c r="J740" s="8" t="str" cm="1">
        <f t="array" ref="J740">_xlfn.IFS(Table3[[#This Row],[Age (Years)]] &lt; 40, "Young", Table3[[#This Row],[Age (Years)]] &gt;= 40, "Middle", Table3[[#This Row],[Age (Years)]] &gt; 60, "Senior")</f>
        <v>Middle</v>
      </c>
      <c r="K740" s="8" t="str" cm="1">
        <f t="array" ref="K740">_xlfn.IFS(Table3[[#This Row],[Drug_Cost_GBP]] &gt; 1200, "High Cost", Table3[[#This Row],[Drug_Cost_GBP]] &lt; 1200, "Normal")</f>
        <v>High Cost</v>
      </c>
      <c r="L740" s="8" t="str" cm="1">
        <f t="array" ref="L740">IFERROR(_xlfn.IFS(Table3[[#This Row],[Age (Years)]]  &gt; 75, "YES", Table3[[#This Row],[Age (Years)]] &lt; 75, "NO"), "UNKNOWN")</f>
        <v>NO</v>
      </c>
      <c r="M740" s="8" t="str">
        <f>IF(Table3[[#This Row],[Drug_Cost_GBP]] &gt; Analysis_Sheet!$B$21, "Above Average", "Within Average")</f>
        <v>Above Average</v>
      </c>
      <c r="N740" s="39" t="str">
        <f t="shared" si="11"/>
        <v>March 2024</v>
      </c>
    </row>
    <row r="741" spans="1:14" x14ac:dyDescent="0.3">
      <c r="A741" s="5" t="s">
        <v>721</v>
      </c>
      <c r="B741" s="18">
        <v>52</v>
      </c>
      <c r="C741" s="6" t="s">
        <v>900</v>
      </c>
      <c r="D741" s="6" t="s">
        <v>25</v>
      </c>
      <c r="E741" s="6" t="s">
        <v>23</v>
      </c>
      <c r="F741" s="7">
        <v>45544</v>
      </c>
      <c r="G741" s="6">
        <v>12</v>
      </c>
      <c r="H741" s="14">
        <v>1327.75</v>
      </c>
      <c r="I741" s="8" t="s">
        <v>21</v>
      </c>
      <c r="J741" s="8" t="str" cm="1">
        <f t="array" ref="J741">_xlfn.IFS(Table3[[#This Row],[Age (Years)]] &lt; 40, "Young", Table3[[#This Row],[Age (Years)]] &gt;= 40, "Middle", Table3[[#This Row],[Age (Years)]] &gt; 60, "Senior")</f>
        <v>Middle</v>
      </c>
      <c r="K741" s="8" t="str" cm="1">
        <f t="array" ref="K741">_xlfn.IFS(Table3[[#This Row],[Drug_Cost_GBP]] &gt; 1200, "High Cost", Table3[[#This Row],[Drug_Cost_GBP]] &lt; 1200, "Normal")</f>
        <v>High Cost</v>
      </c>
      <c r="L741" s="8" t="str" cm="1">
        <f t="array" ref="L741">IFERROR(_xlfn.IFS(Table3[[#This Row],[Age (Years)]]  &gt; 75, "YES", Table3[[#This Row],[Age (Years)]] &lt; 75, "NO"), "UNKNOWN")</f>
        <v>NO</v>
      </c>
      <c r="M741" s="8" t="str">
        <f>IF(Table3[[#This Row],[Drug_Cost_GBP]] &gt; Analysis_Sheet!$B$21, "Above Average", "Within Average")</f>
        <v>Above Average</v>
      </c>
      <c r="N741" s="39" t="str">
        <f t="shared" si="11"/>
        <v>September 2024</v>
      </c>
    </row>
    <row r="742" spans="1:14" x14ac:dyDescent="0.3">
      <c r="A742" s="1" t="s">
        <v>136</v>
      </c>
      <c r="B742" s="17">
        <v>51</v>
      </c>
      <c r="C742" s="2" t="s">
        <v>38</v>
      </c>
      <c r="D742" s="2" t="s">
        <v>51</v>
      </c>
      <c r="E742" s="2" t="s">
        <v>43</v>
      </c>
      <c r="F742" s="3" t="s">
        <v>900</v>
      </c>
      <c r="G742" s="2">
        <v>12</v>
      </c>
      <c r="H742" s="13">
        <v>1942.44</v>
      </c>
      <c r="I742" s="4" t="s">
        <v>21</v>
      </c>
      <c r="J742" s="8" t="str" cm="1">
        <f t="array" ref="J742">_xlfn.IFS(Table3[[#This Row],[Age (Years)]] &lt; 40, "Young", Table3[[#This Row],[Age (Years)]] &gt;= 40, "Middle", Table3[[#This Row],[Age (Years)]] &gt; 60, "Senior")</f>
        <v>Middle</v>
      </c>
      <c r="K742" s="8" t="str" cm="1">
        <f t="array" ref="K742">_xlfn.IFS(Table3[[#This Row],[Drug_Cost_GBP]] &gt; 1200, "High Cost", Table3[[#This Row],[Drug_Cost_GBP]] &lt; 1200, "Normal")</f>
        <v>High Cost</v>
      </c>
      <c r="L742" s="8" t="str" cm="1">
        <f t="array" ref="L742">IFERROR(_xlfn.IFS(Table3[[#This Row],[Age (Years)]]  &gt; 75, "YES", Table3[[#This Row],[Age (Years)]] &lt; 75, "NO"), "UNKNOWN")</f>
        <v>NO</v>
      </c>
      <c r="M742" s="8" t="str">
        <f>IF(Table3[[#This Row],[Drug_Cost_GBP]] &gt; Analysis_Sheet!$B$21, "Above Average", "Within Average")</f>
        <v>Above Average</v>
      </c>
      <c r="N742" s="39" t="str">
        <f t="shared" si="11"/>
        <v>Unknown</v>
      </c>
    </row>
    <row r="743" spans="1:14" x14ac:dyDescent="0.3">
      <c r="A743" s="5" t="s">
        <v>149</v>
      </c>
      <c r="B743" s="18">
        <v>51</v>
      </c>
      <c r="C743" s="6" t="s">
        <v>38</v>
      </c>
      <c r="D743" s="6" t="s">
        <v>898</v>
      </c>
      <c r="E743" s="6" t="s">
        <v>34</v>
      </c>
      <c r="F743" s="7">
        <v>45412</v>
      </c>
      <c r="G743" s="6">
        <v>14</v>
      </c>
      <c r="H743" s="14">
        <v>809.18</v>
      </c>
      <c r="I743" s="8" t="s">
        <v>12</v>
      </c>
      <c r="J743" s="8" t="str" cm="1">
        <f t="array" ref="J743">_xlfn.IFS(Table3[[#This Row],[Age (Years)]] &lt; 40, "Young", Table3[[#This Row],[Age (Years)]] &gt;= 40, "Middle", Table3[[#This Row],[Age (Years)]] &gt; 60, "Senior")</f>
        <v>Middle</v>
      </c>
      <c r="K743" s="8" t="str" cm="1">
        <f t="array" ref="K743">_xlfn.IFS(Table3[[#This Row],[Drug_Cost_GBP]] &gt; 1200, "High Cost", Table3[[#This Row],[Drug_Cost_GBP]] &lt; 1200, "Normal")</f>
        <v>Normal</v>
      </c>
      <c r="L743" s="8" t="str" cm="1">
        <f t="array" ref="L743">IFERROR(_xlfn.IFS(Table3[[#This Row],[Age (Years)]]  &gt; 75, "YES", Table3[[#This Row],[Age (Years)]] &lt; 75, "NO"), "UNKNOWN")</f>
        <v>NO</v>
      </c>
      <c r="M743" s="8" t="str">
        <f>IF(Table3[[#This Row],[Drug_Cost_GBP]] &gt; Analysis_Sheet!$B$21, "Above Average", "Within Average")</f>
        <v>Within Average</v>
      </c>
      <c r="N743" s="39" t="str">
        <f t="shared" si="11"/>
        <v>April 2024</v>
      </c>
    </row>
    <row r="744" spans="1:14" x14ac:dyDescent="0.3">
      <c r="A744" s="5" t="s">
        <v>265</v>
      </c>
      <c r="B744" s="18">
        <v>51</v>
      </c>
      <c r="C744" s="6" t="s">
        <v>899</v>
      </c>
      <c r="D744" s="6" t="s">
        <v>51</v>
      </c>
      <c r="E744" s="6" t="s">
        <v>23</v>
      </c>
      <c r="F744" s="7" t="s">
        <v>900</v>
      </c>
      <c r="G744" s="6">
        <v>12</v>
      </c>
      <c r="H744" s="14">
        <v>1002.0675517241378</v>
      </c>
      <c r="I744" s="8" t="s">
        <v>21</v>
      </c>
      <c r="J744" s="8" t="str" cm="1">
        <f t="array" ref="J744">_xlfn.IFS(Table3[[#This Row],[Age (Years)]] &lt; 40, "Young", Table3[[#This Row],[Age (Years)]] &gt;= 40, "Middle", Table3[[#This Row],[Age (Years)]] &gt; 60, "Senior")</f>
        <v>Middle</v>
      </c>
      <c r="K744" s="8" t="str" cm="1">
        <f t="array" ref="K744">_xlfn.IFS(Table3[[#This Row],[Drug_Cost_GBP]] &gt; 1200, "High Cost", Table3[[#This Row],[Drug_Cost_GBP]] &lt; 1200, "Normal")</f>
        <v>Normal</v>
      </c>
      <c r="L744" s="8" t="str" cm="1">
        <f t="array" ref="L744">IFERROR(_xlfn.IFS(Table3[[#This Row],[Age (Years)]]  &gt; 75, "YES", Table3[[#This Row],[Age (Years)]] &lt; 75, "NO"), "UNKNOWN")</f>
        <v>NO</v>
      </c>
      <c r="M744" s="8" t="str">
        <f>IF(Table3[[#This Row],[Drug_Cost_GBP]] &gt; Analysis_Sheet!$B$21, "Above Average", "Within Average")</f>
        <v>Within Average</v>
      </c>
      <c r="N744" s="39" t="str">
        <f t="shared" si="11"/>
        <v>Unknown</v>
      </c>
    </row>
    <row r="745" spans="1:14" x14ac:dyDescent="0.3">
      <c r="A745" s="5" t="s">
        <v>361</v>
      </c>
      <c r="B745" s="18">
        <v>51</v>
      </c>
      <c r="C745" s="6" t="s">
        <v>899</v>
      </c>
      <c r="D745" s="6" t="s">
        <v>14</v>
      </c>
      <c r="E745" s="6" t="s">
        <v>43</v>
      </c>
      <c r="F745" s="7">
        <v>45496</v>
      </c>
      <c r="G745" s="6">
        <v>12</v>
      </c>
      <c r="H745" s="14">
        <v>1002.0675517241378</v>
      </c>
      <c r="I745" s="8" t="s">
        <v>16</v>
      </c>
      <c r="J745" s="4" t="str" cm="1">
        <f t="array" ref="J745">_xlfn.IFS(Table3[[#This Row],[Age (Years)]] &lt; 40, "Young", Table3[[#This Row],[Age (Years)]] &gt;= 40, "Middle", Table3[[#This Row],[Age (Years)]] &gt; 60, "Senior")</f>
        <v>Middle</v>
      </c>
      <c r="K745" s="4" t="str" cm="1">
        <f t="array" ref="K745">_xlfn.IFS(Table3[[#This Row],[Drug_Cost_GBP]] &gt; 1200, "High Cost", Table3[[#This Row],[Drug_Cost_GBP]] &lt; 1200, "Normal")</f>
        <v>Normal</v>
      </c>
      <c r="L745" s="4" t="str" cm="1">
        <f t="array" ref="L745">IFERROR(_xlfn.IFS(Table3[[#This Row],[Age (Years)]]  &gt; 75, "YES", Table3[[#This Row],[Age (Years)]] &lt; 75, "NO"), "UNKNOWN")</f>
        <v>NO</v>
      </c>
      <c r="M745" s="4" t="str">
        <f>IF(Table3[[#This Row],[Drug_Cost_GBP]] &gt; Analysis_Sheet!$B$21, "Above Average", "Within Average")</f>
        <v>Within Average</v>
      </c>
      <c r="N745" s="39" t="str">
        <f t="shared" si="11"/>
        <v>July 2024</v>
      </c>
    </row>
    <row r="746" spans="1:14" x14ac:dyDescent="0.3">
      <c r="A746" s="1" t="s">
        <v>570</v>
      </c>
      <c r="B746" s="17">
        <v>51</v>
      </c>
      <c r="C746" s="2" t="s">
        <v>38</v>
      </c>
      <c r="D746" s="2" t="s">
        <v>898</v>
      </c>
      <c r="E746" s="2" t="s">
        <v>43</v>
      </c>
      <c r="F746" s="3" t="s">
        <v>900</v>
      </c>
      <c r="G746" s="2">
        <v>6</v>
      </c>
      <c r="H746" s="13">
        <v>455.51</v>
      </c>
      <c r="I746" s="4" t="s">
        <v>16</v>
      </c>
      <c r="J746" s="4" t="str" cm="1">
        <f t="array" ref="J746">_xlfn.IFS(Table3[[#This Row],[Age (Years)]] &lt; 40, "Young", Table3[[#This Row],[Age (Years)]] &gt;= 40, "Middle", Table3[[#This Row],[Age (Years)]] &gt; 60, "Senior")</f>
        <v>Middle</v>
      </c>
      <c r="K746" s="4" t="str" cm="1">
        <f t="array" ref="K746">_xlfn.IFS(Table3[[#This Row],[Drug_Cost_GBP]] &gt; 1200, "High Cost", Table3[[#This Row],[Drug_Cost_GBP]] &lt; 1200, "Normal")</f>
        <v>Normal</v>
      </c>
      <c r="L746" s="4" t="str" cm="1">
        <f t="array" ref="L746">IFERROR(_xlfn.IFS(Table3[[#This Row],[Age (Years)]]  &gt; 75, "YES", Table3[[#This Row],[Age (Years)]] &lt; 75, "NO"), "UNKNOWN")</f>
        <v>NO</v>
      </c>
      <c r="M746" s="4" t="str">
        <f>IF(Table3[[#This Row],[Drug_Cost_GBP]] &gt; Analysis_Sheet!$B$21, "Above Average", "Within Average")</f>
        <v>Within Average</v>
      </c>
      <c r="N746" s="39" t="str">
        <f t="shared" si="11"/>
        <v>Unknown</v>
      </c>
    </row>
    <row r="747" spans="1:14" x14ac:dyDescent="0.3">
      <c r="A747" s="1" t="s">
        <v>236</v>
      </c>
      <c r="B747" s="17">
        <v>50</v>
      </c>
      <c r="C747" s="2" t="s">
        <v>899</v>
      </c>
      <c r="D747" s="2" t="s">
        <v>10</v>
      </c>
      <c r="E747" s="2" t="s">
        <v>43</v>
      </c>
      <c r="F747" s="3" t="s">
        <v>900</v>
      </c>
      <c r="G747" s="2">
        <v>17</v>
      </c>
      <c r="H747" s="13">
        <v>1002.0675517241378</v>
      </c>
      <c r="I747" s="4" t="s">
        <v>12</v>
      </c>
      <c r="J747" s="4" t="str" cm="1">
        <f t="array" ref="J747">_xlfn.IFS(Table3[[#This Row],[Age (Years)]] &lt; 40, "Young", Table3[[#This Row],[Age (Years)]] &gt;= 40, "Middle", Table3[[#This Row],[Age (Years)]] &gt; 60, "Senior")</f>
        <v>Middle</v>
      </c>
      <c r="K747" s="4" t="str" cm="1">
        <f t="array" ref="K747">_xlfn.IFS(Table3[[#This Row],[Drug_Cost_GBP]] &gt; 1200, "High Cost", Table3[[#This Row],[Drug_Cost_GBP]] &lt; 1200, "Normal")</f>
        <v>Normal</v>
      </c>
      <c r="L747" s="4" t="str" cm="1">
        <f t="array" ref="L747">IFERROR(_xlfn.IFS(Table3[[#This Row],[Age (Years)]]  &gt; 75, "YES", Table3[[#This Row],[Age (Years)]] &lt; 75, "NO"), "UNKNOWN")</f>
        <v>NO</v>
      </c>
      <c r="M747" s="4" t="str">
        <f>IF(Table3[[#This Row],[Drug_Cost_GBP]] &gt; Analysis_Sheet!$B$21, "Above Average", "Within Average")</f>
        <v>Within Average</v>
      </c>
      <c r="N747" s="39" t="str">
        <f t="shared" si="11"/>
        <v>Unknown</v>
      </c>
    </row>
    <row r="748" spans="1:14" x14ac:dyDescent="0.3">
      <c r="A748" s="1" t="s">
        <v>476</v>
      </c>
      <c r="B748" s="17">
        <v>50</v>
      </c>
      <c r="C748" s="2" t="s">
        <v>900</v>
      </c>
      <c r="D748" s="2" t="s">
        <v>900</v>
      </c>
      <c r="E748" s="2" t="s">
        <v>43</v>
      </c>
      <c r="F748" s="3">
        <v>45502</v>
      </c>
      <c r="G748" s="2">
        <v>12</v>
      </c>
      <c r="H748" s="13">
        <v>1002.0675517241378</v>
      </c>
      <c r="I748" s="4" t="s">
        <v>16</v>
      </c>
      <c r="J748" s="8" t="str" cm="1">
        <f t="array" ref="J748">_xlfn.IFS(Table3[[#This Row],[Age (Years)]] &lt; 40, "Young", Table3[[#This Row],[Age (Years)]] &gt;= 40, "Middle", Table3[[#This Row],[Age (Years)]] &gt; 60, "Senior")</f>
        <v>Middle</v>
      </c>
      <c r="K748" s="8" t="str" cm="1">
        <f t="array" ref="K748">_xlfn.IFS(Table3[[#This Row],[Drug_Cost_GBP]] &gt; 1200, "High Cost", Table3[[#This Row],[Drug_Cost_GBP]] &lt; 1200, "Normal")</f>
        <v>Normal</v>
      </c>
      <c r="L748" s="8" t="str" cm="1">
        <f t="array" ref="L748">IFERROR(_xlfn.IFS(Table3[[#This Row],[Age (Years)]]  &gt; 75, "YES", Table3[[#This Row],[Age (Years)]] &lt; 75, "NO"), "UNKNOWN")</f>
        <v>NO</v>
      </c>
      <c r="M748" s="8" t="str">
        <f>IF(Table3[[#This Row],[Drug_Cost_GBP]] &gt; Analysis_Sheet!$B$21, "Above Average", "Within Average")</f>
        <v>Within Average</v>
      </c>
      <c r="N748" s="39" t="str">
        <f t="shared" si="11"/>
        <v>July 2024</v>
      </c>
    </row>
    <row r="749" spans="1:14" x14ac:dyDescent="0.3">
      <c r="A749" s="5" t="s">
        <v>709</v>
      </c>
      <c r="B749" s="18">
        <v>50</v>
      </c>
      <c r="C749" s="6" t="s">
        <v>899</v>
      </c>
      <c r="D749" s="6" t="s">
        <v>14</v>
      </c>
      <c r="E749" s="6" t="s">
        <v>29</v>
      </c>
      <c r="F749" s="7">
        <v>45365</v>
      </c>
      <c r="G749" s="6">
        <v>12</v>
      </c>
      <c r="H749" s="14">
        <v>1519.65</v>
      </c>
      <c r="I749" s="8" t="s">
        <v>16</v>
      </c>
      <c r="J749" s="8" t="str" cm="1">
        <f t="array" ref="J749">_xlfn.IFS(Table3[[#This Row],[Age (Years)]] &lt; 40, "Young", Table3[[#This Row],[Age (Years)]] &gt;= 40, "Middle", Table3[[#This Row],[Age (Years)]] &gt; 60, "Senior")</f>
        <v>Middle</v>
      </c>
      <c r="K749" s="8" t="str" cm="1">
        <f t="array" ref="K749">_xlfn.IFS(Table3[[#This Row],[Drug_Cost_GBP]] &gt; 1200, "High Cost", Table3[[#This Row],[Drug_Cost_GBP]] &lt; 1200, "Normal")</f>
        <v>High Cost</v>
      </c>
      <c r="L749" s="8" t="str" cm="1">
        <f t="array" ref="L749">IFERROR(_xlfn.IFS(Table3[[#This Row],[Age (Years)]]  &gt; 75, "YES", Table3[[#This Row],[Age (Years)]] &lt; 75, "NO"), "UNKNOWN")</f>
        <v>NO</v>
      </c>
      <c r="M749" s="8" t="str">
        <f>IF(Table3[[#This Row],[Drug_Cost_GBP]] &gt; Analysis_Sheet!$B$21, "Above Average", "Within Average")</f>
        <v>Above Average</v>
      </c>
      <c r="N749" s="39" t="str">
        <f t="shared" si="11"/>
        <v>March 2024</v>
      </c>
    </row>
    <row r="750" spans="1:14" x14ac:dyDescent="0.3">
      <c r="A750" s="5" t="s">
        <v>741</v>
      </c>
      <c r="B750" s="18">
        <v>50</v>
      </c>
      <c r="C750" s="6" t="s">
        <v>899</v>
      </c>
      <c r="D750" s="6" t="s">
        <v>900</v>
      </c>
      <c r="E750" s="6" t="s">
        <v>43</v>
      </c>
      <c r="F750" s="7">
        <v>45597</v>
      </c>
      <c r="G750" s="6">
        <v>12</v>
      </c>
      <c r="H750" s="14">
        <v>1002.0675517241378</v>
      </c>
      <c r="I750" s="8" t="s">
        <v>12</v>
      </c>
      <c r="J750" s="4" t="str" cm="1">
        <f t="array" ref="J750">_xlfn.IFS(Table3[[#This Row],[Age (Years)]] &lt; 40, "Young", Table3[[#This Row],[Age (Years)]] &gt;= 40, "Middle", Table3[[#This Row],[Age (Years)]] &gt; 60, "Senior")</f>
        <v>Middle</v>
      </c>
      <c r="K750" s="4" t="str" cm="1">
        <f t="array" ref="K750">_xlfn.IFS(Table3[[#This Row],[Drug_Cost_GBP]] &gt; 1200, "High Cost", Table3[[#This Row],[Drug_Cost_GBP]] &lt; 1200, "Normal")</f>
        <v>Normal</v>
      </c>
      <c r="L750" s="4" t="str" cm="1">
        <f t="array" ref="L750">IFERROR(_xlfn.IFS(Table3[[#This Row],[Age (Years)]]  &gt; 75, "YES", Table3[[#This Row],[Age (Years)]] &lt; 75, "NO"), "UNKNOWN")</f>
        <v>NO</v>
      </c>
      <c r="M750" s="4" t="str">
        <f>IF(Table3[[#This Row],[Drug_Cost_GBP]] &gt; Analysis_Sheet!$B$21, "Above Average", "Within Average")</f>
        <v>Within Average</v>
      </c>
      <c r="N750" s="39" t="str">
        <f t="shared" si="11"/>
        <v>November 2024</v>
      </c>
    </row>
    <row r="751" spans="1:14" x14ac:dyDescent="0.3">
      <c r="A751" s="5" t="s">
        <v>187</v>
      </c>
      <c r="B751" s="18">
        <v>49</v>
      </c>
      <c r="C751" s="6" t="s">
        <v>38</v>
      </c>
      <c r="D751" s="6" t="s">
        <v>19</v>
      </c>
      <c r="E751" s="6" t="s">
        <v>43</v>
      </c>
      <c r="F751" s="7" t="s">
        <v>900</v>
      </c>
      <c r="G751" s="6">
        <v>12</v>
      </c>
      <c r="H751" s="14">
        <v>1002.0675517241378</v>
      </c>
      <c r="I751" s="8" t="s">
        <v>900</v>
      </c>
      <c r="J751" s="8" t="str" cm="1">
        <f t="array" ref="J751">_xlfn.IFS(Table3[[#This Row],[Age (Years)]] &lt; 40, "Young", Table3[[#This Row],[Age (Years)]] &gt;= 40, "Middle", Table3[[#This Row],[Age (Years)]] &gt; 60, "Senior")</f>
        <v>Middle</v>
      </c>
      <c r="K751" s="8" t="str" cm="1">
        <f t="array" ref="K751">_xlfn.IFS(Table3[[#This Row],[Drug_Cost_GBP]] &gt; 1200, "High Cost", Table3[[#This Row],[Drug_Cost_GBP]] &lt; 1200, "Normal")</f>
        <v>Normal</v>
      </c>
      <c r="L751" s="8" t="str" cm="1">
        <f t="array" ref="L751">IFERROR(_xlfn.IFS(Table3[[#This Row],[Age (Years)]]  &gt; 75, "YES", Table3[[#This Row],[Age (Years)]] &lt; 75, "NO"), "UNKNOWN")</f>
        <v>NO</v>
      </c>
      <c r="M751" s="8" t="str">
        <f>IF(Table3[[#This Row],[Drug_Cost_GBP]] &gt; Analysis_Sheet!$B$21, "Above Average", "Within Average")</f>
        <v>Within Average</v>
      </c>
      <c r="N751" s="39" t="str">
        <f t="shared" si="11"/>
        <v>Unknown</v>
      </c>
    </row>
    <row r="752" spans="1:14" x14ac:dyDescent="0.3">
      <c r="A752" s="5" t="s">
        <v>249</v>
      </c>
      <c r="B752" s="18">
        <v>49</v>
      </c>
      <c r="C752" s="6" t="s">
        <v>38</v>
      </c>
      <c r="D752" s="6" t="s">
        <v>10</v>
      </c>
      <c r="E752" s="6" t="s">
        <v>23</v>
      </c>
      <c r="F752" s="7">
        <v>45357</v>
      </c>
      <c r="G752" s="6">
        <v>12</v>
      </c>
      <c r="H752" s="14">
        <v>1002.0675517241378</v>
      </c>
      <c r="I752" s="8" t="s">
        <v>16</v>
      </c>
      <c r="J752" s="8" t="str" cm="1">
        <f t="array" ref="J752">_xlfn.IFS(Table3[[#This Row],[Age (Years)]] &lt; 40, "Young", Table3[[#This Row],[Age (Years)]] &gt;= 40, "Middle", Table3[[#This Row],[Age (Years)]] &gt; 60, "Senior")</f>
        <v>Middle</v>
      </c>
      <c r="K752" s="8" t="str" cm="1">
        <f t="array" ref="K752">_xlfn.IFS(Table3[[#This Row],[Drug_Cost_GBP]] &gt; 1200, "High Cost", Table3[[#This Row],[Drug_Cost_GBP]] &lt; 1200, "Normal")</f>
        <v>Normal</v>
      </c>
      <c r="L752" s="8" t="str" cm="1">
        <f t="array" ref="L752">IFERROR(_xlfn.IFS(Table3[[#This Row],[Age (Years)]]  &gt; 75, "YES", Table3[[#This Row],[Age (Years)]] &lt; 75, "NO"), "UNKNOWN")</f>
        <v>NO</v>
      </c>
      <c r="M752" s="8" t="str">
        <f>IF(Table3[[#This Row],[Drug_Cost_GBP]] &gt; Analysis_Sheet!$B$21, "Above Average", "Within Average")</f>
        <v>Within Average</v>
      </c>
      <c r="N752" s="39" t="str">
        <f t="shared" si="11"/>
        <v>March 2024</v>
      </c>
    </row>
    <row r="753" spans="1:14" x14ac:dyDescent="0.3">
      <c r="A753" s="5" t="s">
        <v>373</v>
      </c>
      <c r="B753" s="18">
        <v>49</v>
      </c>
      <c r="C753" s="6" t="s">
        <v>38</v>
      </c>
      <c r="D753" s="6" t="s">
        <v>19</v>
      </c>
      <c r="E753" s="6" t="s">
        <v>29</v>
      </c>
      <c r="F753" s="7">
        <v>45654</v>
      </c>
      <c r="G753" s="6">
        <v>12</v>
      </c>
      <c r="H753" s="14">
        <v>827.7</v>
      </c>
      <c r="I753" s="8" t="s">
        <v>16</v>
      </c>
      <c r="J753" s="8" t="str" cm="1">
        <f t="array" ref="J753">_xlfn.IFS(Table3[[#This Row],[Age (Years)]] &lt; 40, "Young", Table3[[#This Row],[Age (Years)]] &gt;= 40, "Middle", Table3[[#This Row],[Age (Years)]] &gt; 60, "Senior")</f>
        <v>Middle</v>
      </c>
      <c r="K753" s="8" t="str" cm="1">
        <f t="array" ref="K753">_xlfn.IFS(Table3[[#This Row],[Drug_Cost_GBP]] &gt; 1200, "High Cost", Table3[[#This Row],[Drug_Cost_GBP]] &lt; 1200, "Normal")</f>
        <v>Normal</v>
      </c>
      <c r="L753" s="8" t="str" cm="1">
        <f t="array" ref="L753">IFERROR(_xlfn.IFS(Table3[[#This Row],[Age (Years)]]  &gt; 75, "YES", Table3[[#This Row],[Age (Years)]] &lt; 75, "NO"), "UNKNOWN")</f>
        <v>NO</v>
      </c>
      <c r="M753" s="8" t="str">
        <f>IF(Table3[[#This Row],[Drug_Cost_GBP]] &gt; Analysis_Sheet!$B$21, "Above Average", "Within Average")</f>
        <v>Within Average</v>
      </c>
      <c r="N753" s="39" t="str">
        <f t="shared" si="11"/>
        <v>December 2024</v>
      </c>
    </row>
    <row r="754" spans="1:14" x14ac:dyDescent="0.3">
      <c r="A754" s="5" t="s">
        <v>687</v>
      </c>
      <c r="B754" s="18">
        <v>49</v>
      </c>
      <c r="C754" s="6" t="s">
        <v>38</v>
      </c>
      <c r="D754" s="6" t="s">
        <v>51</v>
      </c>
      <c r="E754" s="6" t="s">
        <v>57</v>
      </c>
      <c r="F754" s="7" t="s">
        <v>900</v>
      </c>
      <c r="G754" s="6">
        <v>18</v>
      </c>
      <c r="H754" s="14">
        <v>1002.0675517241378</v>
      </c>
      <c r="I754" s="8" t="s">
        <v>21</v>
      </c>
      <c r="J754" s="4" t="str" cm="1">
        <f t="array" ref="J754">_xlfn.IFS(Table3[[#This Row],[Age (Years)]] &lt; 40, "Young", Table3[[#This Row],[Age (Years)]] &gt;= 40, "Middle", Table3[[#This Row],[Age (Years)]] &gt; 60, "Senior")</f>
        <v>Middle</v>
      </c>
      <c r="K754" s="4" t="str" cm="1">
        <f t="array" ref="K754">_xlfn.IFS(Table3[[#This Row],[Drug_Cost_GBP]] &gt; 1200, "High Cost", Table3[[#This Row],[Drug_Cost_GBP]] &lt; 1200, "Normal")</f>
        <v>Normal</v>
      </c>
      <c r="L754" s="4" t="str" cm="1">
        <f t="array" ref="L754">IFERROR(_xlfn.IFS(Table3[[#This Row],[Age (Years)]]  &gt; 75, "YES", Table3[[#This Row],[Age (Years)]] &lt; 75, "NO"), "UNKNOWN")</f>
        <v>NO</v>
      </c>
      <c r="M754" s="4" t="str">
        <f>IF(Table3[[#This Row],[Drug_Cost_GBP]] &gt; Analysis_Sheet!$B$21, "Above Average", "Within Average")</f>
        <v>Within Average</v>
      </c>
      <c r="N754" s="39" t="str">
        <f t="shared" si="11"/>
        <v>Unknown</v>
      </c>
    </row>
    <row r="755" spans="1:14" x14ac:dyDescent="0.3">
      <c r="A755" s="1" t="s">
        <v>402</v>
      </c>
      <c r="B755" s="17">
        <v>48</v>
      </c>
      <c r="C755" s="2" t="s">
        <v>38</v>
      </c>
      <c r="D755" s="2" t="s">
        <v>14</v>
      </c>
      <c r="E755" s="2" t="s">
        <v>43</v>
      </c>
      <c r="F755" s="3">
        <v>45445</v>
      </c>
      <c r="G755" s="2">
        <v>12</v>
      </c>
      <c r="H755" s="13">
        <v>1171.43</v>
      </c>
      <c r="I755" s="4" t="s">
        <v>900</v>
      </c>
      <c r="J755" s="8" t="str" cm="1">
        <f t="array" ref="J755">_xlfn.IFS(Table3[[#This Row],[Age (Years)]] &lt; 40, "Young", Table3[[#This Row],[Age (Years)]] &gt;= 40, "Middle", Table3[[#This Row],[Age (Years)]] &gt; 60, "Senior")</f>
        <v>Middle</v>
      </c>
      <c r="K755" s="8" t="str" cm="1">
        <f t="array" ref="K755">_xlfn.IFS(Table3[[#This Row],[Drug_Cost_GBP]] &gt; 1200, "High Cost", Table3[[#This Row],[Drug_Cost_GBP]] &lt; 1200, "Normal")</f>
        <v>Normal</v>
      </c>
      <c r="L755" s="8" t="str" cm="1">
        <f t="array" ref="L755">IFERROR(_xlfn.IFS(Table3[[#This Row],[Age (Years)]]  &gt; 75, "YES", Table3[[#This Row],[Age (Years)]] &lt; 75, "NO"), "UNKNOWN")</f>
        <v>NO</v>
      </c>
      <c r="M755" s="8" t="str">
        <f>IF(Table3[[#This Row],[Drug_Cost_GBP]] &gt; Analysis_Sheet!$B$21, "Above Average", "Within Average")</f>
        <v>Above Average</v>
      </c>
      <c r="N755" s="39" t="str">
        <f t="shared" si="11"/>
        <v>June 2024</v>
      </c>
    </row>
    <row r="756" spans="1:14" x14ac:dyDescent="0.3">
      <c r="A756" s="5" t="s">
        <v>459</v>
      </c>
      <c r="B756" s="18">
        <v>48</v>
      </c>
      <c r="C756" s="6" t="s">
        <v>38</v>
      </c>
      <c r="D756" s="6" t="s">
        <v>48</v>
      </c>
      <c r="E756" s="6" t="s">
        <v>23</v>
      </c>
      <c r="F756" s="7">
        <v>45298</v>
      </c>
      <c r="G756" s="6">
        <v>18</v>
      </c>
      <c r="H756" s="14">
        <v>1002.0675517241378</v>
      </c>
      <c r="I756" s="8" t="s">
        <v>16</v>
      </c>
      <c r="J756" s="4" t="str" cm="1">
        <f t="array" ref="J756">_xlfn.IFS(Table3[[#This Row],[Age (Years)]] &lt; 40, "Young", Table3[[#This Row],[Age (Years)]] &gt;= 40, "Middle", Table3[[#This Row],[Age (Years)]] &gt; 60, "Senior")</f>
        <v>Middle</v>
      </c>
      <c r="K756" s="4" t="str" cm="1">
        <f t="array" ref="K756">_xlfn.IFS(Table3[[#This Row],[Drug_Cost_GBP]] &gt; 1200, "High Cost", Table3[[#This Row],[Drug_Cost_GBP]] &lt; 1200, "Normal")</f>
        <v>Normal</v>
      </c>
      <c r="L756" s="4" t="str" cm="1">
        <f t="array" ref="L756">IFERROR(_xlfn.IFS(Table3[[#This Row],[Age (Years)]]  &gt; 75, "YES", Table3[[#This Row],[Age (Years)]] &lt; 75, "NO"), "UNKNOWN")</f>
        <v>NO</v>
      </c>
      <c r="M756" s="4" t="str">
        <f>IF(Table3[[#This Row],[Drug_Cost_GBP]] &gt; Analysis_Sheet!$B$21, "Above Average", "Within Average")</f>
        <v>Within Average</v>
      </c>
      <c r="N756" s="39" t="str">
        <f t="shared" si="11"/>
        <v>January 2024</v>
      </c>
    </row>
    <row r="757" spans="1:14" x14ac:dyDescent="0.3">
      <c r="A757" s="1" t="s">
        <v>562</v>
      </c>
      <c r="B757" s="17">
        <v>48</v>
      </c>
      <c r="C757" s="2" t="s">
        <v>899</v>
      </c>
      <c r="D757" s="2" t="s">
        <v>25</v>
      </c>
      <c r="E757" s="2" t="s">
        <v>23</v>
      </c>
      <c r="F757" s="3">
        <v>45397</v>
      </c>
      <c r="G757" s="2">
        <v>15</v>
      </c>
      <c r="H757" s="13">
        <v>1002.0675517241378</v>
      </c>
      <c r="I757" s="4" t="s">
        <v>16</v>
      </c>
      <c r="J757" s="4" t="str" cm="1">
        <f t="array" ref="J757">_xlfn.IFS(Table3[[#This Row],[Age (Years)]] &lt; 40, "Young", Table3[[#This Row],[Age (Years)]] &gt;= 40, "Middle", Table3[[#This Row],[Age (Years)]] &gt; 60, "Senior")</f>
        <v>Middle</v>
      </c>
      <c r="K757" s="4" t="str" cm="1">
        <f t="array" ref="K757">_xlfn.IFS(Table3[[#This Row],[Drug_Cost_GBP]] &gt; 1200, "High Cost", Table3[[#This Row],[Drug_Cost_GBP]] &lt; 1200, "Normal")</f>
        <v>Normal</v>
      </c>
      <c r="L757" s="4" t="str" cm="1">
        <f t="array" ref="L757">IFERROR(_xlfn.IFS(Table3[[#This Row],[Age (Years)]]  &gt; 75, "YES", Table3[[#This Row],[Age (Years)]] &lt; 75, "NO"), "UNKNOWN")</f>
        <v>NO</v>
      </c>
      <c r="M757" s="4" t="str">
        <f>IF(Table3[[#This Row],[Drug_Cost_GBP]] &gt; Analysis_Sheet!$B$21, "Above Average", "Within Average")</f>
        <v>Within Average</v>
      </c>
      <c r="N757" s="39" t="str">
        <f t="shared" si="11"/>
        <v>April 2024</v>
      </c>
    </row>
    <row r="758" spans="1:14" x14ac:dyDescent="0.3">
      <c r="A758" s="1" t="s">
        <v>766</v>
      </c>
      <c r="B758" s="17">
        <v>48</v>
      </c>
      <c r="C758" s="2" t="s">
        <v>899</v>
      </c>
      <c r="D758" s="2" t="s">
        <v>51</v>
      </c>
      <c r="E758" s="2" t="s">
        <v>11</v>
      </c>
      <c r="F758" s="3" t="s">
        <v>900</v>
      </c>
      <c r="G758" s="2">
        <v>12</v>
      </c>
      <c r="H758" s="13">
        <v>503.91</v>
      </c>
      <c r="I758" s="4" t="s">
        <v>16</v>
      </c>
      <c r="J758" s="8" t="str" cm="1">
        <f t="array" ref="J758">_xlfn.IFS(Table3[[#This Row],[Age (Years)]] &lt; 40, "Young", Table3[[#This Row],[Age (Years)]] &gt;= 40, "Middle", Table3[[#This Row],[Age (Years)]] &gt; 60, "Senior")</f>
        <v>Middle</v>
      </c>
      <c r="K758" s="8" t="str" cm="1">
        <f t="array" ref="K758">_xlfn.IFS(Table3[[#This Row],[Drug_Cost_GBP]] &gt; 1200, "High Cost", Table3[[#This Row],[Drug_Cost_GBP]] &lt; 1200, "Normal")</f>
        <v>Normal</v>
      </c>
      <c r="L758" s="8" t="str" cm="1">
        <f t="array" ref="L758">IFERROR(_xlfn.IFS(Table3[[#This Row],[Age (Years)]]  &gt; 75, "YES", Table3[[#This Row],[Age (Years)]] &lt; 75, "NO"), "UNKNOWN")</f>
        <v>NO</v>
      </c>
      <c r="M758" s="8" t="str">
        <f>IF(Table3[[#This Row],[Drug_Cost_GBP]] &gt; Analysis_Sheet!$B$21, "Above Average", "Within Average")</f>
        <v>Within Average</v>
      </c>
      <c r="N758" s="39" t="str">
        <f t="shared" si="11"/>
        <v>Unknown</v>
      </c>
    </row>
    <row r="759" spans="1:14" x14ac:dyDescent="0.3">
      <c r="A759" s="5" t="s">
        <v>643</v>
      </c>
      <c r="B759" s="18">
        <v>47</v>
      </c>
      <c r="C759" s="6" t="s">
        <v>38</v>
      </c>
      <c r="D759" s="6" t="s">
        <v>898</v>
      </c>
      <c r="E759" s="6" t="s">
        <v>11</v>
      </c>
      <c r="F759" s="7">
        <v>45514</v>
      </c>
      <c r="G759" s="6">
        <v>12</v>
      </c>
      <c r="H759" s="14">
        <v>1869.72</v>
      </c>
      <c r="I759" s="8" t="s">
        <v>21</v>
      </c>
      <c r="J759" s="8" t="str" cm="1">
        <f t="array" ref="J759">_xlfn.IFS(Table3[[#This Row],[Age (Years)]] &lt; 40, "Young", Table3[[#This Row],[Age (Years)]] &gt;= 40, "Middle", Table3[[#This Row],[Age (Years)]] &gt; 60, "Senior")</f>
        <v>Middle</v>
      </c>
      <c r="K759" s="8" t="str" cm="1">
        <f t="array" ref="K759">_xlfn.IFS(Table3[[#This Row],[Drug_Cost_GBP]] &gt; 1200, "High Cost", Table3[[#This Row],[Drug_Cost_GBP]] &lt; 1200, "Normal")</f>
        <v>High Cost</v>
      </c>
      <c r="L759" s="8" t="str" cm="1">
        <f t="array" ref="L759">IFERROR(_xlfn.IFS(Table3[[#This Row],[Age (Years)]]  &gt; 75, "YES", Table3[[#This Row],[Age (Years)]] &lt; 75, "NO"), "UNKNOWN")</f>
        <v>NO</v>
      </c>
      <c r="M759" s="8" t="str">
        <f>IF(Table3[[#This Row],[Drug_Cost_GBP]] &gt; Analysis_Sheet!$B$21, "Above Average", "Within Average")</f>
        <v>Above Average</v>
      </c>
      <c r="N759" s="39" t="str">
        <f t="shared" si="11"/>
        <v>August 2024</v>
      </c>
    </row>
    <row r="760" spans="1:14" x14ac:dyDescent="0.3">
      <c r="A760" s="5" t="s">
        <v>689</v>
      </c>
      <c r="B760" s="18">
        <v>47</v>
      </c>
      <c r="C760" s="6" t="s">
        <v>38</v>
      </c>
      <c r="D760" s="6" t="s">
        <v>14</v>
      </c>
      <c r="E760" s="6" t="s">
        <v>43</v>
      </c>
      <c r="F760" s="7">
        <v>45304</v>
      </c>
      <c r="G760" s="6">
        <v>12</v>
      </c>
      <c r="H760" s="14">
        <v>1298.96</v>
      </c>
      <c r="I760" s="8" t="s">
        <v>12</v>
      </c>
      <c r="J760" s="8" t="str" cm="1">
        <f t="array" ref="J760">_xlfn.IFS(Table3[[#This Row],[Age (Years)]] &lt; 40, "Young", Table3[[#This Row],[Age (Years)]] &gt;= 40, "Middle", Table3[[#This Row],[Age (Years)]] &gt; 60, "Senior")</f>
        <v>Middle</v>
      </c>
      <c r="K760" s="8" t="str" cm="1">
        <f t="array" ref="K760">_xlfn.IFS(Table3[[#This Row],[Drug_Cost_GBP]] &gt; 1200, "High Cost", Table3[[#This Row],[Drug_Cost_GBP]] &lt; 1200, "Normal")</f>
        <v>High Cost</v>
      </c>
      <c r="L760" s="8" t="str" cm="1">
        <f t="array" ref="L760">IFERROR(_xlfn.IFS(Table3[[#This Row],[Age (Years)]]  &gt; 75, "YES", Table3[[#This Row],[Age (Years)]] &lt; 75, "NO"), "UNKNOWN")</f>
        <v>NO</v>
      </c>
      <c r="M760" s="8" t="str">
        <f>IF(Table3[[#This Row],[Drug_Cost_GBP]] &gt; Analysis_Sheet!$B$21, "Above Average", "Within Average")</f>
        <v>Above Average</v>
      </c>
      <c r="N760" s="39" t="str">
        <f t="shared" si="11"/>
        <v>January 2024</v>
      </c>
    </row>
    <row r="761" spans="1:14" x14ac:dyDescent="0.3">
      <c r="A761" s="5" t="s">
        <v>805</v>
      </c>
      <c r="B761" s="18">
        <v>47</v>
      </c>
      <c r="C761" s="6" t="s">
        <v>899</v>
      </c>
      <c r="D761" s="6" t="s">
        <v>10</v>
      </c>
      <c r="E761" s="6" t="s">
        <v>34</v>
      </c>
      <c r="F761" s="7">
        <v>45600</v>
      </c>
      <c r="G761" s="6">
        <v>12</v>
      </c>
      <c r="H761" s="14">
        <v>243.28</v>
      </c>
      <c r="I761" s="8" t="s">
        <v>900</v>
      </c>
      <c r="J761" s="4" t="str" cm="1">
        <f t="array" ref="J761">_xlfn.IFS(Table3[[#This Row],[Age (Years)]] &lt; 40, "Young", Table3[[#This Row],[Age (Years)]] &gt;= 40, "Middle", Table3[[#This Row],[Age (Years)]] &gt; 60, "Senior")</f>
        <v>Middle</v>
      </c>
      <c r="K761" s="4" t="str" cm="1">
        <f t="array" ref="K761">_xlfn.IFS(Table3[[#This Row],[Drug_Cost_GBP]] &gt; 1200, "High Cost", Table3[[#This Row],[Drug_Cost_GBP]] &lt; 1200, "Normal")</f>
        <v>Normal</v>
      </c>
      <c r="L761" s="4" t="str" cm="1">
        <f t="array" ref="L761">IFERROR(_xlfn.IFS(Table3[[#This Row],[Age (Years)]]  &gt; 75, "YES", Table3[[#This Row],[Age (Years)]] &lt; 75, "NO"), "UNKNOWN")</f>
        <v>NO</v>
      </c>
      <c r="M761" s="4" t="str">
        <f>IF(Table3[[#This Row],[Drug_Cost_GBP]] &gt; Analysis_Sheet!$B$21, "Above Average", "Within Average")</f>
        <v>Within Average</v>
      </c>
      <c r="N761" s="39" t="str">
        <f t="shared" si="11"/>
        <v>November 2024</v>
      </c>
    </row>
    <row r="762" spans="1:14" x14ac:dyDescent="0.3">
      <c r="A762" s="5" t="s">
        <v>229</v>
      </c>
      <c r="B762" s="18">
        <v>46</v>
      </c>
      <c r="C762" s="6" t="s">
        <v>38</v>
      </c>
      <c r="D762" s="6" t="s">
        <v>51</v>
      </c>
      <c r="E762" s="6" t="s">
        <v>43</v>
      </c>
      <c r="F762" s="7">
        <v>45626</v>
      </c>
      <c r="G762" s="6">
        <v>12</v>
      </c>
      <c r="H762" s="14">
        <v>1002.0675517241378</v>
      </c>
      <c r="I762" s="8" t="s">
        <v>21</v>
      </c>
      <c r="J762" s="8" t="str" cm="1">
        <f t="array" ref="J762">_xlfn.IFS(Table3[[#This Row],[Age (Years)]] &lt; 40, "Young", Table3[[#This Row],[Age (Years)]] &gt;= 40, "Middle", Table3[[#This Row],[Age (Years)]] &gt; 60, "Senior")</f>
        <v>Middle</v>
      </c>
      <c r="K762" s="8" t="str" cm="1">
        <f t="array" ref="K762">_xlfn.IFS(Table3[[#This Row],[Drug_Cost_GBP]] &gt; 1200, "High Cost", Table3[[#This Row],[Drug_Cost_GBP]] &lt; 1200, "Normal")</f>
        <v>Normal</v>
      </c>
      <c r="L762" s="8" t="str" cm="1">
        <f t="array" ref="L762">IFERROR(_xlfn.IFS(Table3[[#This Row],[Age (Years)]]  &gt; 75, "YES", Table3[[#This Row],[Age (Years)]] &lt; 75, "NO"), "UNKNOWN")</f>
        <v>NO</v>
      </c>
      <c r="M762" s="8" t="str">
        <f>IF(Table3[[#This Row],[Drug_Cost_GBP]] &gt; Analysis_Sheet!$B$21, "Above Average", "Within Average")</f>
        <v>Within Average</v>
      </c>
      <c r="N762" s="39" t="str">
        <f t="shared" si="11"/>
        <v>November 2024</v>
      </c>
    </row>
    <row r="763" spans="1:14" x14ac:dyDescent="0.3">
      <c r="A763" s="5" t="s">
        <v>469</v>
      </c>
      <c r="B763" s="18">
        <v>46</v>
      </c>
      <c r="C763" s="6" t="s">
        <v>899</v>
      </c>
      <c r="D763" s="6" t="s">
        <v>10</v>
      </c>
      <c r="E763" s="6" t="s">
        <v>29</v>
      </c>
      <c r="F763" s="7" t="s">
        <v>900</v>
      </c>
      <c r="G763" s="6">
        <v>12</v>
      </c>
      <c r="H763" s="14">
        <v>1002.0675517241378</v>
      </c>
      <c r="I763" s="8" t="s">
        <v>900</v>
      </c>
      <c r="J763" s="8" t="str" cm="1">
        <f t="array" ref="J763">_xlfn.IFS(Table3[[#This Row],[Age (Years)]] &lt; 40, "Young", Table3[[#This Row],[Age (Years)]] &gt;= 40, "Middle", Table3[[#This Row],[Age (Years)]] &gt; 60, "Senior")</f>
        <v>Middle</v>
      </c>
      <c r="K763" s="8" t="str" cm="1">
        <f t="array" ref="K763">_xlfn.IFS(Table3[[#This Row],[Drug_Cost_GBP]] &gt; 1200, "High Cost", Table3[[#This Row],[Drug_Cost_GBP]] &lt; 1200, "Normal")</f>
        <v>Normal</v>
      </c>
      <c r="L763" s="8" t="str" cm="1">
        <f t="array" ref="L763">IFERROR(_xlfn.IFS(Table3[[#This Row],[Age (Years)]]  &gt; 75, "YES", Table3[[#This Row],[Age (Years)]] &lt; 75, "NO"), "UNKNOWN")</f>
        <v>NO</v>
      </c>
      <c r="M763" s="8" t="str">
        <f>IF(Table3[[#This Row],[Drug_Cost_GBP]] &gt; Analysis_Sheet!$B$21, "Above Average", "Within Average")</f>
        <v>Within Average</v>
      </c>
      <c r="N763" s="39" t="str">
        <f t="shared" si="11"/>
        <v>Unknown</v>
      </c>
    </row>
    <row r="764" spans="1:14" x14ac:dyDescent="0.3">
      <c r="A764" s="5" t="s">
        <v>287</v>
      </c>
      <c r="B764" s="18">
        <v>45</v>
      </c>
      <c r="C764" s="6" t="s">
        <v>38</v>
      </c>
      <c r="D764" s="6" t="s">
        <v>900</v>
      </c>
      <c r="E764" s="6" t="s">
        <v>34</v>
      </c>
      <c r="F764" s="7" t="s">
        <v>900</v>
      </c>
      <c r="G764" s="6">
        <v>12</v>
      </c>
      <c r="H764" s="14">
        <v>1002.0675517241378</v>
      </c>
      <c r="I764" s="8" t="s">
        <v>16</v>
      </c>
      <c r="J764" s="8" t="str" cm="1">
        <f t="array" ref="J764">_xlfn.IFS(Table3[[#This Row],[Age (Years)]] &lt; 40, "Young", Table3[[#This Row],[Age (Years)]] &gt;= 40, "Middle", Table3[[#This Row],[Age (Years)]] &gt; 60, "Senior")</f>
        <v>Middle</v>
      </c>
      <c r="K764" s="8" t="str" cm="1">
        <f t="array" ref="K764">_xlfn.IFS(Table3[[#This Row],[Drug_Cost_GBP]] &gt; 1200, "High Cost", Table3[[#This Row],[Drug_Cost_GBP]] &lt; 1200, "Normal")</f>
        <v>Normal</v>
      </c>
      <c r="L764" s="8" t="str" cm="1">
        <f t="array" ref="L764">IFERROR(_xlfn.IFS(Table3[[#This Row],[Age (Years)]]  &gt; 75, "YES", Table3[[#This Row],[Age (Years)]] &lt; 75, "NO"), "UNKNOWN")</f>
        <v>NO</v>
      </c>
      <c r="M764" s="8" t="str">
        <f>IF(Table3[[#This Row],[Drug_Cost_GBP]] &gt; Analysis_Sheet!$B$21, "Above Average", "Within Average")</f>
        <v>Within Average</v>
      </c>
      <c r="N764" s="39" t="str">
        <f t="shared" si="11"/>
        <v>Unknown</v>
      </c>
    </row>
    <row r="765" spans="1:14" x14ac:dyDescent="0.3">
      <c r="A765" s="5" t="s">
        <v>473</v>
      </c>
      <c r="B765" s="18">
        <v>45</v>
      </c>
      <c r="C765" s="6" t="s">
        <v>900</v>
      </c>
      <c r="D765" s="6" t="s">
        <v>48</v>
      </c>
      <c r="E765" s="6" t="s">
        <v>34</v>
      </c>
      <c r="F765" s="7">
        <v>45528</v>
      </c>
      <c r="G765" s="6">
        <v>5</v>
      </c>
      <c r="H765" s="14">
        <v>1002.0675517241378</v>
      </c>
      <c r="I765" s="8" t="s">
        <v>900</v>
      </c>
      <c r="J765" s="4" t="str" cm="1">
        <f t="array" ref="J765">_xlfn.IFS(Table3[[#This Row],[Age (Years)]] &lt; 40, "Young", Table3[[#This Row],[Age (Years)]] &gt;= 40, "Middle", Table3[[#This Row],[Age (Years)]] &gt; 60, "Senior")</f>
        <v>Middle</v>
      </c>
      <c r="K765" s="4" t="str" cm="1">
        <f t="array" ref="K765">_xlfn.IFS(Table3[[#This Row],[Drug_Cost_GBP]] &gt; 1200, "High Cost", Table3[[#This Row],[Drug_Cost_GBP]] &lt; 1200, "Normal")</f>
        <v>Normal</v>
      </c>
      <c r="L765" s="4" t="str" cm="1">
        <f t="array" ref="L765">IFERROR(_xlfn.IFS(Table3[[#This Row],[Age (Years)]]  &gt; 75, "YES", Table3[[#This Row],[Age (Years)]] &lt; 75, "NO"), "UNKNOWN")</f>
        <v>NO</v>
      </c>
      <c r="M765" s="4" t="str">
        <f>IF(Table3[[#This Row],[Drug_Cost_GBP]] &gt; Analysis_Sheet!$B$21, "Above Average", "Within Average")</f>
        <v>Within Average</v>
      </c>
      <c r="N765" s="39" t="str">
        <f t="shared" si="11"/>
        <v>August 2024</v>
      </c>
    </row>
    <row r="766" spans="1:14" x14ac:dyDescent="0.3">
      <c r="A766" s="1" t="s">
        <v>846</v>
      </c>
      <c r="B766" s="17">
        <v>45</v>
      </c>
      <c r="C766" s="2" t="s">
        <v>900</v>
      </c>
      <c r="D766" s="2" t="s">
        <v>898</v>
      </c>
      <c r="E766" s="2" t="s">
        <v>29</v>
      </c>
      <c r="F766" s="3" t="s">
        <v>900</v>
      </c>
      <c r="G766" s="2">
        <v>18</v>
      </c>
      <c r="H766" s="13">
        <v>116.89</v>
      </c>
      <c r="I766" s="4" t="s">
        <v>12</v>
      </c>
      <c r="J766" s="4" t="str" cm="1">
        <f t="array" ref="J766">_xlfn.IFS(Table3[[#This Row],[Age (Years)]] &lt; 40, "Young", Table3[[#This Row],[Age (Years)]] &gt;= 40, "Middle", Table3[[#This Row],[Age (Years)]] &gt; 60, "Senior")</f>
        <v>Middle</v>
      </c>
      <c r="K766" s="4" t="str" cm="1">
        <f t="array" ref="K766">_xlfn.IFS(Table3[[#This Row],[Drug_Cost_GBP]] &gt; 1200, "High Cost", Table3[[#This Row],[Drug_Cost_GBP]] &lt; 1200, "Normal")</f>
        <v>Normal</v>
      </c>
      <c r="L766" s="4" t="str" cm="1">
        <f t="array" ref="L766">IFERROR(_xlfn.IFS(Table3[[#This Row],[Age (Years)]]  &gt; 75, "YES", Table3[[#This Row],[Age (Years)]] &lt; 75, "NO"), "UNKNOWN")</f>
        <v>NO</v>
      </c>
      <c r="M766" s="4" t="str">
        <f>IF(Table3[[#This Row],[Drug_Cost_GBP]] &gt; Analysis_Sheet!$B$21, "Above Average", "Within Average")</f>
        <v>Within Average</v>
      </c>
      <c r="N766" s="39" t="str">
        <f t="shared" si="11"/>
        <v>Unknown</v>
      </c>
    </row>
    <row r="767" spans="1:14" x14ac:dyDescent="0.3">
      <c r="A767" s="1" t="s">
        <v>876</v>
      </c>
      <c r="B767" s="17">
        <v>45</v>
      </c>
      <c r="C767" s="2" t="s">
        <v>38</v>
      </c>
      <c r="D767" s="2" t="s">
        <v>898</v>
      </c>
      <c r="E767" s="2" t="s">
        <v>23</v>
      </c>
      <c r="F767" s="3">
        <v>45646</v>
      </c>
      <c r="G767" s="2">
        <v>13</v>
      </c>
      <c r="H767" s="13">
        <v>239.21</v>
      </c>
      <c r="I767" s="4" t="s">
        <v>16</v>
      </c>
      <c r="J767" s="8" t="str" cm="1">
        <f t="array" ref="J767">_xlfn.IFS(Table3[[#This Row],[Age (Years)]] &lt; 40, "Young", Table3[[#This Row],[Age (Years)]] &gt;= 40, "Middle", Table3[[#This Row],[Age (Years)]] &gt; 60, "Senior")</f>
        <v>Middle</v>
      </c>
      <c r="K767" s="8" t="str" cm="1">
        <f t="array" ref="K767">_xlfn.IFS(Table3[[#This Row],[Drug_Cost_GBP]] &gt; 1200, "High Cost", Table3[[#This Row],[Drug_Cost_GBP]] &lt; 1200, "Normal")</f>
        <v>Normal</v>
      </c>
      <c r="L767" s="8" t="str" cm="1">
        <f t="array" ref="L767">IFERROR(_xlfn.IFS(Table3[[#This Row],[Age (Years)]]  &gt; 75, "YES", Table3[[#This Row],[Age (Years)]] &lt; 75, "NO"), "UNKNOWN")</f>
        <v>NO</v>
      </c>
      <c r="M767" s="8" t="str">
        <f>IF(Table3[[#This Row],[Drug_Cost_GBP]] &gt; Analysis_Sheet!$B$21, "Above Average", "Within Average")</f>
        <v>Within Average</v>
      </c>
      <c r="N767" s="39" t="str">
        <f t="shared" si="11"/>
        <v>December 2024</v>
      </c>
    </row>
    <row r="768" spans="1:14" x14ac:dyDescent="0.3">
      <c r="A768" s="1" t="s">
        <v>174</v>
      </c>
      <c r="B768" s="17">
        <v>44</v>
      </c>
      <c r="C768" s="2" t="s">
        <v>900</v>
      </c>
      <c r="D768" s="2" t="s">
        <v>898</v>
      </c>
      <c r="E768" s="2" t="s">
        <v>29</v>
      </c>
      <c r="F768" s="3">
        <v>45567</v>
      </c>
      <c r="G768" s="2">
        <v>12</v>
      </c>
      <c r="H768" s="13">
        <v>1002.0675517241378</v>
      </c>
      <c r="I768" s="4" t="s">
        <v>16</v>
      </c>
      <c r="J768" s="4" t="str" cm="1">
        <f t="array" ref="J768">_xlfn.IFS(Table3[[#This Row],[Age (Years)]] &lt; 40, "Young", Table3[[#This Row],[Age (Years)]] &gt;= 40, "Middle", Table3[[#This Row],[Age (Years)]] &gt; 60, "Senior")</f>
        <v>Middle</v>
      </c>
      <c r="K768" s="4" t="str" cm="1">
        <f t="array" ref="K768">_xlfn.IFS(Table3[[#This Row],[Drug_Cost_GBP]] &gt; 1200, "High Cost", Table3[[#This Row],[Drug_Cost_GBP]] &lt; 1200, "Normal")</f>
        <v>Normal</v>
      </c>
      <c r="L768" s="4" t="str" cm="1">
        <f t="array" ref="L768">IFERROR(_xlfn.IFS(Table3[[#This Row],[Age (Years)]]  &gt; 75, "YES", Table3[[#This Row],[Age (Years)]] &lt; 75, "NO"), "UNKNOWN")</f>
        <v>NO</v>
      </c>
      <c r="M768" s="4" t="str">
        <f>IF(Table3[[#This Row],[Drug_Cost_GBP]] &gt; Analysis_Sheet!$B$21, "Above Average", "Within Average")</f>
        <v>Within Average</v>
      </c>
      <c r="N768" s="39" t="str">
        <f t="shared" si="11"/>
        <v>October 2024</v>
      </c>
    </row>
    <row r="769" spans="1:14" x14ac:dyDescent="0.3">
      <c r="A769" s="1" t="s">
        <v>578</v>
      </c>
      <c r="B769" s="17">
        <v>44</v>
      </c>
      <c r="C769" s="2" t="s">
        <v>38</v>
      </c>
      <c r="D769" s="2" t="s">
        <v>51</v>
      </c>
      <c r="E769" s="2" t="s">
        <v>11</v>
      </c>
      <c r="F769" s="3">
        <v>45346</v>
      </c>
      <c r="G769" s="2">
        <v>12</v>
      </c>
      <c r="H769" s="13">
        <v>1002.0675517241378</v>
      </c>
      <c r="I769" s="4" t="s">
        <v>12</v>
      </c>
      <c r="J769" s="4" t="str" cm="1">
        <f t="array" ref="J769">_xlfn.IFS(Table3[[#This Row],[Age (Years)]] &lt; 40, "Young", Table3[[#This Row],[Age (Years)]] &gt;= 40, "Middle", Table3[[#This Row],[Age (Years)]] &gt; 60, "Senior")</f>
        <v>Middle</v>
      </c>
      <c r="K769" s="4" t="str" cm="1">
        <f t="array" ref="K769">_xlfn.IFS(Table3[[#This Row],[Drug_Cost_GBP]] &gt; 1200, "High Cost", Table3[[#This Row],[Drug_Cost_GBP]] &lt; 1200, "Normal")</f>
        <v>Normal</v>
      </c>
      <c r="L769" s="4" t="str" cm="1">
        <f t="array" ref="L769">IFERROR(_xlfn.IFS(Table3[[#This Row],[Age (Years)]]  &gt; 75, "YES", Table3[[#This Row],[Age (Years)]] &lt; 75, "NO"), "UNKNOWN")</f>
        <v>NO</v>
      </c>
      <c r="M769" s="4" t="str">
        <f>IF(Table3[[#This Row],[Drug_Cost_GBP]] &gt; Analysis_Sheet!$B$21, "Above Average", "Within Average")</f>
        <v>Within Average</v>
      </c>
      <c r="N769" s="39" t="str">
        <f t="shared" si="11"/>
        <v>February 2024</v>
      </c>
    </row>
    <row r="770" spans="1:14" x14ac:dyDescent="0.3">
      <c r="A770" s="1" t="s">
        <v>582</v>
      </c>
      <c r="B770" s="17">
        <v>44</v>
      </c>
      <c r="C770" s="2" t="s">
        <v>900</v>
      </c>
      <c r="D770" s="2" t="s">
        <v>14</v>
      </c>
      <c r="E770" s="2" t="s">
        <v>43</v>
      </c>
      <c r="F770" s="3">
        <v>45648</v>
      </c>
      <c r="G770" s="2">
        <v>12</v>
      </c>
      <c r="H770" s="13">
        <v>1002.0675517241378</v>
      </c>
      <c r="I770" s="4" t="s">
        <v>26</v>
      </c>
      <c r="J770" s="8" t="str" cm="1">
        <f t="array" ref="J770">_xlfn.IFS(Table3[[#This Row],[Age (Years)]] &lt; 40, "Young", Table3[[#This Row],[Age (Years)]] &gt;= 40, "Middle", Table3[[#This Row],[Age (Years)]] &gt; 60, "Senior")</f>
        <v>Middle</v>
      </c>
      <c r="K770" s="8" t="str" cm="1">
        <f t="array" ref="K770">_xlfn.IFS(Table3[[#This Row],[Drug_Cost_GBP]] &gt; 1200, "High Cost", Table3[[#This Row],[Drug_Cost_GBP]] &lt; 1200, "Normal")</f>
        <v>Normal</v>
      </c>
      <c r="L770" s="8" t="str" cm="1">
        <f t="array" ref="L770">IFERROR(_xlfn.IFS(Table3[[#This Row],[Age (Years)]]  &gt; 75, "YES", Table3[[#This Row],[Age (Years)]] &lt; 75, "NO"), "UNKNOWN")</f>
        <v>NO</v>
      </c>
      <c r="M770" s="8" t="str">
        <f>IF(Table3[[#This Row],[Drug_Cost_GBP]] &gt; Analysis_Sheet!$B$21, "Above Average", "Within Average")</f>
        <v>Within Average</v>
      </c>
      <c r="N770" s="39" t="str">
        <f t="shared" si="11"/>
        <v>December 2024</v>
      </c>
    </row>
    <row r="771" spans="1:14" x14ac:dyDescent="0.3">
      <c r="A771" s="1" t="s">
        <v>492</v>
      </c>
      <c r="B771" s="17">
        <v>43</v>
      </c>
      <c r="C771" s="2" t="s">
        <v>38</v>
      </c>
      <c r="D771" s="2" t="s">
        <v>10</v>
      </c>
      <c r="E771" s="2" t="s">
        <v>57</v>
      </c>
      <c r="F771" s="3" t="s">
        <v>900</v>
      </c>
      <c r="G771" s="2">
        <v>3</v>
      </c>
      <c r="H771" s="13">
        <v>1002.0675517241378</v>
      </c>
      <c r="I771" s="4" t="s">
        <v>21</v>
      </c>
      <c r="J771" s="4" t="str" cm="1">
        <f t="array" ref="J771">_xlfn.IFS(Table3[[#This Row],[Age (Years)]] &lt; 40, "Young", Table3[[#This Row],[Age (Years)]] &gt;= 40, "Middle", Table3[[#This Row],[Age (Years)]] &gt; 60, "Senior")</f>
        <v>Middle</v>
      </c>
      <c r="K771" s="4" t="str" cm="1">
        <f t="array" ref="K771">_xlfn.IFS(Table3[[#This Row],[Drug_Cost_GBP]] &gt; 1200, "High Cost", Table3[[#This Row],[Drug_Cost_GBP]] &lt; 1200, "Normal")</f>
        <v>Normal</v>
      </c>
      <c r="L771" s="4" t="str" cm="1">
        <f t="array" ref="L771">IFERROR(_xlfn.IFS(Table3[[#This Row],[Age (Years)]]  &gt; 75, "YES", Table3[[#This Row],[Age (Years)]] &lt; 75, "NO"), "UNKNOWN")</f>
        <v>NO</v>
      </c>
      <c r="M771" s="4" t="str">
        <f>IF(Table3[[#This Row],[Drug_Cost_GBP]] &gt; Analysis_Sheet!$B$21, "Above Average", "Within Average")</f>
        <v>Within Average</v>
      </c>
      <c r="N771" s="39" t="str">
        <f t="shared" ref="N771:N834" si="12">IF(ISNUMBER(F771),TEXT(F771,"MMMM YYYY"),"Unknown")</f>
        <v>Unknown</v>
      </c>
    </row>
    <row r="772" spans="1:14" x14ac:dyDescent="0.3">
      <c r="A772" s="1" t="s">
        <v>738</v>
      </c>
      <c r="B772" s="17">
        <v>43</v>
      </c>
      <c r="C772" s="2" t="s">
        <v>38</v>
      </c>
      <c r="D772" s="2" t="s">
        <v>898</v>
      </c>
      <c r="E772" s="2" t="s">
        <v>43</v>
      </c>
      <c r="F772" s="3">
        <v>45627</v>
      </c>
      <c r="G772" s="2">
        <v>12</v>
      </c>
      <c r="H772" s="13">
        <v>541.27</v>
      </c>
      <c r="I772" s="4" t="s">
        <v>12</v>
      </c>
      <c r="J772" s="4" t="str" cm="1">
        <f t="array" ref="J772">_xlfn.IFS(Table3[[#This Row],[Age (Years)]] &lt; 40, "Young", Table3[[#This Row],[Age (Years)]] &gt;= 40, "Middle", Table3[[#This Row],[Age (Years)]] &gt; 60, "Senior")</f>
        <v>Middle</v>
      </c>
      <c r="K772" s="4" t="str" cm="1">
        <f t="array" ref="K772">_xlfn.IFS(Table3[[#This Row],[Drug_Cost_GBP]] &gt; 1200, "High Cost", Table3[[#This Row],[Drug_Cost_GBP]] &lt; 1200, "Normal")</f>
        <v>Normal</v>
      </c>
      <c r="L772" s="4" t="str" cm="1">
        <f t="array" ref="L772">IFERROR(_xlfn.IFS(Table3[[#This Row],[Age (Years)]]  &gt; 75, "YES", Table3[[#This Row],[Age (Years)]] &lt; 75, "NO"), "UNKNOWN")</f>
        <v>NO</v>
      </c>
      <c r="M772" s="4" t="str">
        <f>IF(Table3[[#This Row],[Drug_Cost_GBP]] &gt; Analysis_Sheet!$B$21, "Above Average", "Within Average")</f>
        <v>Within Average</v>
      </c>
      <c r="N772" s="39" t="str">
        <f t="shared" si="12"/>
        <v>December 2024</v>
      </c>
    </row>
    <row r="773" spans="1:14" x14ac:dyDescent="0.3">
      <c r="A773" s="1" t="s">
        <v>800</v>
      </c>
      <c r="B773" s="17">
        <v>43</v>
      </c>
      <c r="C773" s="2" t="s">
        <v>899</v>
      </c>
      <c r="D773" s="2" t="s">
        <v>900</v>
      </c>
      <c r="E773" s="2" t="s">
        <v>57</v>
      </c>
      <c r="F773" s="3" t="s">
        <v>900</v>
      </c>
      <c r="G773" s="2">
        <v>12</v>
      </c>
      <c r="H773" s="13">
        <v>1358.4</v>
      </c>
      <c r="I773" s="4" t="s">
        <v>16</v>
      </c>
      <c r="J773" s="8" t="str" cm="1">
        <f t="array" ref="J773">_xlfn.IFS(Table3[[#This Row],[Age (Years)]] &lt; 40, "Young", Table3[[#This Row],[Age (Years)]] &gt;= 40, "Middle", Table3[[#This Row],[Age (Years)]] &gt; 60, "Senior")</f>
        <v>Middle</v>
      </c>
      <c r="K773" s="8" t="str" cm="1">
        <f t="array" ref="K773">_xlfn.IFS(Table3[[#This Row],[Drug_Cost_GBP]] &gt; 1200, "High Cost", Table3[[#This Row],[Drug_Cost_GBP]] &lt; 1200, "Normal")</f>
        <v>High Cost</v>
      </c>
      <c r="L773" s="8" t="str" cm="1">
        <f t="array" ref="L773">IFERROR(_xlfn.IFS(Table3[[#This Row],[Age (Years)]]  &gt; 75, "YES", Table3[[#This Row],[Age (Years)]] &lt; 75, "NO"), "UNKNOWN")</f>
        <v>NO</v>
      </c>
      <c r="M773" s="8" t="str">
        <f>IF(Table3[[#This Row],[Drug_Cost_GBP]] &gt; Analysis_Sheet!$B$21, "Above Average", "Within Average")</f>
        <v>Above Average</v>
      </c>
      <c r="N773" s="39" t="str">
        <f t="shared" si="12"/>
        <v>Unknown</v>
      </c>
    </row>
    <row r="774" spans="1:14" x14ac:dyDescent="0.3">
      <c r="A774" s="5" t="s">
        <v>823</v>
      </c>
      <c r="B774" s="18">
        <v>43</v>
      </c>
      <c r="C774" s="6" t="s">
        <v>38</v>
      </c>
      <c r="D774" s="6" t="s">
        <v>14</v>
      </c>
      <c r="E774" s="6" t="s">
        <v>11</v>
      </c>
      <c r="F774" s="7">
        <v>45329</v>
      </c>
      <c r="G774" s="6">
        <v>12</v>
      </c>
      <c r="H774" s="14">
        <v>680.16</v>
      </c>
      <c r="I774" s="8" t="s">
        <v>26</v>
      </c>
      <c r="J774" s="4" t="str" cm="1">
        <f t="array" ref="J774">_xlfn.IFS(Table3[[#This Row],[Age (Years)]] &lt; 40, "Young", Table3[[#This Row],[Age (Years)]] &gt;= 40, "Middle", Table3[[#This Row],[Age (Years)]] &gt; 60, "Senior")</f>
        <v>Middle</v>
      </c>
      <c r="K774" s="4" t="str" cm="1">
        <f t="array" ref="K774">_xlfn.IFS(Table3[[#This Row],[Drug_Cost_GBP]] &gt; 1200, "High Cost", Table3[[#This Row],[Drug_Cost_GBP]] &lt; 1200, "Normal")</f>
        <v>Normal</v>
      </c>
      <c r="L774" s="4" t="str" cm="1">
        <f t="array" ref="L774">IFERROR(_xlfn.IFS(Table3[[#This Row],[Age (Years)]]  &gt; 75, "YES", Table3[[#This Row],[Age (Years)]] &lt; 75, "NO"), "UNKNOWN")</f>
        <v>NO</v>
      </c>
      <c r="M774" s="4" t="str">
        <f>IF(Table3[[#This Row],[Drug_Cost_GBP]] &gt; Analysis_Sheet!$B$21, "Above Average", "Within Average")</f>
        <v>Within Average</v>
      </c>
      <c r="N774" s="39" t="str">
        <f t="shared" si="12"/>
        <v>February 2024</v>
      </c>
    </row>
    <row r="775" spans="1:14" x14ac:dyDescent="0.3">
      <c r="A775" s="1" t="s">
        <v>840</v>
      </c>
      <c r="B775" s="17">
        <v>43</v>
      </c>
      <c r="C775" s="2" t="s">
        <v>38</v>
      </c>
      <c r="D775" s="2" t="s">
        <v>14</v>
      </c>
      <c r="E775" s="2" t="s">
        <v>43</v>
      </c>
      <c r="F775" s="3">
        <v>45432</v>
      </c>
      <c r="G775" s="2">
        <v>12</v>
      </c>
      <c r="H775" s="13">
        <v>1795.37</v>
      </c>
      <c r="I775" s="4" t="s">
        <v>16</v>
      </c>
      <c r="J775" s="4" t="str" cm="1">
        <f t="array" ref="J775">_xlfn.IFS(Table3[[#This Row],[Age (Years)]] &lt; 40, "Young", Table3[[#This Row],[Age (Years)]] &gt;= 40, "Middle", Table3[[#This Row],[Age (Years)]] &gt; 60, "Senior")</f>
        <v>Middle</v>
      </c>
      <c r="K775" s="4" t="str" cm="1">
        <f t="array" ref="K775">_xlfn.IFS(Table3[[#This Row],[Drug_Cost_GBP]] &gt; 1200, "High Cost", Table3[[#This Row],[Drug_Cost_GBP]] &lt; 1200, "Normal")</f>
        <v>High Cost</v>
      </c>
      <c r="L775" s="4" t="str" cm="1">
        <f t="array" ref="L775">IFERROR(_xlfn.IFS(Table3[[#This Row],[Age (Years)]]  &gt; 75, "YES", Table3[[#This Row],[Age (Years)]] &lt; 75, "NO"), "UNKNOWN")</f>
        <v>NO</v>
      </c>
      <c r="M775" s="4" t="str">
        <f>IF(Table3[[#This Row],[Drug_Cost_GBP]] &gt; Analysis_Sheet!$B$21, "Above Average", "Within Average")</f>
        <v>Above Average</v>
      </c>
      <c r="N775" s="39" t="str">
        <f t="shared" si="12"/>
        <v>May 2024</v>
      </c>
    </row>
    <row r="776" spans="1:14" x14ac:dyDescent="0.3">
      <c r="A776" s="5" t="s">
        <v>247</v>
      </c>
      <c r="B776" s="18">
        <v>42</v>
      </c>
      <c r="C776" s="6" t="s">
        <v>900</v>
      </c>
      <c r="D776" s="6" t="s">
        <v>898</v>
      </c>
      <c r="E776" s="6" t="s">
        <v>34</v>
      </c>
      <c r="F776" s="7">
        <v>45336</v>
      </c>
      <c r="G776" s="6">
        <v>12</v>
      </c>
      <c r="H776" s="14">
        <v>1002.0675517241378</v>
      </c>
      <c r="I776" s="8" t="s">
        <v>21</v>
      </c>
      <c r="J776" s="8" t="str" cm="1">
        <f t="array" ref="J776">_xlfn.IFS(Table3[[#This Row],[Age (Years)]] &lt; 40, "Young", Table3[[#This Row],[Age (Years)]] &gt;= 40, "Middle", Table3[[#This Row],[Age (Years)]] &gt; 60, "Senior")</f>
        <v>Middle</v>
      </c>
      <c r="K776" s="8" t="str" cm="1">
        <f t="array" ref="K776">_xlfn.IFS(Table3[[#This Row],[Drug_Cost_GBP]] &gt; 1200, "High Cost", Table3[[#This Row],[Drug_Cost_GBP]] &lt; 1200, "Normal")</f>
        <v>Normal</v>
      </c>
      <c r="L776" s="8" t="str" cm="1">
        <f t="array" ref="L776">IFERROR(_xlfn.IFS(Table3[[#This Row],[Age (Years)]]  &gt; 75, "YES", Table3[[#This Row],[Age (Years)]] &lt; 75, "NO"), "UNKNOWN")</f>
        <v>NO</v>
      </c>
      <c r="M776" s="8" t="str">
        <f>IF(Table3[[#This Row],[Drug_Cost_GBP]] &gt; Analysis_Sheet!$B$21, "Above Average", "Within Average")</f>
        <v>Within Average</v>
      </c>
      <c r="N776" s="39" t="str">
        <f t="shared" si="12"/>
        <v>February 2024</v>
      </c>
    </row>
    <row r="777" spans="1:14" x14ac:dyDescent="0.3">
      <c r="A777" s="5" t="s">
        <v>733</v>
      </c>
      <c r="B777" s="18">
        <v>42</v>
      </c>
      <c r="C777" s="6" t="s">
        <v>38</v>
      </c>
      <c r="D777" s="6" t="s">
        <v>900</v>
      </c>
      <c r="E777" s="6" t="s">
        <v>34</v>
      </c>
      <c r="F777" s="7">
        <v>45365</v>
      </c>
      <c r="G777" s="6">
        <v>9</v>
      </c>
      <c r="H777" s="14">
        <v>1736.16</v>
      </c>
      <c r="I777" s="8" t="s">
        <v>16</v>
      </c>
      <c r="J777" s="4" t="str" cm="1">
        <f t="array" ref="J777">_xlfn.IFS(Table3[[#This Row],[Age (Years)]] &lt; 40, "Young", Table3[[#This Row],[Age (Years)]] &gt;= 40, "Middle", Table3[[#This Row],[Age (Years)]] &gt; 60, "Senior")</f>
        <v>Middle</v>
      </c>
      <c r="K777" s="4" t="str" cm="1">
        <f t="array" ref="K777">_xlfn.IFS(Table3[[#This Row],[Drug_Cost_GBP]] &gt; 1200, "High Cost", Table3[[#This Row],[Drug_Cost_GBP]] &lt; 1200, "Normal")</f>
        <v>High Cost</v>
      </c>
      <c r="L777" s="4" t="str" cm="1">
        <f t="array" ref="L777">IFERROR(_xlfn.IFS(Table3[[#This Row],[Age (Years)]]  &gt; 75, "YES", Table3[[#This Row],[Age (Years)]] &lt; 75, "NO"), "UNKNOWN")</f>
        <v>NO</v>
      </c>
      <c r="M777" s="4" t="str">
        <f>IF(Table3[[#This Row],[Drug_Cost_GBP]] &gt; Analysis_Sheet!$B$21, "Above Average", "Within Average")</f>
        <v>Above Average</v>
      </c>
      <c r="N777" s="39" t="str">
        <f t="shared" si="12"/>
        <v>March 2024</v>
      </c>
    </row>
    <row r="778" spans="1:14" x14ac:dyDescent="0.3">
      <c r="A778" s="1" t="s">
        <v>762</v>
      </c>
      <c r="B778" s="17">
        <v>42</v>
      </c>
      <c r="C778" s="2" t="s">
        <v>899</v>
      </c>
      <c r="D778" s="2" t="s">
        <v>14</v>
      </c>
      <c r="E778" s="2" t="s">
        <v>11</v>
      </c>
      <c r="F778" s="3">
        <v>45337</v>
      </c>
      <c r="G778" s="2">
        <v>12</v>
      </c>
      <c r="H778" s="13">
        <v>1002.0675517241378</v>
      </c>
      <c r="I778" s="4" t="s">
        <v>12</v>
      </c>
      <c r="J778" s="4" t="str" cm="1">
        <f t="array" ref="J778">_xlfn.IFS(Table3[[#This Row],[Age (Years)]] &lt; 40, "Young", Table3[[#This Row],[Age (Years)]] &gt;= 40, "Middle", Table3[[#This Row],[Age (Years)]] &gt; 60, "Senior")</f>
        <v>Middle</v>
      </c>
      <c r="K778" s="4" t="str" cm="1">
        <f t="array" ref="K778">_xlfn.IFS(Table3[[#This Row],[Drug_Cost_GBP]] &gt; 1200, "High Cost", Table3[[#This Row],[Drug_Cost_GBP]] &lt; 1200, "Normal")</f>
        <v>Normal</v>
      </c>
      <c r="L778" s="4" t="str" cm="1">
        <f t="array" ref="L778">IFERROR(_xlfn.IFS(Table3[[#This Row],[Age (Years)]]  &gt; 75, "YES", Table3[[#This Row],[Age (Years)]] &lt; 75, "NO"), "UNKNOWN")</f>
        <v>NO</v>
      </c>
      <c r="M778" s="4" t="str">
        <f>IF(Table3[[#This Row],[Drug_Cost_GBP]] &gt; Analysis_Sheet!$B$21, "Above Average", "Within Average")</f>
        <v>Within Average</v>
      </c>
      <c r="N778" s="39" t="str">
        <f t="shared" si="12"/>
        <v>February 2024</v>
      </c>
    </row>
    <row r="779" spans="1:14" x14ac:dyDescent="0.3">
      <c r="A779" s="5" t="s">
        <v>349</v>
      </c>
      <c r="B779" s="18">
        <v>41</v>
      </c>
      <c r="C779" s="6" t="s">
        <v>38</v>
      </c>
      <c r="D779" s="6" t="s">
        <v>14</v>
      </c>
      <c r="E779" s="6" t="s">
        <v>57</v>
      </c>
      <c r="F779" s="7">
        <v>45382</v>
      </c>
      <c r="G779" s="6">
        <v>12</v>
      </c>
      <c r="H779" s="14">
        <v>1002.0675517241378</v>
      </c>
      <c r="I779" s="8" t="s">
        <v>26</v>
      </c>
      <c r="J779" s="4" t="str" cm="1">
        <f t="array" ref="J779">_xlfn.IFS(Table3[[#This Row],[Age (Years)]] &lt; 40, "Young", Table3[[#This Row],[Age (Years)]] &gt;= 40, "Middle", Table3[[#This Row],[Age (Years)]] &gt; 60, "Senior")</f>
        <v>Middle</v>
      </c>
      <c r="K779" s="4" t="str" cm="1">
        <f t="array" ref="K779">_xlfn.IFS(Table3[[#This Row],[Drug_Cost_GBP]] &gt; 1200, "High Cost", Table3[[#This Row],[Drug_Cost_GBP]] &lt; 1200, "Normal")</f>
        <v>Normal</v>
      </c>
      <c r="L779" s="4" t="str" cm="1">
        <f t="array" ref="L779">IFERROR(_xlfn.IFS(Table3[[#This Row],[Age (Years)]]  &gt; 75, "YES", Table3[[#This Row],[Age (Years)]] &lt; 75, "NO"), "UNKNOWN")</f>
        <v>NO</v>
      </c>
      <c r="M779" s="4" t="str">
        <f>IF(Table3[[#This Row],[Drug_Cost_GBP]] &gt; Analysis_Sheet!$B$21, "Above Average", "Within Average")</f>
        <v>Within Average</v>
      </c>
      <c r="N779" s="39" t="str">
        <f t="shared" si="12"/>
        <v>March 2024</v>
      </c>
    </row>
    <row r="780" spans="1:14" x14ac:dyDescent="0.3">
      <c r="A780" s="1" t="s">
        <v>414</v>
      </c>
      <c r="B780" s="17">
        <v>41</v>
      </c>
      <c r="C780" s="2" t="s">
        <v>900</v>
      </c>
      <c r="D780" s="2" t="s">
        <v>900</v>
      </c>
      <c r="E780" s="2" t="s">
        <v>29</v>
      </c>
      <c r="F780" s="3">
        <v>45639</v>
      </c>
      <c r="G780" s="2">
        <v>1</v>
      </c>
      <c r="H780" s="13">
        <v>109.82</v>
      </c>
      <c r="I780" s="4" t="s">
        <v>21</v>
      </c>
      <c r="J780" s="8" t="str" cm="1">
        <f t="array" ref="J780">_xlfn.IFS(Table3[[#This Row],[Age (Years)]] &lt; 40, "Young", Table3[[#This Row],[Age (Years)]] &gt;= 40, "Middle", Table3[[#This Row],[Age (Years)]] &gt; 60, "Senior")</f>
        <v>Middle</v>
      </c>
      <c r="K780" s="8" t="str" cm="1">
        <f t="array" ref="K780">_xlfn.IFS(Table3[[#This Row],[Drug_Cost_GBP]] &gt; 1200, "High Cost", Table3[[#This Row],[Drug_Cost_GBP]] &lt; 1200, "Normal")</f>
        <v>Normal</v>
      </c>
      <c r="L780" s="8" t="str" cm="1">
        <f t="array" ref="L780">IFERROR(_xlfn.IFS(Table3[[#This Row],[Age (Years)]]  &gt; 75, "YES", Table3[[#This Row],[Age (Years)]] &lt; 75, "NO"), "UNKNOWN")</f>
        <v>NO</v>
      </c>
      <c r="M780" s="8" t="str">
        <f>IF(Table3[[#This Row],[Drug_Cost_GBP]] &gt; Analysis_Sheet!$B$21, "Above Average", "Within Average")</f>
        <v>Within Average</v>
      </c>
      <c r="N780" s="39" t="str">
        <f t="shared" si="12"/>
        <v>December 2024</v>
      </c>
    </row>
    <row r="781" spans="1:14" x14ac:dyDescent="0.3">
      <c r="A781" s="5" t="s">
        <v>663</v>
      </c>
      <c r="B781" s="18">
        <v>41</v>
      </c>
      <c r="C781" s="6" t="s">
        <v>38</v>
      </c>
      <c r="D781" s="6" t="s">
        <v>900</v>
      </c>
      <c r="E781" s="6" t="s">
        <v>23</v>
      </c>
      <c r="F781" s="7">
        <v>45572</v>
      </c>
      <c r="G781" s="6">
        <v>12</v>
      </c>
      <c r="H781" s="14">
        <v>1002.0675517241378</v>
      </c>
      <c r="I781" s="8" t="s">
        <v>16</v>
      </c>
      <c r="J781" s="8" t="str" cm="1">
        <f t="array" ref="J781">_xlfn.IFS(Table3[[#This Row],[Age (Years)]] &lt; 40, "Young", Table3[[#This Row],[Age (Years)]] &gt;= 40, "Middle", Table3[[#This Row],[Age (Years)]] &gt; 60, "Senior")</f>
        <v>Middle</v>
      </c>
      <c r="K781" s="8" t="str" cm="1">
        <f t="array" ref="K781">_xlfn.IFS(Table3[[#This Row],[Drug_Cost_GBP]] &gt; 1200, "High Cost", Table3[[#This Row],[Drug_Cost_GBP]] &lt; 1200, "Normal")</f>
        <v>Normal</v>
      </c>
      <c r="L781" s="8" t="str" cm="1">
        <f t="array" ref="L781">IFERROR(_xlfn.IFS(Table3[[#This Row],[Age (Years)]]  &gt; 75, "YES", Table3[[#This Row],[Age (Years)]] &lt; 75, "NO"), "UNKNOWN")</f>
        <v>NO</v>
      </c>
      <c r="M781" s="8" t="str">
        <f>IF(Table3[[#This Row],[Drug_Cost_GBP]] &gt; Analysis_Sheet!$B$21, "Above Average", "Within Average")</f>
        <v>Within Average</v>
      </c>
      <c r="N781" s="39" t="str">
        <f t="shared" si="12"/>
        <v>October 2024</v>
      </c>
    </row>
    <row r="782" spans="1:14" x14ac:dyDescent="0.3">
      <c r="A782" s="5" t="s">
        <v>809</v>
      </c>
      <c r="B782" s="18">
        <v>41</v>
      </c>
      <c r="C782" s="6" t="s">
        <v>900</v>
      </c>
      <c r="D782" s="6" t="s">
        <v>25</v>
      </c>
      <c r="E782" s="6" t="s">
        <v>34</v>
      </c>
      <c r="F782" s="7" t="s">
        <v>900</v>
      </c>
      <c r="G782" s="6">
        <v>12</v>
      </c>
      <c r="H782" s="14">
        <v>1002.0675517241378</v>
      </c>
      <c r="I782" s="8" t="s">
        <v>12</v>
      </c>
      <c r="J782" s="4" t="str" cm="1">
        <f t="array" ref="J782">_xlfn.IFS(Table3[[#This Row],[Age (Years)]] &lt; 40, "Young", Table3[[#This Row],[Age (Years)]] &gt;= 40, "Middle", Table3[[#This Row],[Age (Years)]] &gt; 60, "Senior")</f>
        <v>Middle</v>
      </c>
      <c r="K782" s="4" t="str" cm="1">
        <f t="array" ref="K782">_xlfn.IFS(Table3[[#This Row],[Drug_Cost_GBP]] &gt; 1200, "High Cost", Table3[[#This Row],[Drug_Cost_GBP]] &lt; 1200, "Normal")</f>
        <v>Normal</v>
      </c>
      <c r="L782" s="4" t="str" cm="1">
        <f t="array" ref="L782">IFERROR(_xlfn.IFS(Table3[[#This Row],[Age (Years)]]  &gt; 75, "YES", Table3[[#This Row],[Age (Years)]] &lt; 75, "NO"), "UNKNOWN")</f>
        <v>NO</v>
      </c>
      <c r="M782" s="4" t="str">
        <f>IF(Table3[[#This Row],[Drug_Cost_GBP]] &gt; Analysis_Sheet!$B$21, "Above Average", "Within Average")</f>
        <v>Within Average</v>
      </c>
      <c r="N782" s="39" t="str">
        <f t="shared" si="12"/>
        <v>Unknown</v>
      </c>
    </row>
    <row r="783" spans="1:14" x14ac:dyDescent="0.3">
      <c r="A783" s="1" t="s">
        <v>836</v>
      </c>
      <c r="B783" s="17">
        <v>41</v>
      </c>
      <c r="C783" s="2" t="s">
        <v>38</v>
      </c>
      <c r="D783" s="2" t="s">
        <v>14</v>
      </c>
      <c r="E783" s="2" t="s">
        <v>23</v>
      </c>
      <c r="F783" s="3" t="s">
        <v>900</v>
      </c>
      <c r="G783" s="2">
        <v>2</v>
      </c>
      <c r="H783" s="13">
        <v>1002.0675517241378</v>
      </c>
      <c r="I783" s="4" t="s">
        <v>26</v>
      </c>
      <c r="J783" s="8" t="str" cm="1">
        <f t="array" ref="J783">_xlfn.IFS(Table3[[#This Row],[Age (Years)]] &lt; 40, "Young", Table3[[#This Row],[Age (Years)]] &gt;= 40, "Middle", Table3[[#This Row],[Age (Years)]] &gt; 60, "Senior")</f>
        <v>Middle</v>
      </c>
      <c r="K783" s="8" t="str" cm="1">
        <f t="array" ref="K783">_xlfn.IFS(Table3[[#This Row],[Drug_Cost_GBP]] &gt; 1200, "High Cost", Table3[[#This Row],[Drug_Cost_GBP]] &lt; 1200, "Normal")</f>
        <v>Normal</v>
      </c>
      <c r="L783" s="8" t="str" cm="1">
        <f t="array" ref="L783">IFERROR(_xlfn.IFS(Table3[[#This Row],[Age (Years)]]  &gt; 75, "YES", Table3[[#This Row],[Age (Years)]] &lt; 75, "NO"), "UNKNOWN")</f>
        <v>NO</v>
      </c>
      <c r="M783" s="8" t="str">
        <f>IF(Table3[[#This Row],[Drug_Cost_GBP]] &gt; Analysis_Sheet!$B$21, "Above Average", "Within Average")</f>
        <v>Within Average</v>
      </c>
      <c r="N783" s="39" t="str">
        <f t="shared" si="12"/>
        <v>Unknown</v>
      </c>
    </row>
    <row r="784" spans="1:14" x14ac:dyDescent="0.3">
      <c r="A784" s="1" t="s">
        <v>238</v>
      </c>
      <c r="B784" s="17">
        <v>40</v>
      </c>
      <c r="C784" s="2" t="s">
        <v>900</v>
      </c>
      <c r="D784" s="2" t="s">
        <v>898</v>
      </c>
      <c r="E784" s="2" t="s">
        <v>43</v>
      </c>
      <c r="F784" s="3">
        <v>45444</v>
      </c>
      <c r="G784" s="2">
        <v>12</v>
      </c>
      <c r="H784" s="13">
        <v>1440.13</v>
      </c>
      <c r="I784" s="4" t="s">
        <v>900</v>
      </c>
      <c r="J784" s="8" t="str" cm="1">
        <f t="array" ref="J784">_xlfn.IFS(Table3[[#This Row],[Age (Years)]] &lt; 40, "Young", Table3[[#This Row],[Age (Years)]] &gt;= 40, "Middle", Table3[[#This Row],[Age (Years)]] &gt; 60, "Senior")</f>
        <v>Middle</v>
      </c>
      <c r="K784" s="8" t="str" cm="1">
        <f t="array" ref="K784">_xlfn.IFS(Table3[[#This Row],[Drug_Cost_GBP]] &gt; 1200, "High Cost", Table3[[#This Row],[Drug_Cost_GBP]] &lt; 1200, "Normal")</f>
        <v>High Cost</v>
      </c>
      <c r="L784" s="8" t="str" cm="1">
        <f t="array" ref="L784">IFERROR(_xlfn.IFS(Table3[[#This Row],[Age (Years)]]  &gt; 75, "YES", Table3[[#This Row],[Age (Years)]] &lt; 75, "NO"), "UNKNOWN")</f>
        <v>NO</v>
      </c>
      <c r="M784" s="8" t="str">
        <f>IF(Table3[[#This Row],[Drug_Cost_GBP]] &gt; Analysis_Sheet!$B$21, "Above Average", "Within Average")</f>
        <v>Above Average</v>
      </c>
      <c r="N784" s="39" t="str">
        <f t="shared" si="12"/>
        <v>June 2024</v>
      </c>
    </row>
    <row r="785" spans="1:14" x14ac:dyDescent="0.3">
      <c r="A785" s="5" t="s">
        <v>353</v>
      </c>
      <c r="B785" s="18">
        <v>40</v>
      </c>
      <c r="C785" s="6" t="s">
        <v>899</v>
      </c>
      <c r="D785" s="6" t="s">
        <v>48</v>
      </c>
      <c r="E785" s="6" t="s">
        <v>29</v>
      </c>
      <c r="F785" s="7">
        <v>45617</v>
      </c>
      <c r="G785" s="6">
        <v>12</v>
      </c>
      <c r="H785" s="14">
        <v>1002.0675517241378</v>
      </c>
      <c r="I785" s="8" t="s">
        <v>12</v>
      </c>
      <c r="J785" s="4" t="str" cm="1">
        <f t="array" ref="J785">_xlfn.IFS(Table3[[#This Row],[Age (Years)]] &lt; 40, "Young", Table3[[#This Row],[Age (Years)]] &gt;= 40, "Middle", Table3[[#This Row],[Age (Years)]] &gt; 60, "Senior")</f>
        <v>Middle</v>
      </c>
      <c r="K785" s="4" t="str" cm="1">
        <f t="array" ref="K785">_xlfn.IFS(Table3[[#This Row],[Drug_Cost_GBP]] &gt; 1200, "High Cost", Table3[[#This Row],[Drug_Cost_GBP]] &lt; 1200, "Normal")</f>
        <v>Normal</v>
      </c>
      <c r="L785" s="4" t="str" cm="1">
        <f t="array" ref="L785">IFERROR(_xlfn.IFS(Table3[[#This Row],[Age (Years)]]  &gt; 75, "YES", Table3[[#This Row],[Age (Years)]] &lt; 75, "NO"), "UNKNOWN")</f>
        <v>NO</v>
      </c>
      <c r="M785" s="4" t="str">
        <f>IF(Table3[[#This Row],[Drug_Cost_GBP]] &gt; Analysis_Sheet!$B$21, "Above Average", "Within Average")</f>
        <v>Within Average</v>
      </c>
      <c r="N785" s="39" t="str">
        <f t="shared" si="12"/>
        <v>November 2024</v>
      </c>
    </row>
    <row r="786" spans="1:14" x14ac:dyDescent="0.3">
      <c r="A786" s="1" t="s">
        <v>524</v>
      </c>
      <c r="B786" s="17">
        <v>40</v>
      </c>
      <c r="C786" s="2" t="s">
        <v>899</v>
      </c>
      <c r="D786" s="2" t="s">
        <v>900</v>
      </c>
      <c r="E786" s="2" t="s">
        <v>11</v>
      </c>
      <c r="F786" s="3">
        <v>45538</v>
      </c>
      <c r="G786" s="2">
        <v>12</v>
      </c>
      <c r="H786" s="13">
        <v>1002.0675517241378</v>
      </c>
      <c r="I786" s="4" t="s">
        <v>21</v>
      </c>
      <c r="J786" s="4" t="str" cm="1">
        <f t="array" ref="J786">_xlfn.IFS(Table3[[#This Row],[Age (Years)]] &lt; 40, "Young", Table3[[#This Row],[Age (Years)]] &gt;= 40, "Middle", Table3[[#This Row],[Age (Years)]] &gt; 60, "Senior")</f>
        <v>Middle</v>
      </c>
      <c r="K786" s="4" t="str" cm="1">
        <f t="array" ref="K786">_xlfn.IFS(Table3[[#This Row],[Drug_Cost_GBP]] &gt; 1200, "High Cost", Table3[[#This Row],[Drug_Cost_GBP]] &lt; 1200, "Normal")</f>
        <v>Normal</v>
      </c>
      <c r="L786" s="4" t="str" cm="1">
        <f t="array" ref="L786">IFERROR(_xlfn.IFS(Table3[[#This Row],[Age (Years)]]  &gt; 75, "YES", Table3[[#This Row],[Age (Years)]] &lt; 75, "NO"), "UNKNOWN")</f>
        <v>NO</v>
      </c>
      <c r="M786" s="4" t="str">
        <f>IF(Table3[[#This Row],[Drug_Cost_GBP]] &gt; Analysis_Sheet!$B$21, "Above Average", "Within Average")</f>
        <v>Within Average</v>
      </c>
      <c r="N786" s="39" t="str">
        <f t="shared" si="12"/>
        <v>September 2024</v>
      </c>
    </row>
    <row r="787" spans="1:14" x14ac:dyDescent="0.3">
      <c r="A787" s="1" t="s">
        <v>604</v>
      </c>
      <c r="B787" s="17">
        <v>40</v>
      </c>
      <c r="C787" s="2" t="s">
        <v>38</v>
      </c>
      <c r="D787" s="2" t="s">
        <v>25</v>
      </c>
      <c r="E787" s="2" t="s">
        <v>43</v>
      </c>
      <c r="F787" s="3">
        <v>45579</v>
      </c>
      <c r="G787" s="2">
        <v>17</v>
      </c>
      <c r="H787" s="13">
        <v>1002.0675517241378</v>
      </c>
      <c r="I787" s="4" t="s">
        <v>26</v>
      </c>
      <c r="J787" s="8" t="str" cm="1">
        <f t="array" ref="J787">_xlfn.IFS(Table3[[#This Row],[Age (Years)]] &lt; 40, "Young", Table3[[#This Row],[Age (Years)]] &gt;= 40, "Middle", Table3[[#This Row],[Age (Years)]] &gt; 60, "Senior")</f>
        <v>Middle</v>
      </c>
      <c r="K787" s="8" t="str" cm="1">
        <f t="array" ref="K787">_xlfn.IFS(Table3[[#This Row],[Drug_Cost_GBP]] &gt; 1200, "High Cost", Table3[[#This Row],[Drug_Cost_GBP]] &lt; 1200, "Normal")</f>
        <v>Normal</v>
      </c>
      <c r="L787" s="8" t="str" cm="1">
        <f t="array" ref="L787">IFERROR(_xlfn.IFS(Table3[[#This Row],[Age (Years)]]  &gt; 75, "YES", Table3[[#This Row],[Age (Years)]] &lt; 75, "NO"), "UNKNOWN")</f>
        <v>NO</v>
      </c>
      <c r="M787" s="8" t="str">
        <f>IF(Table3[[#This Row],[Drug_Cost_GBP]] &gt; Analysis_Sheet!$B$21, "Above Average", "Within Average")</f>
        <v>Within Average</v>
      </c>
      <c r="N787" s="39" t="str">
        <f t="shared" si="12"/>
        <v>October 2024</v>
      </c>
    </row>
    <row r="788" spans="1:14" x14ac:dyDescent="0.3">
      <c r="A788" s="5" t="s">
        <v>851</v>
      </c>
      <c r="B788" s="18">
        <v>40</v>
      </c>
      <c r="C788" s="6" t="s">
        <v>38</v>
      </c>
      <c r="D788" s="6" t="s">
        <v>900</v>
      </c>
      <c r="E788" s="6" t="s">
        <v>29</v>
      </c>
      <c r="F788" s="7">
        <v>45503</v>
      </c>
      <c r="G788" s="6">
        <v>12</v>
      </c>
      <c r="H788" s="14">
        <v>1002.0675517241378</v>
      </c>
      <c r="I788" s="8" t="s">
        <v>16</v>
      </c>
      <c r="J788" s="8" t="str" cm="1">
        <f t="array" ref="J788">_xlfn.IFS(Table3[[#This Row],[Age (Years)]] &lt; 40, "Young", Table3[[#This Row],[Age (Years)]] &gt;= 40, "Middle", Table3[[#This Row],[Age (Years)]] &gt; 60, "Senior")</f>
        <v>Middle</v>
      </c>
      <c r="K788" s="8" t="str" cm="1">
        <f t="array" ref="K788">_xlfn.IFS(Table3[[#This Row],[Drug_Cost_GBP]] &gt; 1200, "High Cost", Table3[[#This Row],[Drug_Cost_GBP]] &lt; 1200, "Normal")</f>
        <v>Normal</v>
      </c>
      <c r="L788" s="8" t="str" cm="1">
        <f t="array" ref="L788">IFERROR(_xlfn.IFS(Table3[[#This Row],[Age (Years)]]  &gt; 75, "YES", Table3[[#This Row],[Age (Years)]] &lt; 75, "NO"), "UNKNOWN")</f>
        <v>NO</v>
      </c>
      <c r="M788" s="8" t="str">
        <f>IF(Table3[[#This Row],[Drug_Cost_GBP]] &gt; Analysis_Sheet!$B$21, "Above Average", "Within Average")</f>
        <v>Within Average</v>
      </c>
      <c r="N788" s="39" t="str">
        <f t="shared" si="12"/>
        <v>July 2024</v>
      </c>
    </row>
    <row r="789" spans="1:14" x14ac:dyDescent="0.3">
      <c r="A789" s="5" t="s">
        <v>861</v>
      </c>
      <c r="B789" s="18">
        <v>40</v>
      </c>
      <c r="C789" s="6" t="s">
        <v>900</v>
      </c>
      <c r="D789" s="6" t="s">
        <v>900</v>
      </c>
      <c r="E789" s="6" t="s">
        <v>43</v>
      </c>
      <c r="F789" s="7">
        <v>45507</v>
      </c>
      <c r="G789" s="6">
        <v>12</v>
      </c>
      <c r="H789" s="14">
        <v>743.36</v>
      </c>
      <c r="I789" s="8" t="s">
        <v>26</v>
      </c>
      <c r="J789" s="8" t="str" cm="1">
        <f t="array" ref="J789">_xlfn.IFS(Table3[[#This Row],[Age (Years)]] &lt; 40, "Young", Table3[[#This Row],[Age (Years)]] &gt;= 40, "Middle", Table3[[#This Row],[Age (Years)]] &gt; 60, "Senior")</f>
        <v>Middle</v>
      </c>
      <c r="K789" s="8" t="str" cm="1">
        <f t="array" ref="K789">_xlfn.IFS(Table3[[#This Row],[Drug_Cost_GBP]] &gt; 1200, "High Cost", Table3[[#This Row],[Drug_Cost_GBP]] &lt; 1200, "Normal")</f>
        <v>Normal</v>
      </c>
      <c r="L789" s="8" t="str" cm="1">
        <f t="array" ref="L789">IFERROR(_xlfn.IFS(Table3[[#This Row],[Age (Years)]]  &gt; 75, "YES", Table3[[#This Row],[Age (Years)]] &lt; 75, "NO"), "UNKNOWN")</f>
        <v>NO</v>
      </c>
      <c r="M789" s="8" t="str">
        <f>IF(Table3[[#This Row],[Drug_Cost_GBP]] &gt; Analysis_Sheet!$B$21, "Above Average", "Within Average")</f>
        <v>Within Average</v>
      </c>
      <c r="N789" s="39" t="str">
        <f t="shared" si="12"/>
        <v>August 2024</v>
      </c>
    </row>
    <row r="790" spans="1:14" x14ac:dyDescent="0.3">
      <c r="A790" s="1" t="s">
        <v>574</v>
      </c>
      <c r="B790" s="17">
        <v>39</v>
      </c>
      <c r="C790" s="2" t="s">
        <v>899</v>
      </c>
      <c r="D790" s="2" t="s">
        <v>25</v>
      </c>
      <c r="E790" s="2" t="s">
        <v>57</v>
      </c>
      <c r="F790" s="3">
        <v>45515</v>
      </c>
      <c r="G790" s="2">
        <v>12</v>
      </c>
      <c r="H790" s="13">
        <v>1002.0675517241378</v>
      </c>
      <c r="I790" s="4" t="s">
        <v>16</v>
      </c>
      <c r="J790" s="4" t="str" cm="1">
        <f t="array" ref="J790">_xlfn.IFS(Table3[[#This Row],[Age (Years)]] &lt; 40, "Young", Table3[[#This Row],[Age (Years)]] &gt;= 40, "Middle", Table3[[#This Row],[Age (Years)]] &gt; 60, "Senior")</f>
        <v>Young</v>
      </c>
      <c r="K790" s="4" t="str" cm="1">
        <f t="array" ref="K790">_xlfn.IFS(Table3[[#This Row],[Drug_Cost_GBP]] &gt; 1200, "High Cost", Table3[[#This Row],[Drug_Cost_GBP]] &lt; 1200, "Normal")</f>
        <v>Normal</v>
      </c>
      <c r="L790" s="4" t="str" cm="1">
        <f t="array" ref="L790">IFERROR(_xlfn.IFS(Table3[[#This Row],[Age (Years)]]  &gt; 75, "YES", Table3[[#This Row],[Age (Years)]] &lt; 75, "NO"), "UNKNOWN")</f>
        <v>NO</v>
      </c>
      <c r="M790" s="4" t="str">
        <f>IF(Table3[[#This Row],[Drug_Cost_GBP]] &gt; Analysis_Sheet!$B$21, "Above Average", "Within Average")</f>
        <v>Within Average</v>
      </c>
      <c r="N790" s="39" t="str">
        <f t="shared" si="12"/>
        <v>August 2024</v>
      </c>
    </row>
    <row r="791" spans="1:14" x14ac:dyDescent="0.3">
      <c r="A791" s="1" t="s">
        <v>812</v>
      </c>
      <c r="B791" s="17">
        <v>39</v>
      </c>
      <c r="C791" s="2" t="s">
        <v>38</v>
      </c>
      <c r="D791" s="2" t="s">
        <v>25</v>
      </c>
      <c r="E791" s="2" t="s">
        <v>43</v>
      </c>
      <c r="F791" s="3" t="s">
        <v>900</v>
      </c>
      <c r="G791" s="2">
        <v>12</v>
      </c>
      <c r="H791" s="13">
        <v>50.4</v>
      </c>
      <c r="I791" s="4" t="s">
        <v>21</v>
      </c>
      <c r="J791" s="4" t="str" cm="1">
        <f t="array" ref="J791">_xlfn.IFS(Table3[[#This Row],[Age (Years)]] &lt; 40, "Young", Table3[[#This Row],[Age (Years)]] &gt;= 40, "Middle", Table3[[#This Row],[Age (Years)]] &gt; 60, "Senior")</f>
        <v>Young</v>
      </c>
      <c r="K791" s="4" t="str" cm="1">
        <f t="array" ref="K791">_xlfn.IFS(Table3[[#This Row],[Drug_Cost_GBP]] &gt; 1200, "High Cost", Table3[[#This Row],[Drug_Cost_GBP]] &lt; 1200, "Normal")</f>
        <v>Normal</v>
      </c>
      <c r="L791" s="4" t="str" cm="1">
        <f t="array" ref="L791">IFERROR(_xlfn.IFS(Table3[[#This Row],[Age (Years)]]  &gt; 75, "YES", Table3[[#This Row],[Age (Years)]] &lt; 75, "NO"), "UNKNOWN")</f>
        <v>NO</v>
      </c>
      <c r="M791" s="4" t="str">
        <f>IF(Table3[[#This Row],[Drug_Cost_GBP]] &gt; Analysis_Sheet!$B$21, "Above Average", "Within Average")</f>
        <v>Within Average</v>
      </c>
      <c r="N791" s="39" t="str">
        <f t="shared" si="12"/>
        <v>Unknown</v>
      </c>
    </row>
    <row r="792" spans="1:14" x14ac:dyDescent="0.3">
      <c r="A792" s="1" t="s">
        <v>440</v>
      </c>
      <c r="B792" s="17">
        <v>38</v>
      </c>
      <c r="C792" s="2" t="s">
        <v>900</v>
      </c>
      <c r="D792" s="2" t="s">
        <v>14</v>
      </c>
      <c r="E792" s="2" t="s">
        <v>57</v>
      </c>
      <c r="F792" s="3">
        <v>45306</v>
      </c>
      <c r="G792" s="2">
        <v>12</v>
      </c>
      <c r="H792" s="13">
        <v>963.29</v>
      </c>
      <c r="I792" s="4" t="s">
        <v>900</v>
      </c>
      <c r="J792" s="4" t="str" cm="1">
        <f t="array" ref="J792">_xlfn.IFS(Table3[[#This Row],[Age (Years)]] &lt; 40, "Young", Table3[[#This Row],[Age (Years)]] &gt;= 40, "Middle", Table3[[#This Row],[Age (Years)]] &gt; 60, "Senior")</f>
        <v>Young</v>
      </c>
      <c r="K792" s="4" t="str" cm="1">
        <f t="array" ref="K792">_xlfn.IFS(Table3[[#This Row],[Drug_Cost_GBP]] &gt; 1200, "High Cost", Table3[[#This Row],[Drug_Cost_GBP]] &lt; 1200, "Normal")</f>
        <v>Normal</v>
      </c>
      <c r="L792" s="4" t="str" cm="1">
        <f t="array" ref="L792">IFERROR(_xlfn.IFS(Table3[[#This Row],[Age (Years)]]  &gt; 75, "YES", Table3[[#This Row],[Age (Years)]] &lt; 75, "NO"), "UNKNOWN")</f>
        <v>NO</v>
      </c>
      <c r="M792" s="4" t="str">
        <f>IF(Table3[[#This Row],[Drug_Cost_GBP]] &gt; Analysis_Sheet!$B$21, "Above Average", "Within Average")</f>
        <v>Within Average</v>
      </c>
      <c r="N792" s="39" t="str">
        <f t="shared" si="12"/>
        <v>January 2024</v>
      </c>
    </row>
    <row r="793" spans="1:14" x14ac:dyDescent="0.3">
      <c r="A793" s="1" t="s">
        <v>860</v>
      </c>
      <c r="B793" s="17">
        <v>38</v>
      </c>
      <c r="C793" s="2" t="s">
        <v>899</v>
      </c>
      <c r="D793" s="2" t="s">
        <v>10</v>
      </c>
      <c r="E793" s="2" t="s">
        <v>23</v>
      </c>
      <c r="F793" s="3">
        <v>45546</v>
      </c>
      <c r="G793" s="2">
        <v>20</v>
      </c>
      <c r="H793" s="13">
        <v>370.65</v>
      </c>
      <c r="I793" s="4" t="s">
        <v>12</v>
      </c>
      <c r="J793" s="4" t="str" cm="1">
        <f t="array" ref="J793">_xlfn.IFS(Table3[[#This Row],[Age (Years)]] &lt; 40, "Young", Table3[[#This Row],[Age (Years)]] &gt;= 40, "Middle", Table3[[#This Row],[Age (Years)]] &gt; 60, "Senior")</f>
        <v>Young</v>
      </c>
      <c r="K793" s="4" t="str" cm="1">
        <f t="array" ref="K793">_xlfn.IFS(Table3[[#This Row],[Drug_Cost_GBP]] &gt; 1200, "High Cost", Table3[[#This Row],[Drug_Cost_GBP]] &lt; 1200, "Normal")</f>
        <v>Normal</v>
      </c>
      <c r="L793" s="4" t="str" cm="1">
        <f t="array" ref="L793">IFERROR(_xlfn.IFS(Table3[[#This Row],[Age (Years)]]  &gt; 75, "YES", Table3[[#This Row],[Age (Years)]] &lt; 75, "NO"), "UNKNOWN")</f>
        <v>NO</v>
      </c>
      <c r="M793" s="4" t="str">
        <f>IF(Table3[[#This Row],[Drug_Cost_GBP]] &gt; Analysis_Sheet!$B$21, "Above Average", "Within Average")</f>
        <v>Within Average</v>
      </c>
      <c r="N793" s="39" t="str">
        <f t="shared" si="12"/>
        <v>September 2024</v>
      </c>
    </row>
    <row r="794" spans="1:14" x14ac:dyDescent="0.3">
      <c r="A794" s="5" t="s">
        <v>193</v>
      </c>
      <c r="B794" s="18">
        <v>37</v>
      </c>
      <c r="C794" s="6" t="s">
        <v>38</v>
      </c>
      <c r="D794" s="6" t="s">
        <v>14</v>
      </c>
      <c r="E794" s="6" t="s">
        <v>57</v>
      </c>
      <c r="F794" s="7" t="s">
        <v>900</v>
      </c>
      <c r="G794" s="6">
        <v>12</v>
      </c>
      <c r="H794" s="14">
        <v>1002.0675517241378</v>
      </c>
      <c r="I794" s="8" t="s">
        <v>21</v>
      </c>
      <c r="J794" s="4" t="str" cm="1">
        <f t="array" ref="J794">_xlfn.IFS(Table3[[#This Row],[Age (Years)]] &lt; 40, "Young", Table3[[#This Row],[Age (Years)]] &gt;= 40, "Middle", Table3[[#This Row],[Age (Years)]] &gt; 60, "Senior")</f>
        <v>Young</v>
      </c>
      <c r="K794" s="4" t="str" cm="1">
        <f t="array" ref="K794">_xlfn.IFS(Table3[[#This Row],[Drug_Cost_GBP]] &gt; 1200, "High Cost", Table3[[#This Row],[Drug_Cost_GBP]] &lt; 1200, "Normal")</f>
        <v>Normal</v>
      </c>
      <c r="L794" s="4" t="str" cm="1">
        <f t="array" ref="L794">IFERROR(_xlfn.IFS(Table3[[#This Row],[Age (Years)]]  &gt; 75, "YES", Table3[[#This Row],[Age (Years)]] &lt; 75, "NO"), "UNKNOWN")</f>
        <v>NO</v>
      </c>
      <c r="M794" s="4" t="str">
        <f>IF(Table3[[#This Row],[Drug_Cost_GBP]] &gt; Analysis_Sheet!$B$21, "Above Average", "Within Average")</f>
        <v>Within Average</v>
      </c>
      <c r="N794" s="39" t="str">
        <f t="shared" si="12"/>
        <v>Unknown</v>
      </c>
    </row>
    <row r="795" spans="1:14" x14ac:dyDescent="0.3">
      <c r="A795" s="1" t="s">
        <v>576</v>
      </c>
      <c r="B795" s="17">
        <v>37</v>
      </c>
      <c r="C795" s="2" t="s">
        <v>38</v>
      </c>
      <c r="D795" s="2" t="s">
        <v>900</v>
      </c>
      <c r="E795" s="2" t="s">
        <v>34</v>
      </c>
      <c r="F795" s="3">
        <v>45533</v>
      </c>
      <c r="G795" s="2">
        <v>12</v>
      </c>
      <c r="H795" s="13">
        <v>1002.0675517241378</v>
      </c>
      <c r="I795" s="4" t="s">
        <v>21</v>
      </c>
      <c r="J795" s="4" t="str" cm="1">
        <f t="array" ref="J795">_xlfn.IFS(Table3[[#This Row],[Age (Years)]] &lt; 40, "Young", Table3[[#This Row],[Age (Years)]] &gt;= 40, "Middle", Table3[[#This Row],[Age (Years)]] &gt; 60, "Senior")</f>
        <v>Young</v>
      </c>
      <c r="K795" s="4" t="str" cm="1">
        <f t="array" ref="K795">_xlfn.IFS(Table3[[#This Row],[Drug_Cost_GBP]] &gt; 1200, "High Cost", Table3[[#This Row],[Drug_Cost_GBP]] &lt; 1200, "Normal")</f>
        <v>Normal</v>
      </c>
      <c r="L795" s="4" t="str" cm="1">
        <f t="array" ref="L795">IFERROR(_xlfn.IFS(Table3[[#This Row],[Age (Years)]]  &gt; 75, "YES", Table3[[#This Row],[Age (Years)]] &lt; 75, "NO"), "UNKNOWN")</f>
        <v>NO</v>
      </c>
      <c r="M795" s="4" t="str">
        <f>IF(Table3[[#This Row],[Drug_Cost_GBP]] &gt; Analysis_Sheet!$B$21, "Above Average", "Within Average")</f>
        <v>Within Average</v>
      </c>
      <c r="N795" s="39" t="str">
        <f t="shared" si="12"/>
        <v>August 2024</v>
      </c>
    </row>
    <row r="796" spans="1:14" x14ac:dyDescent="0.3">
      <c r="A796" s="1" t="s">
        <v>890</v>
      </c>
      <c r="B796" s="17">
        <v>37</v>
      </c>
      <c r="C796" s="2" t="s">
        <v>38</v>
      </c>
      <c r="D796" s="2" t="s">
        <v>19</v>
      </c>
      <c r="E796" s="2" t="s">
        <v>43</v>
      </c>
      <c r="F796" s="3">
        <v>45501</v>
      </c>
      <c r="G796" s="2">
        <v>15</v>
      </c>
      <c r="H796" s="13">
        <v>1532.56</v>
      </c>
      <c r="I796" s="4" t="s">
        <v>16</v>
      </c>
      <c r="J796" s="4" t="str" cm="1">
        <f t="array" ref="J796">_xlfn.IFS(Table3[[#This Row],[Age (Years)]] &lt; 40, "Young", Table3[[#This Row],[Age (Years)]] &gt;= 40, "Middle", Table3[[#This Row],[Age (Years)]] &gt; 60, "Senior")</f>
        <v>Young</v>
      </c>
      <c r="K796" s="4" t="str" cm="1">
        <f t="array" ref="K796">_xlfn.IFS(Table3[[#This Row],[Drug_Cost_GBP]] &gt; 1200, "High Cost", Table3[[#This Row],[Drug_Cost_GBP]] &lt; 1200, "Normal")</f>
        <v>High Cost</v>
      </c>
      <c r="L796" s="4" t="str" cm="1">
        <f t="array" ref="L796">IFERROR(_xlfn.IFS(Table3[[#This Row],[Age (Years)]]  &gt; 75, "YES", Table3[[#This Row],[Age (Years)]] &lt; 75, "NO"), "UNKNOWN")</f>
        <v>NO</v>
      </c>
      <c r="M796" s="4" t="str">
        <f>IF(Table3[[#This Row],[Drug_Cost_GBP]] &gt; Analysis_Sheet!$B$21, "Above Average", "Within Average")</f>
        <v>Above Average</v>
      </c>
      <c r="N796" s="39" t="str">
        <f t="shared" si="12"/>
        <v>July 2024</v>
      </c>
    </row>
    <row r="797" spans="1:14" x14ac:dyDescent="0.3">
      <c r="A797" s="5" t="s">
        <v>56</v>
      </c>
      <c r="B797" s="18">
        <v>36</v>
      </c>
      <c r="C797" s="6" t="s">
        <v>899</v>
      </c>
      <c r="D797" s="6" t="s">
        <v>25</v>
      </c>
      <c r="E797" s="6" t="s">
        <v>57</v>
      </c>
      <c r="F797" s="7">
        <v>45413</v>
      </c>
      <c r="G797" s="6">
        <v>12</v>
      </c>
      <c r="H797" s="14">
        <v>1002.0675517241378</v>
      </c>
      <c r="I797" s="8" t="s">
        <v>12</v>
      </c>
      <c r="J797" s="8" t="str" cm="1">
        <f t="array" ref="J797">_xlfn.IFS(Table3[[#This Row],[Age (Years)]] &lt; 40, "Young", Table3[[#This Row],[Age (Years)]] &gt;= 40, "Middle", Table3[[#This Row],[Age (Years)]] &gt; 60, "Senior")</f>
        <v>Young</v>
      </c>
      <c r="K797" s="8" t="str" cm="1">
        <f t="array" ref="K797">_xlfn.IFS(Table3[[#This Row],[Drug_Cost_GBP]] &gt; 1200, "High Cost", Table3[[#This Row],[Drug_Cost_GBP]] &lt; 1200, "Normal")</f>
        <v>Normal</v>
      </c>
      <c r="L797" s="8" t="str" cm="1">
        <f t="array" ref="L797">IFERROR(_xlfn.IFS(Table3[[#This Row],[Age (Years)]]  &gt; 75, "YES", Table3[[#This Row],[Age (Years)]] &lt; 75, "NO"), "UNKNOWN")</f>
        <v>NO</v>
      </c>
      <c r="M797" s="8" t="str">
        <f>IF(Table3[[#This Row],[Drug_Cost_GBP]] &gt; Analysis_Sheet!$B$21, "Above Average", "Within Average")</f>
        <v>Within Average</v>
      </c>
      <c r="N797" s="39" t="str">
        <f t="shared" si="12"/>
        <v>May 2024</v>
      </c>
    </row>
    <row r="798" spans="1:14" x14ac:dyDescent="0.3">
      <c r="A798" s="5" t="s">
        <v>99</v>
      </c>
      <c r="B798" s="18">
        <v>36</v>
      </c>
      <c r="C798" s="6" t="s">
        <v>38</v>
      </c>
      <c r="D798" s="6" t="s">
        <v>48</v>
      </c>
      <c r="E798" s="6" t="s">
        <v>29</v>
      </c>
      <c r="F798" s="7">
        <v>45507</v>
      </c>
      <c r="G798" s="6">
        <v>12</v>
      </c>
      <c r="H798" s="14">
        <v>776.02</v>
      </c>
      <c r="I798" s="8" t="s">
        <v>12</v>
      </c>
      <c r="J798" s="8" t="str" cm="1">
        <f t="array" ref="J798">_xlfn.IFS(Table3[[#This Row],[Age (Years)]] &lt; 40, "Young", Table3[[#This Row],[Age (Years)]] &gt;= 40, "Middle", Table3[[#This Row],[Age (Years)]] &gt; 60, "Senior")</f>
        <v>Young</v>
      </c>
      <c r="K798" s="8" t="str" cm="1">
        <f t="array" ref="K798">_xlfn.IFS(Table3[[#This Row],[Drug_Cost_GBP]] &gt; 1200, "High Cost", Table3[[#This Row],[Drug_Cost_GBP]] &lt; 1200, "Normal")</f>
        <v>Normal</v>
      </c>
      <c r="L798" s="8" t="str" cm="1">
        <f t="array" ref="L798">IFERROR(_xlfn.IFS(Table3[[#This Row],[Age (Years)]]  &gt; 75, "YES", Table3[[#This Row],[Age (Years)]] &lt; 75, "NO"), "UNKNOWN")</f>
        <v>NO</v>
      </c>
      <c r="M798" s="8" t="str">
        <f>IF(Table3[[#This Row],[Drug_Cost_GBP]] &gt; Analysis_Sheet!$B$21, "Above Average", "Within Average")</f>
        <v>Within Average</v>
      </c>
      <c r="N798" s="39" t="str">
        <f t="shared" si="12"/>
        <v>August 2024</v>
      </c>
    </row>
    <row r="799" spans="1:14" x14ac:dyDescent="0.3">
      <c r="A799" s="5" t="s">
        <v>305</v>
      </c>
      <c r="B799" s="18">
        <v>36</v>
      </c>
      <c r="C799" s="6" t="s">
        <v>900</v>
      </c>
      <c r="D799" s="6" t="s">
        <v>14</v>
      </c>
      <c r="E799" s="6" t="s">
        <v>29</v>
      </c>
      <c r="F799" s="7">
        <v>45582</v>
      </c>
      <c r="G799" s="6">
        <v>12</v>
      </c>
      <c r="H799" s="14">
        <v>1002.0675517241378</v>
      </c>
      <c r="I799" s="8" t="s">
        <v>16</v>
      </c>
      <c r="J799" s="4" t="str" cm="1">
        <f t="array" ref="J799">_xlfn.IFS(Table3[[#This Row],[Age (Years)]] &lt; 40, "Young", Table3[[#This Row],[Age (Years)]] &gt;= 40, "Middle", Table3[[#This Row],[Age (Years)]] &gt; 60, "Senior")</f>
        <v>Young</v>
      </c>
      <c r="K799" s="4" t="str" cm="1">
        <f t="array" ref="K799">_xlfn.IFS(Table3[[#This Row],[Drug_Cost_GBP]] &gt; 1200, "High Cost", Table3[[#This Row],[Drug_Cost_GBP]] &lt; 1200, "Normal")</f>
        <v>Normal</v>
      </c>
      <c r="L799" s="4" t="str" cm="1">
        <f t="array" ref="L799">IFERROR(_xlfn.IFS(Table3[[#This Row],[Age (Years)]]  &gt; 75, "YES", Table3[[#This Row],[Age (Years)]] &lt; 75, "NO"), "UNKNOWN")</f>
        <v>NO</v>
      </c>
      <c r="M799" s="4" t="str">
        <f>IF(Table3[[#This Row],[Drug_Cost_GBP]] &gt; Analysis_Sheet!$B$21, "Above Average", "Within Average")</f>
        <v>Within Average</v>
      </c>
      <c r="N799" s="39" t="str">
        <f t="shared" si="12"/>
        <v>October 2024</v>
      </c>
    </row>
    <row r="800" spans="1:14" x14ac:dyDescent="0.3">
      <c r="A800" s="1" t="s">
        <v>692</v>
      </c>
      <c r="B800" s="17">
        <v>36</v>
      </c>
      <c r="C800" s="2" t="s">
        <v>38</v>
      </c>
      <c r="D800" s="2" t="s">
        <v>48</v>
      </c>
      <c r="E800" s="2" t="s">
        <v>43</v>
      </c>
      <c r="F800" s="3">
        <v>45622</v>
      </c>
      <c r="G800" s="2">
        <v>5</v>
      </c>
      <c r="H800" s="13">
        <v>1002.0675517241378</v>
      </c>
      <c r="I800" s="4" t="s">
        <v>12</v>
      </c>
      <c r="J800" s="8" t="str" cm="1">
        <f t="array" ref="J800">_xlfn.IFS(Table3[[#This Row],[Age (Years)]] &lt; 40, "Young", Table3[[#This Row],[Age (Years)]] &gt;= 40, "Middle", Table3[[#This Row],[Age (Years)]] &gt; 60, "Senior")</f>
        <v>Young</v>
      </c>
      <c r="K800" s="8" t="str" cm="1">
        <f t="array" ref="K800">_xlfn.IFS(Table3[[#This Row],[Drug_Cost_GBP]] &gt; 1200, "High Cost", Table3[[#This Row],[Drug_Cost_GBP]] &lt; 1200, "Normal")</f>
        <v>Normal</v>
      </c>
      <c r="L800" s="8" t="str" cm="1">
        <f t="array" ref="L800">IFERROR(_xlfn.IFS(Table3[[#This Row],[Age (Years)]]  &gt; 75, "YES", Table3[[#This Row],[Age (Years)]] &lt; 75, "NO"), "UNKNOWN")</f>
        <v>NO</v>
      </c>
      <c r="M800" s="8" t="str">
        <f>IF(Table3[[#This Row],[Drug_Cost_GBP]] &gt; Analysis_Sheet!$B$21, "Above Average", "Within Average")</f>
        <v>Within Average</v>
      </c>
      <c r="N800" s="39" t="str">
        <f t="shared" si="12"/>
        <v>November 2024</v>
      </c>
    </row>
    <row r="801" spans="1:14" x14ac:dyDescent="0.3">
      <c r="A801" s="1" t="s">
        <v>53</v>
      </c>
      <c r="B801" s="17">
        <v>35</v>
      </c>
      <c r="C801" s="2" t="s">
        <v>899</v>
      </c>
      <c r="D801" s="2" t="s">
        <v>51</v>
      </c>
      <c r="E801" s="2" t="s">
        <v>23</v>
      </c>
      <c r="F801" s="3">
        <v>45399</v>
      </c>
      <c r="G801" s="2">
        <v>12</v>
      </c>
      <c r="H801" s="13">
        <v>1680.71</v>
      </c>
      <c r="I801" s="4" t="s">
        <v>12</v>
      </c>
      <c r="J801" s="4" t="str" cm="1">
        <f t="array" ref="J801">_xlfn.IFS(Table3[[#This Row],[Age (Years)]] &lt; 40, "Young", Table3[[#This Row],[Age (Years)]] &gt;= 40, "Middle", Table3[[#This Row],[Age (Years)]] &gt; 60, "Senior")</f>
        <v>Young</v>
      </c>
      <c r="K801" s="4" t="str" cm="1">
        <f t="array" ref="K801">_xlfn.IFS(Table3[[#This Row],[Drug_Cost_GBP]] &gt; 1200, "High Cost", Table3[[#This Row],[Drug_Cost_GBP]] &lt; 1200, "Normal")</f>
        <v>High Cost</v>
      </c>
      <c r="L801" s="4" t="str" cm="1">
        <f t="array" ref="L801">IFERROR(_xlfn.IFS(Table3[[#This Row],[Age (Years)]]  &gt; 75, "YES", Table3[[#This Row],[Age (Years)]] &lt; 75, "NO"), "UNKNOWN")</f>
        <v>NO</v>
      </c>
      <c r="M801" s="4" t="str">
        <f>IF(Table3[[#This Row],[Drug_Cost_GBP]] &gt; Analysis_Sheet!$B$21, "Above Average", "Within Average")</f>
        <v>Above Average</v>
      </c>
      <c r="N801" s="39" t="str">
        <f t="shared" si="12"/>
        <v>April 2024</v>
      </c>
    </row>
    <row r="802" spans="1:14" x14ac:dyDescent="0.3">
      <c r="A802" s="1" t="s">
        <v>70</v>
      </c>
      <c r="B802" s="17">
        <v>35</v>
      </c>
      <c r="C802" s="2" t="s">
        <v>38</v>
      </c>
      <c r="D802" s="2" t="s">
        <v>25</v>
      </c>
      <c r="E802" s="2" t="s">
        <v>23</v>
      </c>
      <c r="F802" s="3" t="s">
        <v>900</v>
      </c>
      <c r="G802" s="2">
        <v>12</v>
      </c>
      <c r="H802" s="13">
        <v>1002.0675517241378</v>
      </c>
      <c r="I802" s="4" t="s">
        <v>16</v>
      </c>
      <c r="J802" s="4" t="str" cm="1">
        <f t="array" ref="J802">_xlfn.IFS(Table3[[#This Row],[Age (Years)]] &lt; 40, "Young", Table3[[#This Row],[Age (Years)]] &gt;= 40, "Middle", Table3[[#This Row],[Age (Years)]] &gt; 60, "Senior")</f>
        <v>Young</v>
      </c>
      <c r="K802" s="4" t="str" cm="1">
        <f t="array" ref="K802">_xlfn.IFS(Table3[[#This Row],[Drug_Cost_GBP]] &gt; 1200, "High Cost", Table3[[#This Row],[Drug_Cost_GBP]] &lt; 1200, "Normal")</f>
        <v>Normal</v>
      </c>
      <c r="L802" s="4" t="str" cm="1">
        <f t="array" ref="L802">IFERROR(_xlfn.IFS(Table3[[#This Row],[Age (Years)]]  &gt; 75, "YES", Table3[[#This Row],[Age (Years)]] &lt; 75, "NO"), "UNKNOWN")</f>
        <v>NO</v>
      </c>
      <c r="M802" s="4" t="str">
        <f>IF(Table3[[#This Row],[Drug_Cost_GBP]] &gt; Analysis_Sheet!$B$21, "Above Average", "Within Average")</f>
        <v>Within Average</v>
      </c>
      <c r="N802" s="39" t="str">
        <f t="shared" si="12"/>
        <v>Unknown</v>
      </c>
    </row>
    <row r="803" spans="1:14" x14ac:dyDescent="0.3">
      <c r="A803" s="1" t="s">
        <v>116</v>
      </c>
      <c r="B803" s="17">
        <v>35</v>
      </c>
      <c r="C803" s="2" t="s">
        <v>899</v>
      </c>
      <c r="D803" s="2" t="s">
        <v>898</v>
      </c>
      <c r="E803" s="2" t="s">
        <v>34</v>
      </c>
      <c r="F803" s="3">
        <v>45334</v>
      </c>
      <c r="G803" s="2">
        <v>12</v>
      </c>
      <c r="H803" s="13">
        <v>1002.0675517241378</v>
      </c>
      <c r="I803" s="4" t="s">
        <v>21</v>
      </c>
      <c r="J803" s="8" t="str" cm="1">
        <f t="array" ref="J803">_xlfn.IFS(Table3[[#This Row],[Age (Years)]] &lt; 40, "Young", Table3[[#This Row],[Age (Years)]] &gt;= 40, "Middle", Table3[[#This Row],[Age (Years)]] &gt; 60, "Senior")</f>
        <v>Young</v>
      </c>
      <c r="K803" s="8" t="str" cm="1">
        <f t="array" ref="K803">_xlfn.IFS(Table3[[#This Row],[Drug_Cost_GBP]] &gt; 1200, "High Cost", Table3[[#This Row],[Drug_Cost_GBP]] &lt; 1200, "Normal")</f>
        <v>Normal</v>
      </c>
      <c r="L803" s="8" t="str" cm="1">
        <f t="array" ref="L803">IFERROR(_xlfn.IFS(Table3[[#This Row],[Age (Years)]]  &gt; 75, "YES", Table3[[#This Row],[Age (Years)]] &lt; 75, "NO"), "UNKNOWN")</f>
        <v>NO</v>
      </c>
      <c r="M803" s="8" t="str">
        <f>IF(Table3[[#This Row],[Drug_Cost_GBP]] &gt; Analysis_Sheet!$B$21, "Above Average", "Within Average")</f>
        <v>Within Average</v>
      </c>
      <c r="N803" s="39" t="str">
        <f t="shared" si="12"/>
        <v>February 2024</v>
      </c>
    </row>
    <row r="804" spans="1:14" x14ac:dyDescent="0.3">
      <c r="A804" s="5" t="s">
        <v>117</v>
      </c>
      <c r="B804" s="18">
        <v>35</v>
      </c>
      <c r="C804" s="6" t="s">
        <v>899</v>
      </c>
      <c r="D804" s="6" t="s">
        <v>51</v>
      </c>
      <c r="E804" s="6" t="s">
        <v>43</v>
      </c>
      <c r="F804" s="7">
        <v>45523</v>
      </c>
      <c r="G804" s="6">
        <v>12</v>
      </c>
      <c r="H804" s="14">
        <v>1110.45</v>
      </c>
      <c r="I804" s="8" t="s">
        <v>21</v>
      </c>
      <c r="J804" s="8" t="str" cm="1">
        <f t="array" ref="J804">_xlfn.IFS(Table3[[#This Row],[Age (Years)]] &lt; 40, "Young", Table3[[#This Row],[Age (Years)]] &gt;= 40, "Middle", Table3[[#This Row],[Age (Years)]] &gt; 60, "Senior")</f>
        <v>Young</v>
      </c>
      <c r="K804" s="8" t="str" cm="1">
        <f t="array" ref="K804">_xlfn.IFS(Table3[[#This Row],[Drug_Cost_GBP]] &gt; 1200, "High Cost", Table3[[#This Row],[Drug_Cost_GBP]] &lt; 1200, "Normal")</f>
        <v>Normal</v>
      </c>
      <c r="L804" s="8" t="str" cm="1">
        <f t="array" ref="L804">IFERROR(_xlfn.IFS(Table3[[#This Row],[Age (Years)]]  &gt; 75, "YES", Table3[[#This Row],[Age (Years)]] &lt; 75, "NO"), "UNKNOWN")</f>
        <v>NO</v>
      </c>
      <c r="M804" s="8" t="str">
        <f>IF(Table3[[#This Row],[Drug_Cost_GBP]] &gt; Analysis_Sheet!$B$21, "Above Average", "Within Average")</f>
        <v>Above Average</v>
      </c>
      <c r="N804" s="39" t="str">
        <f t="shared" si="12"/>
        <v>August 2024</v>
      </c>
    </row>
    <row r="805" spans="1:14" x14ac:dyDescent="0.3">
      <c r="A805" s="5" t="s">
        <v>163</v>
      </c>
      <c r="B805" s="18">
        <v>35</v>
      </c>
      <c r="C805" s="6" t="s">
        <v>899</v>
      </c>
      <c r="D805" s="6" t="s">
        <v>898</v>
      </c>
      <c r="E805" s="6" t="s">
        <v>23</v>
      </c>
      <c r="F805" s="7">
        <v>45489</v>
      </c>
      <c r="G805" s="6">
        <v>12</v>
      </c>
      <c r="H805" s="14">
        <v>1994.79</v>
      </c>
      <c r="I805" s="8" t="s">
        <v>21</v>
      </c>
      <c r="J805" s="8" t="str" cm="1">
        <f t="array" ref="J805">_xlfn.IFS(Table3[[#This Row],[Age (Years)]] &lt; 40, "Young", Table3[[#This Row],[Age (Years)]] &gt;= 40, "Middle", Table3[[#This Row],[Age (Years)]] &gt; 60, "Senior")</f>
        <v>Young</v>
      </c>
      <c r="K805" s="8" t="str" cm="1">
        <f t="array" ref="K805">_xlfn.IFS(Table3[[#This Row],[Drug_Cost_GBP]] &gt; 1200, "High Cost", Table3[[#This Row],[Drug_Cost_GBP]] &lt; 1200, "Normal")</f>
        <v>High Cost</v>
      </c>
      <c r="L805" s="8" t="str" cm="1">
        <f t="array" ref="L805">IFERROR(_xlfn.IFS(Table3[[#This Row],[Age (Years)]]  &gt; 75, "YES", Table3[[#This Row],[Age (Years)]] &lt; 75, "NO"), "UNKNOWN")</f>
        <v>NO</v>
      </c>
      <c r="M805" s="8" t="str">
        <f>IF(Table3[[#This Row],[Drug_Cost_GBP]] &gt; Analysis_Sheet!$B$21, "Above Average", "Within Average")</f>
        <v>Above Average</v>
      </c>
      <c r="N805" s="39" t="str">
        <f t="shared" si="12"/>
        <v>July 2024</v>
      </c>
    </row>
    <row r="806" spans="1:14" x14ac:dyDescent="0.3">
      <c r="A806" s="5" t="s">
        <v>369</v>
      </c>
      <c r="B806" s="18">
        <v>35</v>
      </c>
      <c r="C806" s="6" t="s">
        <v>899</v>
      </c>
      <c r="D806" s="6" t="s">
        <v>19</v>
      </c>
      <c r="E806" s="6" t="s">
        <v>43</v>
      </c>
      <c r="F806" s="7">
        <v>45567</v>
      </c>
      <c r="G806" s="6">
        <v>12</v>
      </c>
      <c r="H806" s="14">
        <v>587.80999999999995</v>
      </c>
      <c r="I806" s="8" t="s">
        <v>900</v>
      </c>
      <c r="J806" s="4" t="str" cm="1">
        <f t="array" ref="J806">_xlfn.IFS(Table3[[#This Row],[Age (Years)]] &lt; 40, "Young", Table3[[#This Row],[Age (Years)]] &gt;= 40, "Middle", Table3[[#This Row],[Age (Years)]] &gt; 60, "Senior")</f>
        <v>Young</v>
      </c>
      <c r="K806" s="4" t="str" cm="1">
        <f t="array" ref="K806">_xlfn.IFS(Table3[[#This Row],[Drug_Cost_GBP]] &gt; 1200, "High Cost", Table3[[#This Row],[Drug_Cost_GBP]] &lt; 1200, "Normal")</f>
        <v>Normal</v>
      </c>
      <c r="L806" s="4" t="str" cm="1">
        <f t="array" ref="L806">IFERROR(_xlfn.IFS(Table3[[#This Row],[Age (Years)]]  &gt; 75, "YES", Table3[[#This Row],[Age (Years)]] &lt; 75, "NO"), "UNKNOWN")</f>
        <v>NO</v>
      </c>
      <c r="M806" s="4" t="str">
        <f>IF(Table3[[#This Row],[Drug_Cost_GBP]] &gt; Analysis_Sheet!$B$21, "Above Average", "Within Average")</f>
        <v>Within Average</v>
      </c>
      <c r="N806" s="39" t="str">
        <f t="shared" si="12"/>
        <v>October 2024</v>
      </c>
    </row>
    <row r="807" spans="1:14" x14ac:dyDescent="0.3">
      <c r="A807" s="1" t="s">
        <v>568</v>
      </c>
      <c r="B807" s="17">
        <v>35</v>
      </c>
      <c r="C807" s="2" t="s">
        <v>899</v>
      </c>
      <c r="D807" s="2" t="s">
        <v>900</v>
      </c>
      <c r="E807" s="2" t="s">
        <v>43</v>
      </c>
      <c r="F807" s="3" t="s">
        <v>900</v>
      </c>
      <c r="G807" s="2">
        <v>12</v>
      </c>
      <c r="H807" s="13">
        <v>804.03</v>
      </c>
      <c r="I807" s="4" t="s">
        <v>16</v>
      </c>
      <c r="J807" s="4" t="str" cm="1">
        <f t="array" ref="J807">_xlfn.IFS(Table3[[#This Row],[Age (Years)]] &lt; 40, "Young", Table3[[#This Row],[Age (Years)]] &gt;= 40, "Middle", Table3[[#This Row],[Age (Years)]] &gt; 60, "Senior")</f>
        <v>Young</v>
      </c>
      <c r="K807" s="4" t="str" cm="1">
        <f t="array" ref="K807">_xlfn.IFS(Table3[[#This Row],[Drug_Cost_GBP]] &gt; 1200, "High Cost", Table3[[#This Row],[Drug_Cost_GBP]] &lt; 1200, "Normal")</f>
        <v>Normal</v>
      </c>
      <c r="L807" s="4" t="str" cm="1">
        <f t="array" ref="L807">IFERROR(_xlfn.IFS(Table3[[#This Row],[Age (Years)]]  &gt; 75, "YES", Table3[[#This Row],[Age (Years)]] &lt; 75, "NO"), "UNKNOWN")</f>
        <v>NO</v>
      </c>
      <c r="M807" s="4" t="str">
        <f>IF(Table3[[#This Row],[Drug_Cost_GBP]] &gt; Analysis_Sheet!$B$21, "Above Average", "Within Average")</f>
        <v>Within Average</v>
      </c>
      <c r="N807" s="39" t="str">
        <f t="shared" si="12"/>
        <v>Unknown</v>
      </c>
    </row>
    <row r="808" spans="1:14" x14ac:dyDescent="0.3">
      <c r="A808" s="1" t="s">
        <v>822</v>
      </c>
      <c r="B808" s="17">
        <v>35</v>
      </c>
      <c r="C808" s="2" t="s">
        <v>899</v>
      </c>
      <c r="D808" s="2" t="s">
        <v>14</v>
      </c>
      <c r="E808" s="2" t="s">
        <v>34</v>
      </c>
      <c r="F808" s="3">
        <v>45533</v>
      </c>
      <c r="G808" s="2">
        <v>12</v>
      </c>
      <c r="H808" s="13">
        <v>1002.0675517241378</v>
      </c>
      <c r="I808" s="4" t="s">
        <v>21</v>
      </c>
      <c r="J808" s="8" t="str" cm="1">
        <f t="array" ref="J808">_xlfn.IFS(Table3[[#This Row],[Age (Years)]] &lt; 40, "Young", Table3[[#This Row],[Age (Years)]] &gt;= 40, "Middle", Table3[[#This Row],[Age (Years)]] &gt; 60, "Senior")</f>
        <v>Young</v>
      </c>
      <c r="K808" s="8" t="str" cm="1">
        <f t="array" ref="K808">_xlfn.IFS(Table3[[#This Row],[Drug_Cost_GBP]] &gt; 1200, "High Cost", Table3[[#This Row],[Drug_Cost_GBP]] &lt; 1200, "Normal")</f>
        <v>Normal</v>
      </c>
      <c r="L808" s="8" t="str" cm="1">
        <f t="array" ref="L808">IFERROR(_xlfn.IFS(Table3[[#This Row],[Age (Years)]]  &gt; 75, "YES", Table3[[#This Row],[Age (Years)]] &lt; 75, "NO"), "UNKNOWN")</f>
        <v>NO</v>
      </c>
      <c r="M808" s="8" t="str">
        <f>IF(Table3[[#This Row],[Drug_Cost_GBP]] &gt; Analysis_Sheet!$B$21, "Above Average", "Within Average")</f>
        <v>Within Average</v>
      </c>
      <c r="N808" s="39" t="str">
        <f t="shared" si="12"/>
        <v>August 2024</v>
      </c>
    </row>
    <row r="809" spans="1:14" x14ac:dyDescent="0.3">
      <c r="A809" s="5" t="s">
        <v>159</v>
      </c>
      <c r="B809" s="18">
        <v>34</v>
      </c>
      <c r="C809" s="6" t="s">
        <v>38</v>
      </c>
      <c r="D809" s="6" t="s">
        <v>900</v>
      </c>
      <c r="E809" s="6" t="s">
        <v>43</v>
      </c>
      <c r="F809" s="7" t="s">
        <v>900</v>
      </c>
      <c r="G809" s="6">
        <v>3</v>
      </c>
      <c r="H809" s="14">
        <v>1002.0675517241378</v>
      </c>
      <c r="I809" s="8" t="s">
        <v>900</v>
      </c>
      <c r="J809" s="8" t="str" cm="1">
        <f t="array" ref="J809">_xlfn.IFS(Table3[[#This Row],[Age (Years)]] &lt; 40, "Young", Table3[[#This Row],[Age (Years)]] &gt;= 40, "Middle", Table3[[#This Row],[Age (Years)]] &gt; 60, "Senior")</f>
        <v>Young</v>
      </c>
      <c r="K809" s="8" t="str" cm="1">
        <f t="array" ref="K809">_xlfn.IFS(Table3[[#This Row],[Drug_Cost_GBP]] &gt; 1200, "High Cost", Table3[[#This Row],[Drug_Cost_GBP]] &lt; 1200, "Normal")</f>
        <v>Normal</v>
      </c>
      <c r="L809" s="8" t="str" cm="1">
        <f t="array" ref="L809">IFERROR(_xlfn.IFS(Table3[[#This Row],[Age (Years)]]  &gt; 75, "YES", Table3[[#This Row],[Age (Years)]] &lt; 75, "NO"), "UNKNOWN")</f>
        <v>NO</v>
      </c>
      <c r="M809" s="8" t="str">
        <f>IF(Table3[[#This Row],[Drug_Cost_GBP]] &gt; Analysis_Sheet!$B$21, "Above Average", "Within Average")</f>
        <v>Within Average</v>
      </c>
      <c r="N809" s="39" t="str">
        <f t="shared" si="12"/>
        <v>Unknown</v>
      </c>
    </row>
    <row r="810" spans="1:14" x14ac:dyDescent="0.3">
      <c r="A810" s="5" t="s">
        <v>489</v>
      </c>
      <c r="B810" s="18">
        <v>34</v>
      </c>
      <c r="C810" s="6" t="s">
        <v>899</v>
      </c>
      <c r="D810" s="6" t="s">
        <v>14</v>
      </c>
      <c r="E810" s="6" t="s">
        <v>29</v>
      </c>
      <c r="F810" s="7">
        <v>45583</v>
      </c>
      <c r="G810" s="6">
        <v>12</v>
      </c>
      <c r="H810" s="14">
        <v>539.9</v>
      </c>
      <c r="I810" s="8" t="s">
        <v>900</v>
      </c>
      <c r="J810" s="8" t="str" cm="1">
        <f t="array" ref="J810">_xlfn.IFS(Table3[[#This Row],[Age (Years)]] &lt; 40, "Young", Table3[[#This Row],[Age (Years)]] &gt;= 40, "Middle", Table3[[#This Row],[Age (Years)]] &gt; 60, "Senior")</f>
        <v>Young</v>
      </c>
      <c r="K810" s="8" t="str" cm="1">
        <f t="array" ref="K810">_xlfn.IFS(Table3[[#This Row],[Drug_Cost_GBP]] &gt; 1200, "High Cost", Table3[[#This Row],[Drug_Cost_GBP]] &lt; 1200, "Normal")</f>
        <v>Normal</v>
      </c>
      <c r="L810" s="8" t="str" cm="1">
        <f t="array" ref="L810">IFERROR(_xlfn.IFS(Table3[[#This Row],[Age (Years)]]  &gt; 75, "YES", Table3[[#This Row],[Age (Years)]] &lt; 75, "NO"), "UNKNOWN")</f>
        <v>NO</v>
      </c>
      <c r="M810" s="8" t="str">
        <f>IF(Table3[[#This Row],[Drug_Cost_GBP]] &gt; Analysis_Sheet!$B$21, "Above Average", "Within Average")</f>
        <v>Within Average</v>
      </c>
      <c r="N810" s="39" t="str">
        <f t="shared" si="12"/>
        <v>October 2024</v>
      </c>
    </row>
    <row r="811" spans="1:14" x14ac:dyDescent="0.3">
      <c r="A811" s="5" t="s">
        <v>559</v>
      </c>
      <c r="B811" s="18">
        <v>34</v>
      </c>
      <c r="C811" s="6" t="s">
        <v>899</v>
      </c>
      <c r="D811" s="6" t="s">
        <v>19</v>
      </c>
      <c r="E811" s="6" t="s">
        <v>23</v>
      </c>
      <c r="F811" s="7" t="s">
        <v>900</v>
      </c>
      <c r="G811" s="6">
        <v>12</v>
      </c>
      <c r="H811" s="14">
        <v>1002.0675517241378</v>
      </c>
      <c r="I811" s="8" t="s">
        <v>26</v>
      </c>
      <c r="J811" s="8" t="str" cm="1">
        <f t="array" ref="J811">_xlfn.IFS(Table3[[#This Row],[Age (Years)]] &lt; 40, "Young", Table3[[#This Row],[Age (Years)]] &gt;= 40, "Middle", Table3[[#This Row],[Age (Years)]] &gt; 60, "Senior")</f>
        <v>Young</v>
      </c>
      <c r="K811" s="8" t="str" cm="1">
        <f t="array" ref="K811">_xlfn.IFS(Table3[[#This Row],[Drug_Cost_GBP]] &gt; 1200, "High Cost", Table3[[#This Row],[Drug_Cost_GBP]] &lt; 1200, "Normal")</f>
        <v>Normal</v>
      </c>
      <c r="L811" s="8" t="str" cm="1">
        <f t="array" ref="L811">IFERROR(_xlfn.IFS(Table3[[#This Row],[Age (Years)]]  &gt; 75, "YES", Table3[[#This Row],[Age (Years)]] &lt; 75, "NO"), "UNKNOWN")</f>
        <v>NO</v>
      </c>
      <c r="M811" s="8" t="str">
        <f>IF(Table3[[#This Row],[Drug_Cost_GBP]] &gt; Analysis_Sheet!$B$21, "Above Average", "Within Average")</f>
        <v>Within Average</v>
      </c>
      <c r="N811" s="39" t="str">
        <f t="shared" si="12"/>
        <v>Unknown</v>
      </c>
    </row>
    <row r="812" spans="1:14" x14ac:dyDescent="0.3">
      <c r="A812" s="5" t="s">
        <v>561</v>
      </c>
      <c r="B812" s="18">
        <v>34</v>
      </c>
      <c r="C812" s="6" t="s">
        <v>900</v>
      </c>
      <c r="D812" s="6" t="s">
        <v>48</v>
      </c>
      <c r="E812" s="6" t="s">
        <v>29</v>
      </c>
      <c r="F812" s="7" t="s">
        <v>900</v>
      </c>
      <c r="G812" s="6">
        <v>12</v>
      </c>
      <c r="H812" s="14">
        <v>1002.0675517241378</v>
      </c>
      <c r="I812" s="8" t="s">
        <v>900</v>
      </c>
      <c r="J812" s="8" t="str" cm="1">
        <f t="array" ref="J812">_xlfn.IFS(Table3[[#This Row],[Age (Years)]] &lt; 40, "Young", Table3[[#This Row],[Age (Years)]] &gt;= 40, "Middle", Table3[[#This Row],[Age (Years)]] &gt; 60, "Senior")</f>
        <v>Young</v>
      </c>
      <c r="K812" s="8" t="str" cm="1">
        <f t="array" ref="K812">_xlfn.IFS(Table3[[#This Row],[Drug_Cost_GBP]] &gt; 1200, "High Cost", Table3[[#This Row],[Drug_Cost_GBP]] &lt; 1200, "Normal")</f>
        <v>Normal</v>
      </c>
      <c r="L812" s="8" t="str" cm="1">
        <f t="array" ref="L812">IFERROR(_xlfn.IFS(Table3[[#This Row],[Age (Years)]]  &gt; 75, "YES", Table3[[#This Row],[Age (Years)]] &lt; 75, "NO"), "UNKNOWN")</f>
        <v>NO</v>
      </c>
      <c r="M812" s="8" t="str">
        <f>IF(Table3[[#This Row],[Drug_Cost_GBP]] &gt; Analysis_Sheet!$B$21, "Above Average", "Within Average")</f>
        <v>Within Average</v>
      </c>
      <c r="N812" s="39" t="str">
        <f t="shared" si="12"/>
        <v>Unknown</v>
      </c>
    </row>
    <row r="813" spans="1:14" x14ac:dyDescent="0.3">
      <c r="A813" s="5" t="s">
        <v>579</v>
      </c>
      <c r="B813" s="18">
        <v>34</v>
      </c>
      <c r="C813" s="6" t="s">
        <v>900</v>
      </c>
      <c r="D813" s="6" t="s">
        <v>14</v>
      </c>
      <c r="E813" s="6" t="s">
        <v>43</v>
      </c>
      <c r="F813" s="7">
        <v>45601</v>
      </c>
      <c r="G813" s="6">
        <v>12</v>
      </c>
      <c r="H813" s="14">
        <v>1210.3900000000001</v>
      </c>
      <c r="I813" s="8" t="s">
        <v>12</v>
      </c>
      <c r="J813" s="8" t="str" cm="1">
        <f t="array" ref="J813">_xlfn.IFS(Table3[[#This Row],[Age (Years)]] &lt; 40, "Young", Table3[[#This Row],[Age (Years)]] &gt;= 40, "Middle", Table3[[#This Row],[Age (Years)]] &gt; 60, "Senior")</f>
        <v>Young</v>
      </c>
      <c r="K813" s="8" t="str" cm="1">
        <f t="array" ref="K813">_xlfn.IFS(Table3[[#This Row],[Drug_Cost_GBP]] &gt; 1200, "High Cost", Table3[[#This Row],[Drug_Cost_GBP]] &lt; 1200, "Normal")</f>
        <v>High Cost</v>
      </c>
      <c r="L813" s="8" t="str" cm="1">
        <f t="array" ref="L813">IFERROR(_xlfn.IFS(Table3[[#This Row],[Age (Years)]]  &gt; 75, "YES", Table3[[#This Row],[Age (Years)]] &lt; 75, "NO"), "UNKNOWN")</f>
        <v>NO</v>
      </c>
      <c r="M813" s="8" t="str">
        <f>IF(Table3[[#This Row],[Drug_Cost_GBP]] &gt; Analysis_Sheet!$B$21, "Above Average", "Within Average")</f>
        <v>Above Average</v>
      </c>
      <c r="N813" s="39" t="str">
        <f t="shared" si="12"/>
        <v>November 2024</v>
      </c>
    </row>
    <row r="814" spans="1:14" x14ac:dyDescent="0.3">
      <c r="A814" s="5" t="s">
        <v>617</v>
      </c>
      <c r="B814" s="18">
        <v>34</v>
      </c>
      <c r="C814" s="6" t="s">
        <v>900</v>
      </c>
      <c r="D814" s="6" t="s">
        <v>25</v>
      </c>
      <c r="E814" s="6" t="s">
        <v>43</v>
      </c>
      <c r="F814" s="7">
        <v>45397</v>
      </c>
      <c r="G814" s="6">
        <v>12</v>
      </c>
      <c r="H814" s="14">
        <v>1269.24</v>
      </c>
      <c r="I814" s="8" t="s">
        <v>900</v>
      </c>
      <c r="J814" s="8" t="str" cm="1">
        <f t="array" ref="J814">_xlfn.IFS(Table3[[#This Row],[Age (Years)]] &lt; 40, "Young", Table3[[#This Row],[Age (Years)]] &gt;= 40, "Middle", Table3[[#This Row],[Age (Years)]] &gt; 60, "Senior")</f>
        <v>Young</v>
      </c>
      <c r="K814" s="8" t="str" cm="1">
        <f t="array" ref="K814">_xlfn.IFS(Table3[[#This Row],[Drug_Cost_GBP]] &gt; 1200, "High Cost", Table3[[#This Row],[Drug_Cost_GBP]] &lt; 1200, "Normal")</f>
        <v>High Cost</v>
      </c>
      <c r="L814" s="8" t="str" cm="1">
        <f t="array" ref="L814">IFERROR(_xlfn.IFS(Table3[[#This Row],[Age (Years)]]  &gt; 75, "YES", Table3[[#This Row],[Age (Years)]] &lt; 75, "NO"), "UNKNOWN")</f>
        <v>NO</v>
      </c>
      <c r="M814" s="8" t="str">
        <f>IF(Table3[[#This Row],[Drug_Cost_GBP]] &gt; Analysis_Sheet!$B$21, "Above Average", "Within Average")</f>
        <v>Above Average</v>
      </c>
      <c r="N814" s="39" t="str">
        <f t="shared" si="12"/>
        <v>April 2024</v>
      </c>
    </row>
    <row r="815" spans="1:14" x14ac:dyDescent="0.3">
      <c r="A815" s="5" t="s">
        <v>821</v>
      </c>
      <c r="B815" s="18">
        <v>34</v>
      </c>
      <c r="C815" s="6" t="s">
        <v>899</v>
      </c>
      <c r="D815" s="6" t="s">
        <v>898</v>
      </c>
      <c r="E815" s="6" t="s">
        <v>57</v>
      </c>
      <c r="F815" s="7">
        <v>45583</v>
      </c>
      <c r="G815" s="6">
        <v>11</v>
      </c>
      <c r="H815" s="14">
        <v>1553.86</v>
      </c>
      <c r="I815" s="8" t="s">
        <v>900</v>
      </c>
      <c r="J815" s="4" t="str" cm="1">
        <f t="array" ref="J815">_xlfn.IFS(Table3[[#This Row],[Age (Years)]] &lt; 40, "Young", Table3[[#This Row],[Age (Years)]] &gt;= 40, "Middle", Table3[[#This Row],[Age (Years)]] &gt; 60, "Senior")</f>
        <v>Young</v>
      </c>
      <c r="K815" s="4" t="str" cm="1">
        <f t="array" ref="K815">_xlfn.IFS(Table3[[#This Row],[Drug_Cost_GBP]] &gt; 1200, "High Cost", Table3[[#This Row],[Drug_Cost_GBP]] &lt; 1200, "Normal")</f>
        <v>High Cost</v>
      </c>
      <c r="L815" s="4" t="str" cm="1">
        <f t="array" ref="L815">IFERROR(_xlfn.IFS(Table3[[#This Row],[Age (Years)]]  &gt; 75, "YES", Table3[[#This Row],[Age (Years)]] &lt; 75, "NO"), "UNKNOWN")</f>
        <v>NO</v>
      </c>
      <c r="M815" s="4" t="str">
        <f>IF(Table3[[#This Row],[Drug_Cost_GBP]] &gt; Analysis_Sheet!$B$21, "Above Average", "Within Average")</f>
        <v>Above Average</v>
      </c>
      <c r="N815" s="39" t="str">
        <f t="shared" si="12"/>
        <v>October 2024</v>
      </c>
    </row>
    <row r="816" spans="1:14" x14ac:dyDescent="0.3">
      <c r="A816" s="1" t="s">
        <v>60</v>
      </c>
      <c r="B816" s="17">
        <v>33</v>
      </c>
      <c r="C816" s="2" t="s">
        <v>899</v>
      </c>
      <c r="D816" s="2" t="s">
        <v>19</v>
      </c>
      <c r="E816" s="2" t="s">
        <v>23</v>
      </c>
      <c r="F816" s="3">
        <v>45342</v>
      </c>
      <c r="G816" s="2">
        <v>12</v>
      </c>
      <c r="H816" s="13">
        <v>1002.0675517241378</v>
      </c>
      <c r="I816" s="4" t="s">
        <v>21</v>
      </c>
      <c r="J816" s="4" t="str" cm="1">
        <f t="array" ref="J816">_xlfn.IFS(Table3[[#This Row],[Age (Years)]] &lt; 40, "Young", Table3[[#This Row],[Age (Years)]] &gt;= 40, "Middle", Table3[[#This Row],[Age (Years)]] &gt; 60, "Senior")</f>
        <v>Young</v>
      </c>
      <c r="K816" s="4" t="str" cm="1">
        <f t="array" ref="K816">_xlfn.IFS(Table3[[#This Row],[Drug_Cost_GBP]] &gt; 1200, "High Cost", Table3[[#This Row],[Drug_Cost_GBP]] &lt; 1200, "Normal")</f>
        <v>Normal</v>
      </c>
      <c r="L816" s="4" t="str" cm="1">
        <f t="array" ref="L816">IFERROR(_xlfn.IFS(Table3[[#This Row],[Age (Years)]]  &gt; 75, "YES", Table3[[#This Row],[Age (Years)]] &lt; 75, "NO"), "UNKNOWN")</f>
        <v>NO</v>
      </c>
      <c r="M816" s="4" t="str">
        <f>IF(Table3[[#This Row],[Drug_Cost_GBP]] &gt; Analysis_Sheet!$B$21, "Above Average", "Within Average")</f>
        <v>Within Average</v>
      </c>
      <c r="N816" s="39" t="str">
        <f t="shared" si="12"/>
        <v>February 2024</v>
      </c>
    </row>
    <row r="817" spans="1:14" x14ac:dyDescent="0.3">
      <c r="A817" s="1" t="s">
        <v>86</v>
      </c>
      <c r="B817" s="17">
        <v>33</v>
      </c>
      <c r="C817" s="2" t="s">
        <v>38</v>
      </c>
      <c r="D817" s="2" t="s">
        <v>51</v>
      </c>
      <c r="E817" s="2" t="s">
        <v>29</v>
      </c>
      <c r="F817" s="3">
        <v>45525</v>
      </c>
      <c r="G817" s="2">
        <v>12</v>
      </c>
      <c r="H817" s="13">
        <v>1075.08</v>
      </c>
      <c r="I817" s="4" t="s">
        <v>12</v>
      </c>
      <c r="J817" s="8" t="str" cm="1">
        <f t="array" ref="J817">_xlfn.IFS(Table3[[#This Row],[Age (Years)]] &lt; 40, "Young", Table3[[#This Row],[Age (Years)]] &gt;= 40, "Middle", Table3[[#This Row],[Age (Years)]] &gt; 60, "Senior")</f>
        <v>Young</v>
      </c>
      <c r="K817" s="8" t="str" cm="1">
        <f t="array" ref="K817">_xlfn.IFS(Table3[[#This Row],[Drug_Cost_GBP]] &gt; 1200, "High Cost", Table3[[#This Row],[Drug_Cost_GBP]] &lt; 1200, "Normal")</f>
        <v>Normal</v>
      </c>
      <c r="L817" s="8" t="str" cm="1">
        <f t="array" ref="L817">IFERROR(_xlfn.IFS(Table3[[#This Row],[Age (Years)]]  &gt; 75, "YES", Table3[[#This Row],[Age (Years)]] &lt; 75, "NO"), "UNKNOWN")</f>
        <v>NO</v>
      </c>
      <c r="M817" s="8" t="str">
        <f>IF(Table3[[#This Row],[Drug_Cost_GBP]] &gt; Analysis_Sheet!$B$21, "Above Average", "Within Average")</f>
        <v>Above Average</v>
      </c>
      <c r="N817" s="39" t="str">
        <f t="shared" si="12"/>
        <v>August 2024</v>
      </c>
    </row>
    <row r="818" spans="1:14" x14ac:dyDescent="0.3">
      <c r="A818" s="5" t="s">
        <v>205</v>
      </c>
      <c r="B818" s="18">
        <v>33</v>
      </c>
      <c r="C818" s="6" t="s">
        <v>38</v>
      </c>
      <c r="D818" s="6" t="s">
        <v>10</v>
      </c>
      <c r="E818" s="6" t="s">
        <v>43</v>
      </c>
      <c r="F818" s="7">
        <v>45363</v>
      </c>
      <c r="G818" s="6">
        <v>12</v>
      </c>
      <c r="H818" s="14">
        <v>1002.0675517241378</v>
      </c>
      <c r="I818" s="8" t="s">
        <v>26</v>
      </c>
      <c r="J818" s="8" t="str" cm="1">
        <f t="array" ref="J818">_xlfn.IFS(Table3[[#This Row],[Age (Years)]] &lt; 40, "Young", Table3[[#This Row],[Age (Years)]] &gt;= 40, "Middle", Table3[[#This Row],[Age (Years)]] &gt; 60, "Senior")</f>
        <v>Young</v>
      </c>
      <c r="K818" s="8" t="str" cm="1">
        <f t="array" ref="K818">_xlfn.IFS(Table3[[#This Row],[Drug_Cost_GBP]] &gt; 1200, "High Cost", Table3[[#This Row],[Drug_Cost_GBP]] &lt; 1200, "Normal")</f>
        <v>Normal</v>
      </c>
      <c r="L818" s="8" t="str" cm="1">
        <f t="array" ref="L818">IFERROR(_xlfn.IFS(Table3[[#This Row],[Age (Years)]]  &gt; 75, "YES", Table3[[#This Row],[Age (Years)]] &lt; 75, "NO"), "UNKNOWN")</f>
        <v>NO</v>
      </c>
      <c r="M818" s="8" t="str">
        <f>IF(Table3[[#This Row],[Drug_Cost_GBP]] &gt; Analysis_Sheet!$B$21, "Above Average", "Within Average")</f>
        <v>Within Average</v>
      </c>
      <c r="N818" s="39" t="str">
        <f t="shared" si="12"/>
        <v>March 2024</v>
      </c>
    </row>
    <row r="819" spans="1:14" x14ac:dyDescent="0.3">
      <c r="A819" s="5" t="s">
        <v>301</v>
      </c>
      <c r="B819" s="18">
        <v>33</v>
      </c>
      <c r="C819" s="6" t="s">
        <v>38</v>
      </c>
      <c r="D819" s="6" t="s">
        <v>14</v>
      </c>
      <c r="E819" s="6" t="s">
        <v>11</v>
      </c>
      <c r="F819" s="7">
        <v>45634</v>
      </c>
      <c r="G819" s="6">
        <v>12</v>
      </c>
      <c r="H819" s="14">
        <v>1002.0675517241378</v>
      </c>
      <c r="I819" s="8" t="s">
        <v>16</v>
      </c>
      <c r="J819" s="4" t="str" cm="1">
        <f t="array" ref="J819">_xlfn.IFS(Table3[[#This Row],[Age (Years)]] &lt; 40, "Young", Table3[[#This Row],[Age (Years)]] &gt;= 40, "Middle", Table3[[#This Row],[Age (Years)]] &gt; 60, "Senior")</f>
        <v>Young</v>
      </c>
      <c r="K819" s="4" t="str" cm="1">
        <f t="array" ref="K819">_xlfn.IFS(Table3[[#This Row],[Drug_Cost_GBP]] &gt; 1200, "High Cost", Table3[[#This Row],[Drug_Cost_GBP]] &lt; 1200, "Normal")</f>
        <v>Normal</v>
      </c>
      <c r="L819" s="4" t="str" cm="1">
        <f t="array" ref="L819">IFERROR(_xlfn.IFS(Table3[[#This Row],[Age (Years)]]  &gt; 75, "YES", Table3[[#This Row],[Age (Years)]] &lt; 75, "NO"), "UNKNOWN")</f>
        <v>NO</v>
      </c>
      <c r="M819" s="4" t="str">
        <f>IF(Table3[[#This Row],[Drug_Cost_GBP]] &gt; Analysis_Sheet!$B$21, "Above Average", "Within Average")</f>
        <v>Within Average</v>
      </c>
      <c r="N819" s="39" t="str">
        <f t="shared" si="12"/>
        <v>December 2024</v>
      </c>
    </row>
    <row r="820" spans="1:14" x14ac:dyDescent="0.3">
      <c r="A820" s="1" t="s">
        <v>334</v>
      </c>
      <c r="B820" s="17">
        <v>33</v>
      </c>
      <c r="C820" s="2" t="s">
        <v>899</v>
      </c>
      <c r="D820" s="2" t="s">
        <v>10</v>
      </c>
      <c r="E820" s="2" t="s">
        <v>57</v>
      </c>
      <c r="F820" s="3">
        <v>45562</v>
      </c>
      <c r="G820" s="2">
        <v>12</v>
      </c>
      <c r="H820" s="13">
        <v>803.89</v>
      </c>
      <c r="I820" s="4" t="s">
        <v>16</v>
      </c>
      <c r="J820" s="4" t="str" cm="1">
        <f t="array" ref="J820">_xlfn.IFS(Table3[[#This Row],[Age (Years)]] &lt; 40, "Young", Table3[[#This Row],[Age (Years)]] &gt;= 40, "Middle", Table3[[#This Row],[Age (Years)]] &gt; 60, "Senior")</f>
        <v>Young</v>
      </c>
      <c r="K820" s="4" t="str" cm="1">
        <f t="array" ref="K820">_xlfn.IFS(Table3[[#This Row],[Drug_Cost_GBP]] &gt; 1200, "High Cost", Table3[[#This Row],[Drug_Cost_GBP]] &lt; 1200, "Normal")</f>
        <v>Normal</v>
      </c>
      <c r="L820" s="4" t="str" cm="1">
        <f t="array" ref="L820">IFERROR(_xlfn.IFS(Table3[[#This Row],[Age (Years)]]  &gt; 75, "YES", Table3[[#This Row],[Age (Years)]] &lt; 75, "NO"), "UNKNOWN")</f>
        <v>NO</v>
      </c>
      <c r="M820" s="4" t="str">
        <f>IF(Table3[[#This Row],[Drug_Cost_GBP]] &gt; Analysis_Sheet!$B$21, "Above Average", "Within Average")</f>
        <v>Within Average</v>
      </c>
      <c r="N820" s="39" t="str">
        <f t="shared" si="12"/>
        <v>September 2024</v>
      </c>
    </row>
    <row r="821" spans="1:14" x14ac:dyDescent="0.3">
      <c r="A821" s="1" t="s">
        <v>670</v>
      </c>
      <c r="B821" s="17">
        <v>33</v>
      </c>
      <c r="C821" s="2" t="s">
        <v>38</v>
      </c>
      <c r="D821" s="2" t="s">
        <v>900</v>
      </c>
      <c r="E821" s="2" t="s">
        <v>57</v>
      </c>
      <c r="F821" s="3">
        <v>45381</v>
      </c>
      <c r="G821" s="2">
        <v>12</v>
      </c>
      <c r="H821" s="13">
        <v>926.76</v>
      </c>
      <c r="I821" s="4" t="s">
        <v>900</v>
      </c>
      <c r="J821" s="8" t="str" cm="1">
        <f t="array" ref="J821">_xlfn.IFS(Table3[[#This Row],[Age (Years)]] &lt; 40, "Young", Table3[[#This Row],[Age (Years)]] &gt;= 40, "Middle", Table3[[#This Row],[Age (Years)]] &gt; 60, "Senior")</f>
        <v>Young</v>
      </c>
      <c r="K821" s="8" t="str" cm="1">
        <f t="array" ref="K821">_xlfn.IFS(Table3[[#This Row],[Drug_Cost_GBP]] &gt; 1200, "High Cost", Table3[[#This Row],[Drug_Cost_GBP]] &lt; 1200, "Normal")</f>
        <v>Normal</v>
      </c>
      <c r="L821" s="8" t="str" cm="1">
        <f t="array" ref="L821">IFERROR(_xlfn.IFS(Table3[[#This Row],[Age (Years)]]  &gt; 75, "YES", Table3[[#This Row],[Age (Years)]] &lt; 75, "NO"), "UNKNOWN")</f>
        <v>NO</v>
      </c>
      <c r="M821" s="8" t="str">
        <f>IF(Table3[[#This Row],[Drug_Cost_GBP]] &gt; Analysis_Sheet!$B$21, "Above Average", "Within Average")</f>
        <v>Within Average</v>
      </c>
      <c r="N821" s="39" t="str">
        <f t="shared" si="12"/>
        <v>March 2024</v>
      </c>
    </row>
    <row r="822" spans="1:14" x14ac:dyDescent="0.3">
      <c r="A822" s="5" t="s">
        <v>359</v>
      </c>
      <c r="B822" s="18">
        <v>32</v>
      </c>
      <c r="C822" s="6" t="s">
        <v>899</v>
      </c>
      <c r="D822" s="6" t="s">
        <v>51</v>
      </c>
      <c r="E822" s="6" t="s">
        <v>43</v>
      </c>
      <c r="F822" s="7">
        <v>45309</v>
      </c>
      <c r="G822" s="6">
        <v>12</v>
      </c>
      <c r="H822" s="14">
        <v>1002.0675517241378</v>
      </c>
      <c r="I822" s="8" t="s">
        <v>900</v>
      </c>
      <c r="J822" s="8" t="str" cm="1">
        <f t="array" ref="J822">_xlfn.IFS(Table3[[#This Row],[Age (Years)]] &lt; 40, "Young", Table3[[#This Row],[Age (Years)]] &gt;= 40, "Middle", Table3[[#This Row],[Age (Years)]] &gt; 60, "Senior")</f>
        <v>Young</v>
      </c>
      <c r="K822" s="8" t="str" cm="1">
        <f t="array" ref="K822">_xlfn.IFS(Table3[[#This Row],[Drug_Cost_GBP]] &gt; 1200, "High Cost", Table3[[#This Row],[Drug_Cost_GBP]] &lt; 1200, "Normal")</f>
        <v>Normal</v>
      </c>
      <c r="L822" s="8" t="str" cm="1">
        <f t="array" ref="L822">IFERROR(_xlfn.IFS(Table3[[#This Row],[Age (Years)]]  &gt; 75, "YES", Table3[[#This Row],[Age (Years)]] &lt; 75, "NO"), "UNKNOWN")</f>
        <v>NO</v>
      </c>
      <c r="M822" s="8" t="str">
        <f>IF(Table3[[#This Row],[Drug_Cost_GBP]] &gt; Analysis_Sheet!$B$21, "Above Average", "Within Average")</f>
        <v>Within Average</v>
      </c>
      <c r="N822" s="39" t="str">
        <f t="shared" si="12"/>
        <v>January 2024</v>
      </c>
    </row>
    <row r="823" spans="1:14" x14ac:dyDescent="0.3">
      <c r="A823" s="5" t="s">
        <v>387</v>
      </c>
      <c r="B823" s="18">
        <v>32</v>
      </c>
      <c r="C823" s="6" t="s">
        <v>899</v>
      </c>
      <c r="D823" s="6" t="s">
        <v>898</v>
      </c>
      <c r="E823" s="6" t="s">
        <v>23</v>
      </c>
      <c r="F823" s="7">
        <v>45320</v>
      </c>
      <c r="G823" s="6">
        <v>10</v>
      </c>
      <c r="H823" s="14">
        <v>1002.0675517241378</v>
      </c>
      <c r="I823" s="8" t="s">
        <v>26</v>
      </c>
      <c r="J823" s="4" t="str" cm="1">
        <f t="array" ref="J823">_xlfn.IFS(Table3[[#This Row],[Age (Years)]] &lt; 40, "Young", Table3[[#This Row],[Age (Years)]] &gt;= 40, "Middle", Table3[[#This Row],[Age (Years)]] &gt; 60, "Senior")</f>
        <v>Young</v>
      </c>
      <c r="K823" s="4" t="str" cm="1">
        <f t="array" ref="K823">_xlfn.IFS(Table3[[#This Row],[Drug_Cost_GBP]] &gt; 1200, "High Cost", Table3[[#This Row],[Drug_Cost_GBP]] &lt; 1200, "Normal")</f>
        <v>Normal</v>
      </c>
      <c r="L823" s="4" t="str" cm="1">
        <f t="array" ref="L823">IFERROR(_xlfn.IFS(Table3[[#This Row],[Age (Years)]]  &gt; 75, "YES", Table3[[#This Row],[Age (Years)]] &lt; 75, "NO"), "UNKNOWN")</f>
        <v>NO</v>
      </c>
      <c r="M823" s="4" t="str">
        <f>IF(Table3[[#This Row],[Drug_Cost_GBP]] &gt; Analysis_Sheet!$B$21, "Above Average", "Within Average")</f>
        <v>Within Average</v>
      </c>
      <c r="N823" s="39" t="str">
        <f t="shared" si="12"/>
        <v>January 2024</v>
      </c>
    </row>
    <row r="824" spans="1:14" x14ac:dyDescent="0.3">
      <c r="A824" s="5" t="s">
        <v>101</v>
      </c>
      <c r="B824" s="18">
        <v>31</v>
      </c>
      <c r="C824" s="6" t="s">
        <v>900</v>
      </c>
      <c r="D824" s="6" t="s">
        <v>900</v>
      </c>
      <c r="E824" s="6" t="s">
        <v>57</v>
      </c>
      <c r="F824" s="7">
        <v>45452</v>
      </c>
      <c r="G824" s="6">
        <v>12</v>
      </c>
      <c r="H824" s="14">
        <v>466.03</v>
      </c>
      <c r="I824" s="8" t="s">
        <v>12</v>
      </c>
      <c r="J824" s="8" t="str" cm="1">
        <f t="array" ref="J824">_xlfn.IFS(Table3[[#This Row],[Age (Years)]] &lt; 40, "Young", Table3[[#This Row],[Age (Years)]] &gt;= 40, "Middle", Table3[[#This Row],[Age (Years)]] &gt; 60, "Senior")</f>
        <v>Young</v>
      </c>
      <c r="K824" s="8" t="str" cm="1">
        <f t="array" ref="K824">_xlfn.IFS(Table3[[#This Row],[Drug_Cost_GBP]] &gt; 1200, "High Cost", Table3[[#This Row],[Drug_Cost_GBP]] &lt; 1200, "Normal")</f>
        <v>Normal</v>
      </c>
      <c r="L824" s="8" t="str" cm="1">
        <f t="array" ref="L824">IFERROR(_xlfn.IFS(Table3[[#This Row],[Age (Years)]]  &gt; 75, "YES", Table3[[#This Row],[Age (Years)]] &lt; 75, "NO"), "UNKNOWN")</f>
        <v>NO</v>
      </c>
      <c r="M824" s="8" t="str">
        <f>IF(Table3[[#This Row],[Drug_Cost_GBP]] &gt; Analysis_Sheet!$B$21, "Above Average", "Within Average")</f>
        <v>Within Average</v>
      </c>
      <c r="N824" s="39" t="str">
        <f t="shared" si="12"/>
        <v>June 2024</v>
      </c>
    </row>
    <row r="825" spans="1:14" x14ac:dyDescent="0.3">
      <c r="A825" s="5" t="s">
        <v>173</v>
      </c>
      <c r="B825" s="18">
        <v>31</v>
      </c>
      <c r="C825" s="6" t="s">
        <v>899</v>
      </c>
      <c r="D825" s="6" t="s">
        <v>48</v>
      </c>
      <c r="E825" s="6" t="s">
        <v>23</v>
      </c>
      <c r="F825" s="7">
        <v>45469</v>
      </c>
      <c r="G825" s="6">
        <v>12</v>
      </c>
      <c r="H825" s="14">
        <v>1002.0675517241378</v>
      </c>
      <c r="I825" s="8" t="s">
        <v>12</v>
      </c>
      <c r="J825" s="8" t="str" cm="1">
        <f t="array" ref="J825">_xlfn.IFS(Table3[[#This Row],[Age (Years)]] &lt; 40, "Young", Table3[[#This Row],[Age (Years)]] &gt;= 40, "Middle", Table3[[#This Row],[Age (Years)]] &gt; 60, "Senior")</f>
        <v>Young</v>
      </c>
      <c r="K825" s="8" t="str" cm="1">
        <f t="array" ref="K825">_xlfn.IFS(Table3[[#This Row],[Drug_Cost_GBP]] &gt; 1200, "High Cost", Table3[[#This Row],[Drug_Cost_GBP]] &lt; 1200, "Normal")</f>
        <v>Normal</v>
      </c>
      <c r="L825" s="8" t="str" cm="1">
        <f t="array" ref="L825">IFERROR(_xlfn.IFS(Table3[[#This Row],[Age (Years)]]  &gt; 75, "YES", Table3[[#This Row],[Age (Years)]] &lt; 75, "NO"), "UNKNOWN")</f>
        <v>NO</v>
      </c>
      <c r="M825" s="8" t="str">
        <f>IF(Table3[[#This Row],[Drug_Cost_GBP]] &gt; Analysis_Sheet!$B$21, "Above Average", "Within Average")</f>
        <v>Within Average</v>
      </c>
      <c r="N825" s="39" t="str">
        <f t="shared" si="12"/>
        <v>June 2024</v>
      </c>
    </row>
    <row r="826" spans="1:14" x14ac:dyDescent="0.3">
      <c r="A826" s="5" t="s">
        <v>491</v>
      </c>
      <c r="B826" s="18">
        <v>31</v>
      </c>
      <c r="C826" s="6" t="s">
        <v>899</v>
      </c>
      <c r="D826" s="6" t="s">
        <v>14</v>
      </c>
      <c r="E826" s="6" t="s">
        <v>29</v>
      </c>
      <c r="F826" s="7">
        <v>45358</v>
      </c>
      <c r="G826" s="6">
        <v>12</v>
      </c>
      <c r="H826" s="14">
        <v>1002.0675517241378</v>
      </c>
      <c r="I826" s="8" t="s">
        <v>12</v>
      </c>
      <c r="J826" s="8" t="str" cm="1">
        <f t="array" ref="J826">_xlfn.IFS(Table3[[#This Row],[Age (Years)]] &lt; 40, "Young", Table3[[#This Row],[Age (Years)]] &gt;= 40, "Middle", Table3[[#This Row],[Age (Years)]] &gt; 60, "Senior")</f>
        <v>Young</v>
      </c>
      <c r="K826" s="8" t="str" cm="1">
        <f t="array" ref="K826">_xlfn.IFS(Table3[[#This Row],[Drug_Cost_GBP]] &gt; 1200, "High Cost", Table3[[#This Row],[Drug_Cost_GBP]] &lt; 1200, "Normal")</f>
        <v>Normal</v>
      </c>
      <c r="L826" s="8" t="str" cm="1">
        <f t="array" ref="L826">IFERROR(_xlfn.IFS(Table3[[#This Row],[Age (Years)]]  &gt; 75, "YES", Table3[[#This Row],[Age (Years)]] &lt; 75, "NO"), "UNKNOWN")</f>
        <v>NO</v>
      </c>
      <c r="M826" s="8" t="str">
        <f>IF(Table3[[#This Row],[Drug_Cost_GBP]] &gt; Analysis_Sheet!$B$21, "Above Average", "Within Average")</f>
        <v>Within Average</v>
      </c>
      <c r="N826" s="39" t="str">
        <f t="shared" si="12"/>
        <v>March 2024</v>
      </c>
    </row>
    <row r="827" spans="1:14" x14ac:dyDescent="0.3">
      <c r="A827" s="5" t="s">
        <v>647</v>
      </c>
      <c r="B827" s="18">
        <v>31</v>
      </c>
      <c r="C827" s="6" t="s">
        <v>899</v>
      </c>
      <c r="D827" s="6" t="s">
        <v>14</v>
      </c>
      <c r="E827" s="6" t="s">
        <v>29</v>
      </c>
      <c r="F827" s="7">
        <v>45508</v>
      </c>
      <c r="G827" s="6">
        <v>12</v>
      </c>
      <c r="H827" s="14">
        <v>1002.0675517241378</v>
      </c>
      <c r="I827" s="8" t="s">
        <v>900</v>
      </c>
      <c r="J827" s="8" t="str" cm="1">
        <f t="array" ref="J827">_xlfn.IFS(Table3[[#This Row],[Age (Years)]] &lt; 40, "Young", Table3[[#This Row],[Age (Years)]] &gt;= 40, "Middle", Table3[[#This Row],[Age (Years)]] &gt; 60, "Senior")</f>
        <v>Young</v>
      </c>
      <c r="K827" s="8" t="str" cm="1">
        <f t="array" ref="K827">_xlfn.IFS(Table3[[#This Row],[Drug_Cost_GBP]] &gt; 1200, "High Cost", Table3[[#This Row],[Drug_Cost_GBP]] &lt; 1200, "Normal")</f>
        <v>Normal</v>
      </c>
      <c r="L827" s="8" t="str" cm="1">
        <f t="array" ref="L827">IFERROR(_xlfn.IFS(Table3[[#This Row],[Age (Years)]]  &gt; 75, "YES", Table3[[#This Row],[Age (Years)]] &lt; 75, "NO"), "UNKNOWN")</f>
        <v>NO</v>
      </c>
      <c r="M827" s="8" t="str">
        <f>IF(Table3[[#This Row],[Drug_Cost_GBP]] &gt; Analysis_Sheet!$B$21, "Above Average", "Within Average")</f>
        <v>Within Average</v>
      </c>
      <c r="N827" s="39" t="str">
        <f t="shared" si="12"/>
        <v>August 2024</v>
      </c>
    </row>
    <row r="828" spans="1:14" x14ac:dyDescent="0.3">
      <c r="A828" s="1" t="s">
        <v>406</v>
      </c>
      <c r="B828" s="17">
        <v>30</v>
      </c>
      <c r="C828" s="2" t="s">
        <v>899</v>
      </c>
      <c r="D828" s="2" t="s">
        <v>51</v>
      </c>
      <c r="E828" s="2" t="s">
        <v>23</v>
      </c>
      <c r="F828" s="3" t="s">
        <v>900</v>
      </c>
      <c r="G828" s="2">
        <v>12</v>
      </c>
      <c r="H828" s="13">
        <v>1002.0675517241378</v>
      </c>
      <c r="I828" s="4" t="s">
        <v>26</v>
      </c>
      <c r="J828" s="8" t="str" cm="1">
        <f t="array" ref="J828">_xlfn.IFS(Table3[[#This Row],[Age (Years)]] &lt; 40, "Young", Table3[[#This Row],[Age (Years)]] &gt;= 40, "Middle", Table3[[#This Row],[Age (Years)]] &gt; 60, "Senior")</f>
        <v>Young</v>
      </c>
      <c r="K828" s="8" t="str" cm="1">
        <f t="array" ref="K828">_xlfn.IFS(Table3[[#This Row],[Drug_Cost_GBP]] &gt; 1200, "High Cost", Table3[[#This Row],[Drug_Cost_GBP]] &lt; 1200, "Normal")</f>
        <v>Normal</v>
      </c>
      <c r="L828" s="8" t="str" cm="1">
        <f t="array" ref="L828">IFERROR(_xlfn.IFS(Table3[[#This Row],[Age (Years)]]  &gt; 75, "YES", Table3[[#This Row],[Age (Years)]] &lt; 75, "NO"), "UNKNOWN")</f>
        <v>NO</v>
      </c>
      <c r="M828" s="8" t="str">
        <f>IF(Table3[[#This Row],[Drug_Cost_GBP]] &gt; Analysis_Sheet!$B$21, "Above Average", "Within Average")</f>
        <v>Within Average</v>
      </c>
      <c r="N828" s="39" t="str">
        <f t="shared" si="12"/>
        <v>Unknown</v>
      </c>
    </row>
    <row r="829" spans="1:14" x14ac:dyDescent="0.3">
      <c r="A829" s="1" t="s">
        <v>132</v>
      </c>
      <c r="B829" s="17">
        <v>29</v>
      </c>
      <c r="C829" s="2" t="s">
        <v>899</v>
      </c>
      <c r="D829" s="2" t="s">
        <v>51</v>
      </c>
      <c r="E829" s="2" t="s">
        <v>11</v>
      </c>
      <c r="F829" s="3">
        <v>45583</v>
      </c>
      <c r="G829" s="2">
        <v>10</v>
      </c>
      <c r="H829" s="13">
        <v>1002.0675517241378</v>
      </c>
      <c r="I829" s="4" t="s">
        <v>21</v>
      </c>
      <c r="J829" s="8" t="str" cm="1">
        <f t="array" ref="J829">_xlfn.IFS(Table3[[#This Row],[Age (Years)]] &lt; 40, "Young", Table3[[#This Row],[Age (Years)]] &gt;= 40, "Middle", Table3[[#This Row],[Age (Years)]] &gt; 60, "Senior")</f>
        <v>Young</v>
      </c>
      <c r="K829" s="8" t="str" cm="1">
        <f t="array" ref="K829">_xlfn.IFS(Table3[[#This Row],[Drug_Cost_GBP]] &gt; 1200, "High Cost", Table3[[#This Row],[Drug_Cost_GBP]] &lt; 1200, "Normal")</f>
        <v>Normal</v>
      </c>
      <c r="L829" s="8" t="str" cm="1">
        <f t="array" ref="L829">IFERROR(_xlfn.IFS(Table3[[#This Row],[Age (Years)]]  &gt; 75, "YES", Table3[[#This Row],[Age (Years)]] &lt; 75, "NO"), "UNKNOWN")</f>
        <v>NO</v>
      </c>
      <c r="M829" s="8" t="str">
        <f>IF(Table3[[#This Row],[Drug_Cost_GBP]] &gt; Analysis_Sheet!$B$21, "Above Average", "Within Average")</f>
        <v>Within Average</v>
      </c>
      <c r="N829" s="39" t="str">
        <f t="shared" si="12"/>
        <v>October 2024</v>
      </c>
    </row>
    <row r="830" spans="1:14" x14ac:dyDescent="0.3">
      <c r="A830" s="5" t="s">
        <v>481</v>
      </c>
      <c r="B830" s="18">
        <v>29</v>
      </c>
      <c r="C830" s="6" t="s">
        <v>899</v>
      </c>
      <c r="D830" s="6" t="s">
        <v>51</v>
      </c>
      <c r="E830" s="6" t="s">
        <v>11</v>
      </c>
      <c r="F830" s="7" t="s">
        <v>900</v>
      </c>
      <c r="G830" s="6">
        <v>12</v>
      </c>
      <c r="H830" s="14">
        <v>1002.0675517241378</v>
      </c>
      <c r="I830" s="8" t="s">
        <v>900</v>
      </c>
      <c r="J830" s="4" t="str" cm="1">
        <f t="array" ref="J830">_xlfn.IFS(Table3[[#This Row],[Age (Years)]] &lt; 40, "Young", Table3[[#This Row],[Age (Years)]] &gt;= 40, "Middle", Table3[[#This Row],[Age (Years)]] &gt; 60, "Senior")</f>
        <v>Young</v>
      </c>
      <c r="K830" s="4" t="str" cm="1">
        <f t="array" ref="K830">_xlfn.IFS(Table3[[#This Row],[Drug_Cost_GBP]] &gt; 1200, "High Cost", Table3[[#This Row],[Drug_Cost_GBP]] &lt; 1200, "Normal")</f>
        <v>Normal</v>
      </c>
      <c r="L830" s="4" t="str" cm="1">
        <f t="array" ref="L830">IFERROR(_xlfn.IFS(Table3[[#This Row],[Age (Years)]]  &gt; 75, "YES", Table3[[#This Row],[Age (Years)]] &lt; 75, "NO"), "UNKNOWN")</f>
        <v>NO</v>
      </c>
      <c r="M830" s="4" t="str">
        <f>IF(Table3[[#This Row],[Drug_Cost_GBP]] &gt; Analysis_Sheet!$B$21, "Above Average", "Within Average")</f>
        <v>Within Average</v>
      </c>
      <c r="N830" s="39" t="str">
        <f t="shared" si="12"/>
        <v>Unknown</v>
      </c>
    </row>
    <row r="831" spans="1:14" x14ac:dyDescent="0.3">
      <c r="A831" s="1" t="s">
        <v>612</v>
      </c>
      <c r="B831" s="17">
        <v>29</v>
      </c>
      <c r="C831" s="2" t="s">
        <v>900</v>
      </c>
      <c r="D831" s="2" t="s">
        <v>51</v>
      </c>
      <c r="E831" s="2" t="s">
        <v>57</v>
      </c>
      <c r="F831" s="3">
        <v>45300</v>
      </c>
      <c r="G831" s="2">
        <v>12</v>
      </c>
      <c r="H831" s="13">
        <v>1002.0675517241378</v>
      </c>
      <c r="I831" s="4" t="s">
        <v>26</v>
      </c>
      <c r="J831" s="8" t="str" cm="1">
        <f t="array" ref="J831">_xlfn.IFS(Table3[[#This Row],[Age (Years)]] &lt; 40, "Young", Table3[[#This Row],[Age (Years)]] &gt;= 40, "Middle", Table3[[#This Row],[Age (Years)]] &gt; 60, "Senior")</f>
        <v>Young</v>
      </c>
      <c r="K831" s="8" t="str" cm="1">
        <f t="array" ref="K831">_xlfn.IFS(Table3[[#This Row],[Drug_Cost_GBP]] &gt; 1200, "High Cost", Table3[[#This Row],[Drug_Cost_GBP]] &lt; 1200, "Normal")</f>
        <v>Normal</v>
      </c>
      <c r="L831" s="8" t="str" cm="1">
        <f t="array" ref="L831">IFERROR(_xlfn.IFS(Table3[[#This Row],[Age (Years)]]  &gt; 75, "YES", Table3[[#This Row],[Age (Years)]] &lt; 75, "NO"), "UNKNOWN")</f>
        <v>NO</v>
      </c>
      <c r="M831" s="8" t="str">
        <f>IF(Table3[[#This Row],[Drug_Cost_GBP]] &gt; Analysis_Sheet!$B$21, "Above Average", "Within Average")</f>
        <v>Within Average</v>
      </c>
      <c r="N831" s="39" t="str">
        <f t="shared" si="12"/>
        <v>January 2024</v>
      </c>
    </row>
    <row r="832" spans="1:14" x14ac:dyDescent="0.3">
      <c r="A832" s="5" t="s">
        <v>653</v>
      </c>
      <c r="B832" s="18">
        <v>29</v>
      </c>
      <c r="C832" s="6" t="s">
        <v>38</v>
      </c>
      <c r="D832" s="6" t="s">
        <v>48</v>
      </c>
      <c r="E832" s="6" t="s">
        <v>23</v>
      </c>
      <c r="F832" s="7">
        <v>45297</v>
      </c>
      <c r="G832" s="6">
        <v>15</v>
      </c>
      <c r="H832" s="14">
        <v>1002.0675517241378</v>
      </c>
      <c r="I832" s="8" t="s">
        <v>12</v>
      </c>
      <c r="J832" s="4" t="str" cm="1">
        <f t="array" ref="J832">_xlfn.IFS(Table3[[#This Row],[Age (Years)]] &lt; 40, "Young", Table3[[#This Row],[Age (Years)]] &gt;= 40, "Middle", Table3[[#This Row],[Age (Years)]] &gt; 60, "Senior")</f>
        <v>Young</v>
      </c>
      <c r="K832" s="4" t="str" cm="1">
        <f t="array" ref="K832">_xlfn.IFS(Table3[[#This Row],[Drug_Cost_GBP]] &gt; 1200, "High Cost", Table3[[#This Row],[Drug_Cost_GBP]] &lt; 1200, "Normal")</f>
        <v>Normal</v>
      </c>
      <c r="L832" s="4" t="str" cm="1">
        <f t="array" ref="L832">IFERROR(_xlfn.IFS(Table3[[#This Row],[Age (Years)]]  &gt; 75, "YES", Table3[[#This Row],[Age (Years)]] &lt; 75, "NO"), "UNKNOWN")</f>
        <v>NO</v>
      </c>
      <c r="M832" s="4" t="str">
        <f>IF(Table3[[#This Row],[Drug_Cost_GBP]] &gt; Analysis_Sheet!$B$21, "Above Average", "Within Average")</f>
        <v>Within Average</v>
      </c>
      <c r="N832" s="39" t="str">
        <f t="shared" si="12"/>
        <v>January 2024</v>
      </c>
    </row>
    <row r="833" spans="1:14" x14ac:dyDescent="0.3">
      <c r="A833" s="1" t="s">
        <v>680</v>
      </c>
      <c r="B833" s="17">
        <v>29</v>
      </c>
      <c r="C833" s="2" t="s">
        <v>899</v>
      </c>
      <c r="D833" s="2" t="s">
        <v>898</v>
      </c>
      <c r="E833" s="2" t="s">
        <v>29</v>
      </c>
      <c r="F833" s="3">
        <v>45572</v>
      </c>
      <c r="G833" s="2">
        <v>12</v>
      </c>
      <c r="H833" s="13">
        <v>1002.0675517241378</v>
      </c>
      <c r="I833" s="4" t="s">
        <v>21</v>
      </c>
      <c r="J833" s="4" t="str" cm="1">
        <f t="array" ref="J833">_xlfn.IFS(Table3[[#This Row],[Age (Years)]] &lt; 40, "Young", Table3[[#This Row],[Age (Years)]] &gt;= 40, "Middle", Table3[[#This Row],[Age (Years)]] &gt; 60, "Senior")</f>
        <v>Young</v>
      </c>
      <c r="K833" s="4" t="str" cm="1">
        <f t="array" ref="K833">_xlfn.IFS(Table3[[#This Row],[Drug_Cost_GBP]] &gt; 1200, "High Cost", Table3[[#This Row],[Drug_Cost_GBP]] &lt; 1200, "Normal")</f>
        <v>Normal</v>
      </c>
      <c r="L833" s="4" t="str" cm="1">
        <f t="array" ref="L833">IFERROR(_xlfn.IFS(Table3[[#This Row],[Age (Years)]]  &gt; 75, "YES", Table3[[#This Row],[Age (Years)]] &lt; 75, "NO"), "UNKNOWN")</f>
        <v>NO</v>
      </c>
      <c r="M833" s="4" t="str">
        <f>IF(Table3[[#This Row],[Drug_Cost_GBP]] &gt; Analysis_Sheet!$B$21, "Above Average", "Within Average")</f>
        <v>Within Average</v>
      </c>
      <c r="N833" s="39" t="str">
        <f t="shared" si="12"/>
        <v>October 2024</v>
      </c>
    </row>
    <row r="834" spans="1:14" x14ac:dyDescent="0.3">
      <c r="A834" s="1" t="s">
        <v>246</v>
      </c>
      <c r="B834" s="17">
        <v>28</v>
      </c>
      <c r="C834" s="2" t="s">
        <v>900</v>
      </c>
      <c r="D834" s="2" t="s">
        <v>19</v>
      </c>
      <c r="E834" s="2" t="s">
        <v>29</v>
      </c>
      <c r="F834" s="3">
        <v>45534</v>
      </c>
      <c r="G834" s="2">
        <v>12</v>
      </c>
      <c r="H834" s="13">
        <v>1002.0675517241378</v>
      </c>
      <c r="I834" s="4" t="s">
        <v>900</v>
      </c>
      <c r="J834" s="8" t="str" cm="1">
        <f t="array" ref="J834">_xlfn.IFS(Table3[[#This Row],[Age (Years)]] &lt; 40, "Young", Table3[[#This Row],[Age (Years)]] &gt;= 40, "Middle", Table3[[#This Row],[Age (Years)]] &gt; 60, "Senior")</f>
        <v>Young</v>
      </c>
      <c r="K834" s="8" t="str" cm="1">
        <f t="array" ref="K834">_xlfn.IFS(Table3[[#This Row],[Drug_Cost_GBP]] &gt; 1200, "High Cost", Table3[[#This Row],[Drug_Cost_GBP]] &lt; 1200, "Normal")</f>
        <v>Normal</v>
      </c>
      <c r="L834" s="8" t="str" cm="1">
        <f t="array" ref="L834">IFERROR(_xlfn.IFS(Table3[[#This Row],[Age (Years)]]  &gt; 75, "YES", Table3[[#This Row],[Age (Years)]] &lt; 75, "NO"), "UNKNOWN")</f>
        <v>NO</v>
      </c>
      <c r="M834" s="8" t="str">
        <f>IF(Table3[[#This Row],[Drug_Cost_GBP]] &gt; Analysis_Sheet!$B$21, "Above Average", "Within Average")</f>
        <v>Within Average</v>
      </c>
      <c r="N834" s="39" t="str">
        <f t="shared" si="12"/>
        <v>August 2024</v>
      </c>
    </row>
    <row r="835" spans="1:14" x14ac:dyDescent="0.3">
      <c r="A835" s="5" t="s">
        <v>483</v>
      </c>
      <c r="B835" s="18">
        <v>28</v>
      </c>
      <c r="C835" s="6" t="s">
        <v>38</v>
      </c>
      <c r="D835" s="6" t="s">
        <v>10</v>
      </c>
      <c r="E835" s="6" t="s">
        <v>43</v>
      </c>
      <c r="F835" s="7">
        <v>45326</v>
      </c>
      <c r="G835" s="6">
        <v>5</v>
      </c>
      <c r="H835" s="14">
        <v>1002.0675517241378</v>
      </c>
      <c r="I835" s="8" t="s">
        <v>21</v>
      </c>
      <c r="J835" s="4" t="str" cm="1">
        <f t="array" ref="J835">_xlfn.IFS(Table3[[#This Row],[Age (Years)]] &lt; 40, "Young", Table3[[#This Row],[Age (Years)]] &gt;= 40, "Middle", Table3[[#This Row],[Age (Years)]] &gt; 60, "Senior")</f>
        <v>Young</v>
      </c>
      <c r="K835" s="4" t="str" cm="1">
        <f t="array" ref="K835">_xlfn.IFS(Table3[[#This Row],[Drug_Cost_GBP]] &gt; 1200, "High Cost", Table3[[#This Row],[Drug_Cost_GBP]] &lt; 1200, "Normal")</f>
        <v>Normal</v>
      </c>
      <c r="L835" s="4" t="str" cm="1">
        <f t="array" ref="L835">IFERROR(_xlfn.IFS(Table3[[#This Row],[Age (Years)]]  &gt; 75, "YES", Table3[[#This Row],[Age (Years)]] &lt; 75, "NO"), "UNKNOWN")</f>
        <v>NO</v>
      </c>
      <c r="M835" s="4" t="str">
        <f>IF(Table3[[#This Row],[Drug_Cost_GBP]] &gt; Analysis_Sheet!$B$21, "Above Average", "Within Average")</f>
        <v>Within Average</v>
      </c>
      <c r="N835" s="39" t="str">
        <f t="shared" ref="N835:N865" si="13">IF(ISNUMBER(F835),TEXT(F835,"MMMM YYYY"),"Unknown")</f>
        <v>February 2024</v>
      </c>
    </row>
    <row r="836" spans="1:14" x14ac:dyDescent="0.3">
      <c r="A836" s="1" t="s">
        <v>640</v>
      </c>
      <c r="B836" s="17">
        <v>28</v>
      </c>
      <c r="C836" s="2" t="s">
        <v>38</v>
      </c>
      <c r="D836" s="2" t="s">
        <v>25</v>
      </c>
      <c r="E836" s="2" t="s">
        <v>23</v>
      </c>
      <c r="F836" s="3">
        <v>45350</v>
      </c>
      <c r="G836" s="2">
        <v>12</v>
      </c>
      <c r="H836" s="13">
        <v>1002.0675517241378</v>
      </c>
      <c r="I836" s="4" t="s">
        <v>16</v>
      </c>
      <c r="J836" s="8" t="str" cm="1">
        <f t="array" ref="J836">_xlfn.IFS(Table3[[#This Row],[Age (Years)]] &lt; 40, "Young", Table3[[#This Row],[Age (Years)]] &gt;= 40, "Middle", Table3[[#This Row],[Age (Years)]] &gt; 60, "Senior")</f>
        <v>Young</v>
      </c>
      <c r="K836" s="8" t="str" cm="1">
        <f t="array" ref="K836">_xlfn.IFS(Table3[[#This Row],[Drug_Cost_GBP]] &gt; 1200, "High Cost", Table3[[#This Row],[Drug_Cost_GBP]] &lt; 1200, "Normal")</f>
        <v>Normal</v>
      </c>
      <c r="L836" s="8" t="str" cm="1">
        <f t="array" ref="L836">IFERROR(_xlfn.IFS(Table3[[#This Row],[Age (Years)]]  &gt; 75, "YES", Table3[[#This Row],[Age (Years)]] &lt; 75, "NO"), "UNKNOWN")</f>
        <v>NO</v>
      </c>
      <c r="M836" s="8" t="str">
        <f>IF(Table3[[#This Row],[Drug_Cost_GBP]] &gt; Analysis_Sheet!$B$21, "Above Average", "Within Average")</f>
        <v>Within Average</v>
      </c>
      <c r="N836" s="39" t="str">
        <f t="shared" si="13"/>
        <v>February 2024</v>
      </c>
    </row>
    <row r="837" spans="1:14" x14ac:dyDescent="0.3">
      <c r="A837" s="5" t="s">
        <v>811</v>
      </c>
      <c r="B837" s="18">
        <v>28</v>
      </c>
      <c r="C837" s="6" t="s">
        <v>899</v>
      </c>
      <c r="D837" s="6" t="s">
        <v>900</v>
      </c>
      <c r="E837" s="6" t="s">
        <v>43</v>
      </c>
      <c r="F837" s="7">
        <v>45449</v>
      </c>
      <c r="G837" s="6">
        <v>12</v>
      </c>
      <c r="H837" s="14">
        <v>188.27</v>
      </c>
      <c r="I837" s="8" t="s">
        <v>26</v>
      </c>
      <c r="J837" s="8" t="str" cm="1">
        <f t="array" ref="J837">_xlfn.IFS(Table3[[#This Row],[Age (Years)]] &lt; 40, "Young", Table3[[#This Row],[Age (Years)]] &gt;= 40, "Middle", Table3[[#This Row],[Age (Years)]] &gt; 60, "Senior")</f>
        <v>Young</v>
      </c>
      <c r="K837" s="8" t="str" cm="1">
        <f t="array" ref="K837">_xlfn.IFS(Table3[[#This Row],[Drug_Cost_GBP]] &gt; 1200, "High Cost", Table3[[#This Row],[Drug_Cost_GBP]] &lt; 1200, "Normal")</f>
        <v>Normal</v>
      </c>
      <c r="L837" s="8" t="str" cm="1">
        <f t="array" ref="L837">IFERROR(_xlfn.IFS(Table3[[#This Row],[Age (Years)]]  &gt; 75, "YES", Table3[[#This Row],[Age (Years)]] &lt; 75, "NO"), "UNKNOWN")</f>
        <v>NO</v>
      </c>
      <c r="M837" s="8" t="str">
        <f>IF(Table3[[#This Row],[Drug_Cost_GBP]] &gt; Analysis_Sheet!$B$21, "Above Average", "Within Average")</f>
        <v>Within Average</v>
      </c>
      <c r="N837" s="39" t="str">
        <f t="shared" si="13"/>
        <v>June 2024</v>
      </c>
    </row>
    <row r="838" spans="1:14" x14ac:dyDescent="0.3">
      <c r="A838" s="5" t="s">
        <v>883</v>
      </c>
      <c r="B838" s="18">
        <v>28</v>
      </c>
      <c r="C838" s="6" t="s">
        <v>899</v>
      </c>
      <c r="D838" s="6" t="s">
        <v>14</v>
      </c>
      <c r="E838" s="6" t="s">
        <v>43</v>
      </c>
      <c r="F838" s="7">
        <v>45473</v>
      </c>
      <c r="G838" s="6">
        <v>18</v>
      </c>
      <c r="H838" s="14">
        <v>1002.0675517241378</v>
      </c>
      <c r="I838" s="8" t="s">
        <v>21</v>
      </c>
      <c r="J838" s="4" t="str" cm="1">
        <f t="array" ref="J838">_xlfn.IFS(Table3[[#This Row],[Age (Years)]] &lt; 40, "Young", Table3[[#This Row],[Age (Years)]] &gt;= 40, "Middle", Table3[[#This Row],[Age (Years)]] &gt; 60, "Senior")</f>
        <v>Young</v>
      </c>
      <c r="K838" s="4" t="str" cm="1">
        <f t="array" ref="K838">_xlfn.IFS(Table3[[#This Row],[Drug_Cost_GBP]] &gt; 1200, "High Cost", Table3[[#This Row],[Drug_Cost_GBP]] &lt; 1200, "Normal")</f>
        <v>Normal</v>
      </c>
      <c r="L838" s="4" t="str" cm="1">
        <f t="array" ref="L838">IFERROR(_xlfn.IFS(Table3[[#This Row],[Age (Years)]]  &gt; 75, "YES", Table3[[#This Row],[Age (Years)]] &lt; 75, "NO"), "UNKNOWN")</f>
        <v>NO</v>
      </c>
      <c r="M838" s="4" t="str">
        <f>IF(Table3[[#This Row],[Drug_Cost_GBP]] &gt; Analysis_Sheet!$B$21, "Above Average", "Within Average")</f>
        <v>Within Average</v>
      </c>
      <c r="N838" s="39" t="str">
        <f t="shared" si="13"/>
        <v>June 2024</v>
      </c>
    </row>
    <row r="839" spans="1:14" x14ac:dyDescent="0.3">
      <c r="A839" s="1" t="s">
        <v>280</v>
      </c>
      <c r="B839" s="17">
        <v>27</v>
      </c>
      <c r="C839" s="2" t="s">
        <v>900</v>
      </c>
      <c r="D839" s="2" t="s">
        <v>14</v>
      </c>
      <c r="E839" s="2" t="s">
        <v>29</v>
      </c>
      <c r="F839" s="3" t="s">
        <v>900</v>
      </c>
      <c r="G839" s="2">
        <v>12</v>
      </c>
      <c r="H839" s="13">
        <v>1002.0675517241378</v>
      </c>
      <c r="I839" s="4" t="s">
        <v>12</v>
      </c>
      <c r="J839" s="4" t="str" cm="1">
        <f t="array" ref="J839">_xlfn.IFS(Table3[[#This Row],[Age (Years)]] &lt; 40, "Young", Table3[[#This Row],[Age (Years)]] &gt;= 40, "Middle", Table3[[#This Row],[Age (Years)]] &gt; 60, "Senior")</f>
        <v>Young</v>
      </c>
      <c r="K839" s="4" t="str" cm="1">
        <f t="array" ref="K839">_xlfn.IFS(Table3[[#This Row],[Drug_Cost_GBP]] &gt; 1200, "High Cost", Table3[[#This Row],[Drug_Cost_GBP]] &lt; 1200, "Normal")</f>
        <v>Normal</v>
      </c>
      <c r="L839" s="4" t="str" cm="1">
        <f t="array" ref="L839">IFERROR(_xlfn.IFS(Table3[[#This Row],[Age (Years)]]  &gt; 75, "YES", Table3[[#This Row],[Age (Years)]] &lt; 75, "NO"), "UNKNOWN")</f>
        <v>NO</v>
      </c>
      <c r="M839" s="4" t="str">
        <f>IF(Table3[[#This Row],[Drug_Cost_GBP]] &gt; Analysis_Sheet!$B$21, "Above Average", "Within Average")</f>
        <v>Within Average</v>
      </c>
      <c r="N839" s="39" t="str">
        <f t="shared" si="13"/>
        <v>Unknown</v>
      </c>
    </row>
    <row r="840" spans="1:14" x14ac:dyDescent="0.3">
      <c r="A840" s="1" t="s">
        <v>588</v>
      </c>
      <c r="B840" s="17">
        <v>27</v>
      </c>
      <c r="C840" s="2" t="s">
        <v>38</v>
      </c>
      <c r="D840" s="2" t="s">
        <v>14</v>
      </c>
      <c r="E840" s="2" t="s">
        <v>11</v>
      </c>
      <c r="F840" s="3">
        <v>45612</v>
      </c>
      <c r="G840" s="2">
        <v>12</v>
      </c>
      <c r="H840" s="13">
        <v>1002.0675517241378</v>
      </c>
      <c r="I840" s="4" t="s">
        <v>16</v>
      </c>
      <c r="J840" s="4" t="str" cm="1">
        <f t="array" ref="J840">_xlfn.IFS(Table3[[#This Row],[Age (Years)]] &lt; 40, "Young", Table3[[#This Row],[Age (Years)]] &gt;= 40, "Middle", Table3[[#This Row],[Age (Years)]] &gt; 60, "Senior")</f>
        <v>Young</v>
      </c>
      <c r="K840" s="4" t="str" cm="1">
        <f t="array" ref="K840">_xlfn.IFS(Table3[[#This Row],[Drug_Cost_GBP]] &gt; 1200, "High Cost", Table3[[#This Row],[Drug_Cost_GBP]] &lt; 1200, "Normal")</f>
        <v>Normal</v>
      </c>
      <c r="L840" s="4" t="str" cm="1">
        <f t="array" ref="L840">IFERROR(_xlfn.IFS(Table3[[#This Row],[Age (Years)]]  &gt; 75, "YES", Table3[[#This Row],[Age (Years)]] &lt; 75, "NO"), "UNKNOWN")</f>
        <v>NO</v>
      </c>
      <c r="M840" s="4" t="str">
        <f>IF(Table3[[#This Row],[Drug_Cost_GBP]] &gt; Analysis_Sheet!$B$21, "Above Average", "Within Average")</f>
        <v>Within Average</v>
      </c>
      <c r="N840" s="39" t="str">
        <f t="shared" si="13"/>
        <v>November 2024</v>
      </c>
    </row>
    <row r="841" spans="1:14" x14ac:dyDescent="0.3">
      <c r="A841" s="1" t="s">
        <v>596</v>
      </c>
      <c r="B841" s="17">
        <v>27</v>
      </c>
      <c r="C841" s="2" t="s">
        <v>899</v>
      </c>
      <c r="D841" s="2" t="s">
        <v>898</v>
      </c>
      <c r="E841" s="2" t="s">
        <v>11</v>
      </c>
      <c r="F841" s="3">
        <v>45503</v>
      </c>
      <c r="G841" s="2">
        <v>12</v>
      </c>
      <c r="H841" s="13">
        <v>430.37</v>
      </c>
      <c r="I841" s="4" t="s">
        <v>26</v>
      </c>
      <c r="J841" s="4" t="str" cm="1">
        <f t="array" ref="J841">_xlfn.IFS(Table3[[#This Row],[Age (Years)]] &lt; 40, "Young", Table3[[#This Row],[Age (Years)]] &gt;= 40, "Middle", Table3[[#This Row],[Age (Years)]] &gt; 60, "Senior")</f>
        <v>Young</v>
      </c>
      <c r="K841" s="4" t="str" cm="1">
        <f t="array" ref="K841">_xlfn.IFS(Table3[[#This Row],[Drug_Cost_GBP]] &gt; 1200, "High Cost", Table3[[#This Row],[Drug_Cost_GBP]] &lt; 1200, "Normal")</f>
        <v>Normal</v>
      </c>
      <c r="L841" s="4" t="str" cm="1">
        <f t="array" ref="L841">IFERROR(_xlfn.IFS(Table3[[#This Row],[Age (Years)]]  &gt; 75, "YES", Table3[[#This Row],[Age (Years)]] &lt; 75, "NO"), "UNKNOWN")</f>
        <v>NO</v>
      </c>
      <c r="M841" s="4" t="str">
        <f>IF(Table3[[#This Row],[Drug_Cost_GBP]] &gt; Analysis_Sheet!$B$21, "Above Average", "Within Average")</f>
        <v>Within Average</v>
      </c>
      <c r="N841" s="39" t="str">
        <f t="shared" si="13"/>
        <v>July 2024</v>
      </c>
    </row>
    <row r="842" spans="1:14" x14ac:dyDescent="0.3">
      <c r="A842" s="1" t="s">
        <v>764</v>
      </c>
      <c r="B842" s="17">
        <v>27</v>
      </c>
      <c r="C842" s="2" t="s">
        <v>899</v>
      </c>
      <c r="D842" s="2" t="s">
        <v>898</v>
      </c>
      <c r="E842" s="2" t="s">
        <v>43</v>
      </c>
      <c r="F842" s="3">
        <v>45344</v>
      </c>
      <c r="G842" s="2">
        <v>12</v>
      </c>
      <c r="H842" s="13">
        <v>1201.01</v>
      </c>
      <c r="I842" s="4" t="s">
        <v>16</v>
      </c>
      <c r="J842" s="4" t="str" cm="1">
        <f t="array" ref="J842">_xlfn.IFS(Table3[[#This Row],[Age (Years)]] &lt; 40, "Young", Table3[[#This Row],[Age (Years)]] &gt;= 40, "Middle", Table3[[#This Row],[Age (Years)]] &gt; 60, "Senior")</f>
        <v>Young</v>
      </c>
      <c r="K842" s="4" t="str" cm="1">
        <f t="array" ref="K842">_xlfn.IFS(Table3[[#This Row],[Drug_Cost_GBP]] &gt; 1200, "High Cost", Table3[[#This Row],[Drug_Cost_GBP]] &lt; 1200, "Normal")</f>
        <v>High Cost</v>
      </c>
      <c r="L842" s="4" t="str" cm="1">
        <f t="array" ref="L842">IFERROR(_xlfn.IFS(Table3[[#This Row],[Age (Years)]]  &gt; 75, "YES", Table3[[#This Row],[Age (Years)]] &lt; 75, "NO"), "UNKNOWN")</f>
        <v>NO</v>
      </c>
      <c r="M842" s="4" t="str">
        <f>IF(Table3[[#This Row],[Drug_Cost_GBP]] &gt; Analysis_Sheet!$B$21, "Above Average", "Within Average")</f>
        <v>Above Average</v>
      </c>
      <c r="N842" s="39" t="str">
        <f t="shared" si="13"/>
        <v>February 2024</v>
      </c>
    </row>
    <row r="843" spans="1:14" x14ac:dyDescent="0.3">
      <c r="A843" s="1" t="s">
        <v>216</v>
      </c>
      <c r="B843" s="17">
        <v>26</v>
      </c>
      <c r="C843" s="2" t="s">
        <v>900</v>
      </c>
      <c r="D843" s="2" t="s">
        <v>14</v>
      </c>
      <c r="E843" s="2" t="s">
        <v>29</v>
      </c>
      <c r="F843" s="3">
        <v>45323</v>
      </c>
      <c r="G843" s="2">
        <v>12</v>
      </c>
      <c r="H843" s="13">
        <v>1002.0675517241378</v>
      </c>
      <c r="I843" s="4" t="s">
        <v>16</v>
      </c>
      <c r="J843" s="4" t="str" cm="1">
        <f t="array" ref="J843">_xlfn.IFS(Table3[[#This Row],[Age (Years)]] &lt; 40, "Young", Table3[[#This Row],[Age (Years)]] &gt;= 40, "Middle", Table3[[#This Row],[Age (Years)]] &gt; 60, "Senior")</f>
        <v>Young</v>
      </c>
      <c r="K843" s="4" t="str" cm="1">
        <f t="array" ref="K843">_xlfn.IFS(Table3[[#This Row],[Drug_Cost_GBP]] &gt; 1200, "High Cost", Table3[[#This Row],[Drug_Cost_GBP]] &lt; 1200, "Normal")</f>
        <v>Normal</v>
      </c>
      <c r="L843" s="4" t="str" cm="1">
        <f t="array" ref="L843">IFERROR(_xlfn.IFS(Table3[[#This Row],[Age (Years)]]  &gt; 75, "YES", Table3[[#This Row],[Age (Years)]] &lt; 75, "NO"), "UNKNOWN")</f>
        <v>NO</v>
      </c>
      <c r="M843" s="4" t="str">
        <f>IF(Table3[[#This Row],[Drug_Cost_GBP]] &gt; Analysis_Sheet!$B$21, "Above Average", "Within Average")</f>
        <v>Within Average</v>
      </c>
      <c r="N843" s="39" t="str">
        <f t="shared" si="13"/>
        <v>February 2024</v>
      </c>
    </row>
    <row r="844" spans="1:14" x14ac:dyDescent="0.3">
      <c r="A844" s="1" t="s">
        <v>278</v>
      </c>
      <c r="B844" s="17">
        <v>26</v>
      </c>
      <c r="C844" s="2" t="s">
        <v>38</v>
      </c>
      <c r="D844" s="2" t="s">
        <v>51</v>
      </c>
      <c r="E844" s="2" t="s">
        <v>23</v>
      </c>
      <c r="F844" s="3">
        <v>45471</v>
      </c>
      <c r="G844" s="2">
        <v>9</v>
      </c>
      <c r="H844" s="13">
        <v>1245.69</v>
      </c>
      <c r="I844" s="4" t="s">
        <v>16</v>
      </c>
      <c r="J844" s="4" t="str" cm="1">
        <f t="array" ref="J844">_xlfn.IFS(Table3[[#This Row],[Age (Years)]] &lt; 40, "Young", Table3[[#This Row],[Age (Years)]] &gt;= 40, "Middle", Table3[[#This Row],[Age (Years)]] &gt; 60, "Senior")</f>
        <v>Young</v>
      </c>
      <c r="K844" s="4" t="str" cm="1">
        <f t="array" ref="K844">_xlfn.IFS(Table3[[#This Row],[Drug_Cost_GBP]] &gt; 1200, "High Cost", Table3[[#This Row],[Drug_Cost_GBP]] &lt; 1200, "Normal")</f>
        <v>High Cost</v>
      </c>
      <c r="L844" s="4" t="str" cm="1">
        <f t="array" ref="L844">IFERROR(_xlfn.IFS(Table3[[#This Row],[Age (Years)]]  &gt; 75, "YES", Table3[[#This Row],[Age (Years)]] &lt; 75, "NO"), "UNKNOWN")</f>
        <v>NO</v>
      </c>
      <c r="M844" s="4" t="str">
        <f>IF(Table3[[#This Row],[Drug_Cost_GBP]] &gt; Analysis_Sheet!$B$21, "Above Average", "Within Average")</f>
        <v>Above Average</v>
      </c>
      <c r="N844" s="39" t="str">
        <f t="shared" si="13"/>
        <v>June 2024</v>
      </c>
    </row>
    <row r="845" spans="1:14" x14ac:dyDescent="0.3">
      <c r="A845" s="1" t="s">
        <v>344</v>
      </c>
      <c r="B845" s="17">
        <v>26</v>
      </c>
      <c r="C845" s="2" t="s">
        <v>38</v>
      </c>
      <c r="D845" s="2" t="s">
        <v>898</v>
      </c>
      <c r="E845" s="2" t="s">
        <v>23</v>
      </c>
      <c r="F845" s="3">
        <v>45415</v>
      </c>
      <c r="G845" s="2">
        <v>12</v>
      </c>
      <c r="H845" s="13">
        <v>1002.0675517241378</v>
      </c>
      <c r="I845" s="4" t="s">
        <v>16</v>
      </c>
      <c r="J845" s="8" t="str" cm="1">
        <f t="array" ref="J845">_xlfn.IFS(Table3[[#This Row],[Age (Years)]] &lt; 40, "Young", Table3[[#This Row],[Age (Years)]] &gt;= 40, "Middle", Table3[[#This Row],[Age (Years)]] &gt; 60, "Senior")</f>
        <v>Young</v>
      </c>
      <c r="K845" s="8" t="str" cm="1">
        <f t="array" ref="K845">_xlfn.IFS(Table3[[#This Row],[Drug_Cost_GBP]] &gt; 1200, "High Cost", Table3[[#This Row],[Drug_Cost_GBP]] &lt; 1200, "Normal")</f>
        <v>Normal</v>
      </c>
      <c r="L845" s="8" t="str" cm="1">
        <f t="array" ref="L845">IFERROR(_xlfn.IFS(Table3[[#This Row],[Age (Years)]]  &gt; 75, "YES", Table3[[#This Row],[Age (Years)]] &lt; 75, "NO"), "UNKNOWN")</f>
        <v>NO</v>
      </c>
      <c r="M845" s="8" t="str">
        <f>IF(Table3[[#This Row],[Drug_Cost_GBP]] &gt; Analysis_Sheet!$B$21, "Above Average", "Within Average")</f>
        <v>Within Average</v>
      </c>
      <c r="N845" s="39" t="str">
        <f t="shared" si="13"/>
        <v>May 2024</v>
      </c>
    </row>
    <row r="846" spans="1:14" x14ac:dyDescent="0.3">
      <c r="A846" s="5" t="s">
        <v>893</v>
      </c>
      <c r="B846" s="18">
        <v>26</v>
      </c>
      <c r="C846" s="6" t="s">
        <v>38</v>
      </c>
      <c r="D846" s="6" t="s">
        <v>14</v>
      </c>
      <c r="E846" s="6" t="s">
        <v>23</v>
      </c>
      <c r="F846" s="7">
        <v>45550</v>
      </c>
      <c r="G846" s="6">
        <v>12</v>
      </c>
      <c r="H846" s="14">
        <v>1002.0675517241378</v>
      </c>
      <c r="I846" s="8" t="s">
        <v>16</v>
      </c>
      <c r="J846" s="4" t="str" cm="1">
        <f t="array" ref="J846">_xlfn.IFS(Table3[[#This Row],[Age (Years)]] &lt; 40, "Young", Table3[[#This Row],[Age (Years)]] &gt;= 40, "Middle", Table3[[#This Row],[Age (Years)]] &gt; 60, "Senior")</f>
        <v>Young</v>
      </c>
      <c r="K846" s="4" t="str" cm="1">
        <f t="array" ref="K846">_xlfn.IFS(Table3[[#This Row],[Drug_Cost_GBP]] &gt; 1200, "High Cost", Table3[[#This Row],[Drug_Cost_GBP]] &lt; 1200, "Normal")</f>
        <v>Normal</v>
      </c>
      <c r="L846" s="4" t="str" cm="1">
        <f t="array" ref="L846">IFERROR(_xlfn.IFS(Table3[[#This Row],[Age (Years)]]  &gt; 75, "YES", Table3[[#This Row],[Age (Years)]] &lt; 75, "NO"), "UNKNOWN")</f>
        <v>NO</v>
      </c>
      <c r="M846" s="4" t="str">
        <f>IF(Table3[[#This Row],[Drug_Cost_GBP]] &gt; Analysis_Sheet!$B$21, "Above Average", "Within Average")</f>
        <v>Within Average</v>
      </c>
      <c r="N846" s="39" t="str">
        <f t="shared" si="13"/>
        <v>September 2024</v>
      </c>
    </row>
    <row r="847" spans="1:14" x14ac:dyDescent="0.3">
      <c r="A847" s="5" t="s">
        <v>175</v>
      </c>
      <c r="B847" s="18">
        <v>25</v>
      </c>
      <c r="C847" s="6" t="s">
        <v>900</v>
      </c>
      <c r="D847" s="6" t="s">
        <v>14</v>
      </c>
      <c r="E847" s="6" t="s">
        <v>23</v>
      </c>
      <c r="F847" s="7">
        <v>45621</v>
      </c>
      <c r="G847" s="6">
        <v>12</v>
      </c>
      <c r="H847" s="14">
        <v>1002.0675517241378</v>
      </c>
      <c r="I847" s="8" t="s">
        <v>26</v>
      </c>
      <c r="J847" s="8" t="str" cm="1">
        <f t="array" ref="J847">_xlfn.IFS(Table3[[#This Row],[Age (Years)]] &lt; 40, "Young", Table3[[#This Row],[Age (Years)]] &gt;= 40, "Middle", Table3[[#This Row],[Age (Years)]] &gt; 60, "Senior")</f>
        <v>Young</v>
      </c>
      <c r="K847" s="8" t="str" cm="1">
        <f t="array" ref="K847">_xlfn.IFS(Table3[[#This Row],[Drug_Cost_GBP]] &gt; 1200, "High Cost", Table3[[#This Row],[Drug_Cost_GBP]] &lt; 1200, "Normal")</f>
        <v>Normal</v>
      </c>
      <c r="L847" s="8" t="str" cm="1">
        <f t="array" ref="L847">IFERROR(_xlfn.IFS(Table3[[#This Row],[Age (Years)]]  &gt; 75, "YES", Table3[[#This Row],[Age (Years)]] &lt; 75, "NO"), "UNKNOWN")</f>
        <v>NO</v>
      </c>
      <c r="M847" s="8" t="str">
        <f>IF(Table3[[#This Row],[Drug_Cost_GBP]] &gt; Analysis_Sheet!$B$21, "Above Average", "Within Average")</f>
        <v>Within Average</v>
      </c>
      <c r="N847" s="39" t="str">
        <f t="shared" si="13"/>
        <v>November 2024</v>
      </c>
    </row>
    <row r="848" spans="1:14" x14ac:dyDescent="0.3">
      <c r="A848" s="5" t="s">
        <v>415</v>
      </c>
      <c r="B848" s="18">
        <v>25</v>
      </c>
      <c r="C848" s="6" t="s">
        <v>899</v>
      </c>
      <c r="D848" s="6" t="s">
        <v>51</v>
      </c>
      <c r="E848" s="6" t="s">
        <v>23</v>
      </c>
      <c r="F848" s="7">
        <v>45300</v>
      </c>
      <c r="G848" s="6">
        <v>11</v>
      </c>
      <c r="H848" s="14">
        <v>880.14</v>
      </c>
      <c r="I848" s="8" t="s">
        <v>16</v>
      </c>
      <c r="J848" s="4" t="str" cm="1">
        <f t="array" ref="J848">_xlfn.IFS(Table3[[#This Row],[Age (Years)]] &lt; 40, "Young", Table3[[#This Row],[Age (Years)]] &gt;= 40, "Middle", Table3[[#This Row],[Age (Years)]] &gt; 60, "Senior")</f>
        <v>Young</v>
      </c>
      <c r="K848" s="4" t="str" cm="1">
        <f t="array" ref="K848">_xlfn.IFS(Table3[[#This Row],[Drug_Cost_GBP]] &gt; 1200, "High Cost", Table3[[#This Row],[Drug_Cost_GBP]] &lt; 1200, "Normal")</f>
        <v>Normal</v>
      </c>
      <c r="L848" s="4" t="str" cm="1">
        <f t="array" ref="L848">IFERROR(_xlfn.IFS(Table3[[#This Row],[Age (Years)]]  &gt; 75, "YES", Table3[[#This Row],[Age (Years)]] &lt; 75, "NO"), "UNKNOWN")</f>
        <v>NO</v>
      </c>
      <c r="M848" s="4" t="str">
        <f>IF(Table3[[#This Row],[Drug_Cost_GBP]] &gt; Analysis_Sheet!$B$21, "Above Average", "Within Average")</f>
        <v>Within Average</v>
      </c>
      <c r="N848" s="39" t="str">
        <f t="shared" si="13"/>
        <v>January 2024</v>
      </c>
    </row>
    <row r="849" spans="1:14" x14ac:dyDescent="0.3">
      <c r="A849" s="1" t="s">
        <v>468</v>
      </c>
      <c r="B849" s="17">
        <v>25</v>
      </c>
      <c r="C849" s="2" t="s">
        <v>900</v>
      </c>
      <c r="D849" s="2" t="s">
        <v>14</v>
      </c>
      <c r="E849" s="2" t="s">
        <v>34</v>
      </c>
      <c r="F849" s="3">
        <v>45411</v>
      </c>
      <c r="G849" s="2">
        <v>12</v>
      </c>
      <c r="H849" s="13">
        <v>1002.0675517241378</v>
      </c>
      <c r="I849" s="4" t="s">
        <v>12</v>
      </c>
      <c r="J849" s="4" t="str" cm="1">
        <f t="array" ref="J849">_xlfn.IFS(Table3[[#This Row],[Age (Years)]] &lt; 40, "Young", Table3[[#This Row],[Age (Years)]] &gt;= 40, "Middle", Table3[[#This Row],[Age (Years)]] &gt; 60, "Senior")</f>
        <v>Young</v>
      </c>
      <c r="K849" s="4" t="str" cm="1">
        <f t="array" ref="K849">_xlfn.IFS(Table3[[#This Row],[Drug_Cost_GBP]] &gt; 1200, "High Cost", Table3[[#This Row],[Drug_Cost_GBP]] &lt; 1200, "Normal")</f>
        <v>Normal</v>
      </c>
      <c r="L849" s="4" t="str" cm="1">
        <f t="array" ref="L849">IFERROR(_xlfn.IFS(Table3[[#This Row],[Age (Years)]]  &gt; 75, "YES", Table3[[#This Row],[Age (Years)]] &lt; 75, "NO"), "UNKNOWN")</f>
        <v>NO</v>
      </c>
      <c r="M849" s="4" t="str">
        <f>IF(Table3[[#This Row],[Drug_Cost_GBP]] &gt; Analysis_Sheet!$B$21, "Above Average", "Within Average")</f>
        <v>Within Average</v>
      </c>
      <c r="N849" s="39" t="str">
        <f t="shared" si="13"/>
        <v>April 2024</v>
      </c>
    </row>
    <row r="850" spans="1:14" x14ac:dyDescent="0.3">
      <c r="A850" s="5" t="s">
        <v>103</v>
      </c>
      <c r="B850" s="18">
        <v>24</v>
      </c>
      <c r="C850" s="6" t="s">
        <v>899</v>
      </c>
      <c r="D850" s="6" t="s">
        <v>25</v>
      </c>
      <c r="E850" s="6" t="s">
        <v>23</v>
      </c>
      <c r="F850" s="7">
        <v>45496</v>
      </c>
      <c r="G850" s="6">
        <v>12</v>
      </c>
      <c r="H850" s="14">
        <v>1002.0675517241378</v>
      </c>
      <c r="I850" s="8" t="s">
        <v>12</v>
      </c>
      <c r="J850" s="4" t="str" cm="1">
        <f t="array" ref="J850">_xlfn.IFS(Table3[[#This Row],[Age (Years)]] &lt; 40, "Young", Table3[[#This Row],[Age (Years)]] &gt;= 40, "Middle", Table3[[#This Row],[Age (Years)]] &gt; 60, "Senior")</f>
        <v>Young</v>
      </c>
      <c r="K850" s="4" t="str" cm="1">
        <f t="array" ref="K850">_xlfn.IFS(Table3[[#This Row],[Drug_Cost_GBP]] &gt; 1200, "High Cost", Table3[[#This Row],[Drug_Cost_GBP]] &lt; 1200, "Normal")</f>
        <v>Normal</v>
      </c>
      <c r="L850" s="4" t="str" cm="1">
        <f t="array" ref="L850">IFERROR(_xlfn.IFS(Table3[[#This Row],[Age (Years)]]  &gt; 75, "YES", Table3[[#This Row],[Age (Years)]] &lt; 75, "NO"), "UNKNOWN")</f>
        <v>NO</v>
      </c>
      <c r="M850" s="4" t="str">
        <f>IF(Table3[[#This Row],[Drug_Cost_GBP]] &gt; Analysis_Sheet!$B$21, "Above Average", "Within Average")</f>
        <v>Within Average</v>
      </c>
      <c r="N850" s="39" t="str">
        <f t="shared" si="13"/>
        <v>July 2024</v>
      </c>
    </row>
    <row r="851" spans="1:14" x14ac:dyDescent="0.3">
      <c r="A851" s="1" t="s">
        <v>720</v>
      </c>
      <c r="B851" s="17">
        <v>24</v>
      </c>
      <c r="C851" s="2" t="s">
        <v>38</v>
      </c>
      <c r="D851" s="2" t="s">
        <v>25</v>
      </c>
      <c r="E851" s="2" t="s">
        <v>43</v>
      </c>
      <c r="F851" s="3">
        <v>45618</v>
      </c>
      <c r="G851" s="2">
        <v>12</v>
      </c>
      <c r="H851" s="13">
        <v>1651.85</v>
      </c>
      <c r="I851" s="4" t="s">
        <v>12</v>
      </c>
      <c r="J851" s="8" t="str" cm="1">
        <f t="array" ref="J851">_xlfn.IFS(Table3[[#This Row],[Age (Years)]] &lt; 40, "Young", Table3[[#This Row],[Age (Years)]] &gt;= 40, "Middle", Table3[[#This Row],[Age (Years)]] &gt; 60, "Senior")</f>
        <v>Young</v>
      </c>
      <c r="K851" s="8" t="str" cm="1">
        <f t="array" ref="K851">_xlfn.IFS(Table3[[#This Row],[Drug_Cost_GBP]] &gt; 1200, "High Cost", Table3[[#This Row],[Drug_Cost_GBP]] &lt; 1200, "Normal")</f>
        <v>High Cost</v>
      </c>
      <c r="L851" s="8" t="str" cm="1">
        <f t="array" ref="L851">IFERROR(_xlfn.IFS(Table3[[#This Row],[Age (Years)]]  &gt; 75, "YES", Table3[[#This Row],[Age (Years)]] &lt; 75, "NO"), "UNKNOWN")</f>
        <v>NO</v>
      </c>
      <c r="M851" s="8" t="str">
        <f>IF(Table3[[#This Row],[Drug_Cost_GBP]] &gt; Analysis_Sheet!$B$21, "Above Average", "Within Average")</f>
        <v>Above Average</v>
      </c>
      <c r="N851" s="39" t="str">
        <f t="shared" si="13"/>
        <v>November 2024</v>
      </c>
    </row>
    <row r="852" spans="1:14" x14ac:dyDescent="0.3">
      <c r="A852" s="1" t="s">
        <v>678</v>
      </c>
      <c r="B852" s="17">
        <v>23</v>
      </c>
      <c r="C852" s="2" t="s">
        <v>38</v>
      </c>
      <c r="D852" s="2" t="s">
        <v>14</v>
      </c>
      <c r="E852" s="2" t="s">
        <v>57</v>
      </c>
      <c r="F852" s="3">
        <v>45569</v>
      </c>
      <c r="G852" s="2">
        <v>3</v>
      </c>
      <c r="H852" s="13">
        <v>1002.0675517241378</v>
      </c>
      <c r="I852" s="4" t="s">
        <v>26</v>
      </c>
      <c r="J852" s="4" t="str" cm="1">
        <f t="array" ref="J852">_xlfn.IFS(Table3[[#This Row],[Age (Years)]] &lt; 40, "Young", Table3[[#This Row],[Age (Years)]] &gt;= 40, "Middle", Table3[[#This Row],[Age (Years)]] &gt; 60, "Senior")</f>
        <v>Young</v>
      </c>
      <c r="K852" s="4" t="str" cm="1">
        <f t="array" ref="K852">_xlfn.IFS(Table3[[#This Row],[Drug_Cost_GBP]] &gt; 1200, "High Cost", Table3[[#This Row],[Drug_Cost_GBP]] &lt; 1200, "Normal")</f>
        <v>Normal</v>
      </c>
      <c r="L852" s="4" t="str" cm="1">
        <f t="array" ref="L852">IFERROR(_xlfn.IFS(Table3[[#This Row],[Age (Years)]]  &gt; 75, "YES", Table3[[#This Row],[Age (Years)]] &lt; 75, "NO"), "UNKNOWN")</f>
        <v>NO</v>
      </c>
      <c r="M852" s="4" t="str">
        <f>IF(Table3[[#This Row],[Drug_Cost_GBP]] &gt; Analysis_Sheet!$B$21, "Above Average", "Within Average")</f>
        <v>Within Average</v>
      </c>
      <c r="N852" s="39" t="str">
        <f t="shared" si="13"/>
        <v>October 2024</v>
      </c>
    </row>
    <row r="853" spans="1:14" x14ac:dyDescent="0.3">
      <c r="A853" s="1" t="s">
        <v>810</v>
      </c>
      <c r="B853" s="17">
        <v>23</v>
      </c>
      <c r="C853" s="2" t="s">
        <v>38</v>
      </c>
      <c r="D853" s="2" t="s">
        <v>25</v>
      </c>
      <c r="E853" s="2" t="s">
        <v>57</v>
      </c>
      <c r="F853" s="3">
        <v>45425</v>
      </c>
      <c r="G853" s="2">
        <v>12</v>
      </c>
      <c r="H853" s="13">
        <v>1002.0675517241378</v>
      </c>
      <c r="I853" s="4" t="s">
        <v>12</v>
      </c>
      <c r="J853" s="8" t="str" cm="1">
        <f t="array" ref="J853">_xlfn.IFS(Table3[[#This Row],[Age (Years)]] &lt; 40, "Young", Table3[[#This Row],[Age (Years)]] &gt;= 40, "Middle", Table3[[#This Row],[Age (Years)]] &gt; 60, "Senior")</f>
        <v>Young</v>
      </c>
      <c r="K853" s="8" t="str" cm="1">
        <f t="array" ref="K853">_xlfn.IFS(Table3[[#This Row],[Drug_Cost_GBP]] &gt; 1200, "High Cost", Table3[[#This Row],[Drug_Cost_GBP]] &lt; 1200, "Normal")</f>
        <v>Normal</v>
      </c>
      <c r="L853" s="8" t="str" cm="1">
        <f t="array" ref="L853">IFERROR(_xlfn.IFS(Table3[[#This Row],[Age (Years)]]  &gt; 75, "YES", Table3[[#This Row],[Age (Years)]] &lt; 75, "NO"), "UNKNOWN")</f>
        <v>NO</v>
      </c>
      <c r="M853" s="8" t="str">
        <f>IF(Table3[[#This Row],[Drug_Cost_GBP]] &gt; Analysis_Sheet!$B$21, "Above Average", "Within Average")</f>
        <v>Within Average</v>
      </c>
      <c r="N853" s="39" t="str">
        <f t="shared" si="13"/>
        <v>May 2024</v>
      </c>
    </row>
    <row r="854" spans="1:14" x14ac:dyDescent="0.3">
      <c r="A854" s="1" t="s">
        <v>244</v>
      </c>
      <c r="B854" s="17">
        <v>22</v>
      </c>
      <c r="C854" s="2" t="s">
        <v>38</v>
      </c>
      <c r="D854" s="2" t="s">
        <v>19</v>
      </c>
      <c r="E854" s="2" t="s">
        <v>57</v>
      </c>
      <c r="F854" s="3">
        <v>45325</v>
      </c>
      <c r="G854" s="2">
        <v>18</v>
      </c>
      <c r="H854" s="13">
        <v>1002.0675517241378</v>
      </c>
      <c r="I854" s="4" t="s">
        <v>12</v>
      </c>
      <c r="J854" s="8" t="str" cm="1">
        <f t="array" ref="J854">_xlfn.IFS(Table3[[#This Row],[Age (Years)]] &lt; 40, "Young", Table3[[#This Row],[Age (Years)]] &gt;= 40, "Middle", Table3[[#This Row],[Age (Years)]] &gt; 60, "Senior")</f>
        <v>Young</v>
      </c>
      <c r="K854" s="8" t="str" cm="1">
        <f t="array" ref="K854">_xlfn.IFS(Table3[[#This Row],[Drug_Cost_GBP]] &gt; 1200, "High Cost", Table3[[#This Row],[Drug_Cost_GBP]] &lt; 1200, "Normal")</f>
        <v>Normal</v>
      </c>
      <c r="L854" s="8" t="str" cm="1">
        <f t="array" ref="L854">IFERROR(_xlfn.IFS(Table3[[#This Row],[Age (Years)]]  &gt; 75, "YES", Table3[[#This Row],[Age (Years)]] &lt; 75, "NO"), "UNKNOWN")</f>
        <v>NO</v>
      </c>
      <c r="M854" s="8" t="str">
        <f>IF(Table3[[#This Row],[Drug_Cost_GBP]] &gt; Analysis_Sheet!$B$21, "Above Average", "Within Average")</f>
        <v>Within Average</v>
      </c>
      <c r="N854" s="39" t="str">
        <f t="shared" si="13"/>
        <v>February 2024</v>
      </c>
    </row>
    <row r="855" spans="1:14" x14ac:dyDescent="0.3">
      <c r="A855" s="5" t="s">
        <v>251</v>
      </c>
      <c r="B855" s="18">
        <v>22</v>
      </c>
      <c r="C855" s="6" t="s">
        <v>38</v>
      </c>
      <c r="D855" s="6" t="s">
        <v>10</v>
      </c>
      <c r="E855" s="6" t="s">
        <v>29</v>
      </c>
      <c r="F855" s="7">
        <v>45423</v>
      </c>
      <c r="G855" s="6">
        <v>12</v>
      </c>
      <c r="H855" s="14">
        <v>1002.0675517241378</v>
      </c>
      <c r="I855" s="8" t="s">
        <v>900</v>
      </c>
      <c r="J855" s="4" t="str" cm="1">
        <f t="array" ref="J855">_xlfn.IFS(Table3[[#This Row],[Age (Years)]] &lt; 40, "Young", Table3[[#This Row],[Age (Years)]] &gt;= 40, "Middle", Table3[[#This Row],[Age (Years)]] &gt; 60, "Senior")</f>
        <v>Young</v>
      </c>
      <c r="K855" s="4" t="str" cm="1">
        <f t="array" ref="K855">_xlfn.IFS(Table3[[#This Row],[Drug_Cost_GBP]] &gt; 1200, "High Cost", Table3[[#This Row],[Drug_Cost_GBP]] &lt; 1200, "Normal")</f>
        <v>Normal</v>
      </c>
      <c r="L855" s="4" t="str" cm="1">
        <f t="array" ref="L855">IFERROR(_xlfn.IFS(Table3[[#This Row],[Age (Years)]]  &gt; 75, "YES", Table3[[#This Row],[Age (Years)]] &lt; 75, "NO"), "UNKNOWN")</f>
        <v>NO</v>
      </c>
      <c r="M855" s="4" t="str">
        <f>IF(Table3[[#This Row],[Drug_Cost_GBP]] &gt; Analysis_Sheet!$B$21, "Above Average", "Within Average")</f>
        <v>Within Average</v>
      </c>
      <c r="N855" s="39" t="str">
        <f t="shared" si="13"/>
        <v>May 2024</v>
      </c>
    </row>
    <row r="856" spans="1:14" x14ac:dyDescent="0.3">
      <c r="A856" s="1" t="s">
        <v>308</v>
      </c>
      <c r="B856" s="17">
        <v>22</v>
      </c>
      <c r="C856" s="2" t="s">
        <v>899</v>
      </c>
      <c r="D856" s="2" t="s">
        <v>48</v>
      </c>
      <c r="E856" s="2" t="s">
        <v>23</v>
      </c>
      <c r="F856" s="3">
        <v>45553</v>
      </c>
      <c r="G856" s="2">
        <v>12</v>
      </c>
      <c r="H856" s="13">
        <v>1002.0675517241378</v>
      </c>
      <c r="I856" s="4" t="s">
        <v>26</v>
      </c>
      <c r="J856" s="8" t="str" cm="1">
        <f t="array" ref="J856">_xlfn.IFS(Table3[[#This Row],[Age (Years)]] &lt; 40, "Young", Table3[[#This Row],[Age (Years)]] &gt;= 40, "Middle", Table3[[#This Row],[Age (Years)]] &gt; 60, "Senior")</f>
        <v>Young</v>
      </c>
      <c r="K856" s="8" t="str" cm="1">
        <f t="array" ref="K856">_xlfn.IFS(Table3[[#This Row],[Drug_Cost_GBP]] &gt; 1200, "High Cost", Table3[[#This Row],[Drug_Cost_GBP]] &lt; 1200, "Normal")</f>
        <v>Normal</v>
      </c>
      <c r="L856" s="8" t="str" cm="1">
        <f t="array" ref="L856">IFERROR(_xlfn.IFS(Table3[[#This Row],[Age (Years)]]  &gt; 75, "YES", Table3[[#This Row],[Age (Years)]] &lt; 75, "NO"), "UNKNOWN")</f>
        <v>NO</v>
      </c>
      <c r="M856" s="8" t="str">
        <f>IF(Table3[[#This Row],[Drug_Cost_GBP]] &gt; Analysis_Sheet!$B$21, "Above Average", "Within Average")</f>
        <v>Within Average</v>
      </c>
      <c r="N856" s="39" t="str">
        <f t="shared" si="13"/>
        <v>September 2024</v>
      </c>
    </row>
    <row r="857" spans="1:14" x14ac:dyDescent="0.3">
      <c r="A857" s="5" t="s">
        <v>627</v>
      </c>
      <c r="B857" s="18">
        <v>22</v>
      </c>
      <c r="C857" s="6" t="s">
        <v>38</v>
      </c>
      <c r="D857" s="6" t="s">
        <v>900</v>
      </c>
      <c r="E857" s="6" t="s">
        <v>11</v>
      </c>
      <c r="F857" s="7" t="s">
        <v>900</v>
      </c>
      <c r="G857" s="6">
        <v>12</v>
      </c>
      <c r="H857" s="14">
        <v>1002.0675517241378</v>
      </c>
      <c r="I857" s="8" t="s">
        <v>12</v>
      </c>
      <c r="J857" s="8" t="str" cm="1">
        <f t="array" ref="J857">_xlfn.IFS(Table3[[#This Row],[Age (Years)]] &lt; 40, "Young", Table3[[#This Row],[Age (Years)]] &gt;= 40, "Middle", Table3[[#This Row],[Age (Years)]] &gt; 60, "Senior")</f>
        <v>Young</v>
      </c>
      <c r="K857" s="8" t="str" cm="1">
        <f t="array" ref="K857">_xlfn.IFS(Table3[[#This Row],[Drug_Cost_GBP]] &gt; 1200, "High Cost", Table3[[#This Row],[Drug_Cost_GBP]] &lt; 1200, "Normal")</f>
        <v>Normal</v>
      </c>
      <c r="L857" s="8" t="str" cm="1">
        <f t="array" ref="L857">IFERROR(_xlfn.IFS(Table3[[#This Row],[Age (Years)]]  &gt; 75, "YES", Table3[[#This Row],[Age (Years)]] &lt; 75, "NO"), "UNKNOWN")</f>
        <v>NO</v>
      </c>
      <c r="M857" s="8" t="str">
        <f>IF(Table3[[#This Row],[Drug_Cost_GBP]] &gt; Analysis_Sheet!$B$21, "Above Average", "Within Average")</f>
        <v>Within Average</v>
      </c>
      <c r="N857" s="39" t="str">
        <f t="shared" si="13"/>
        <v>Unknown</v>
      </c>
    </row>
    <row r="858" spans="1:14" x14ac:dyDescent="0.3">
      <c r="A858" s="5" t="s">
        <v>629</v>
      </c>
      <c r="B858" s="18">
        <v>22</v>
      </c>
      <c r="C858" s="6" t="s">
        <v>899</v>
      </c>
      <c r="D858" s="6" t="s">
        <v>14</v>
      </c>
      <c r="E858" s="6" t="s">
        <v>34</v>
      </c>
      <c r="F858" s="7">
        <v>45637</v>
      </c>
      <c r="G858" s="6">
        <v>4</v>
      </c>
      <c r="H858" s="14">
        <v>1002.0675517241378</v>
      </c>
      <c r="I858" s="8" t="s">
        <v>12</v>
      </c>
      <c r="J858" s="4" t="str" cm="1">
        <f t="array" ref="J858">_xlfn.IFS(Table3[[#This Row],[Age (Years)]] &lt; 40, "Young", Table3[[#This Row],[Age (Years)]] &gt;= 40, "Middle", Table3[[#This Row],[Age (Years)]] &gt; 60, "Senior")</f>
        <v>Young</v>
      </c>
      <c r="K858" s="4" t="str" cm="1">
        <f t="array" ref="K858">_xlfn.IFS(Table3[[#This Row],[Drug_Cost_GBP]] &gt; 1200, "High Cost", Table3[[#This Row],[Drug_Cost_GBP]] &lt; 1200, "Normal")</f>
        <v>Normal</v>
      </c>
      <c r="L858" s="4" t="str" cm="1">
        <f t="array" ref="L858">IFERROR(_xlfn.IFS(Table3[[#This Row],[Age (Years)]]  &gt; 75, "YES", Table3[[#This Row],[Age (Years)]] &lt; 75, "NO"), "UNKNOWN")</f>
        <v>NO</v>
      </c>
      <c r="M858" s="4" t="str">
        <f>IF(Table3[[#This Row],[Drug_Cost_GBP]] &gt; Analysis_Sheet!$B$21, "Above Average", "Within Average")</f>
        <v>Within Average</v>
      </c>
      <c r="N858" s="39" t="str">
        <f t="shared" si="13"/>
        <v>December 2024</v>
      </c>
    </row>
    <row r="859" spans="1:14" x14ac:dyDescent="0.3">
      <c r="A859" s="5" t="s">
        <v>789</v>
      </c>
      <c r="B859" s="18">
        <v>21</v>
      </c>
      <c r="C859" s="6" t="s">
        <v>38</v>
      </c>
      <c r="D859" s="6" t="s">
        <v>14</v>
      </c>
      <c r="E859" s="6" t="s">
        <v>11</v>
      </c>
      <c r="F859" s="7" t="s">
        <v>900</v>
      </c>
      <c r="G859" s="6">
        <v>12</v>
      </c>
      <c r="H859" s="14">
        <v>1121.5</v>
      </c>
      <c r="I859" s="8" t="s">
        <v>16</v>
      </c>
      <c r="J859" s="8" t="str" cm="1">
        <f t="array" ref="J859">_xlfn.IFS(Table3[[#This Row],[Age (Years)]] &lt; 40, "Young", Table3[[#This Row],[Age (Years)]] &gt;= 40, "Middle", Table3[[#This Row],[Age (Years)]] &gt; 60, "Senior")</f>
        <v>Young</v>
      </c>
      <c r="K859" s="8" t="str" cm="1">
        <f t="array" ref="K859">_xlfn.IFS(Table3[[#This Row],[Drug_Cost_GBP]] &gt; 1200, "High Cost", Table3[[#This Row],[Drug_Cost_GBP]] &lt; 1200, "Normal")</f>
        <v>Normal</v>
      </c>
      <c r="L859" s="8" t="str" cm="1">
        <f t="array" ref="L859">IFERROR(_xlfn.IFS(Table3[[#This Row],[Age (Years)]]  &gt; 75, "YES", Table3[[#This Row],[Age (Years)]] &lt; 75, "NO"), "UNKNOWN")</f>
        <v>NO</v>
      </c>
      <c r="M859" s="8" t="str">
        <f>IF(Table3[[#This Row],[Drug_Cost_GBP]] &gt; Analysis_Sheet!$B$21, "Above Average", "Within Average")</f>
        <v>Above Average</v>
      </c>
      <c r="N859" s="39" t="str">
        <f t="shared" si="13"/>
        <v>Unknown</v>
      </c>
    </row>
    <row r="860" spans="1:14" x14ac:dyDescent="0.3">
      <c r="A860" s="5" t="s">
        <v>879</v>
      </c>
      <c r="B860" s="18">
        <v>21</v>
      </c>
      <c r="C860" s="6" t="s">
        <v>38</v>
      </c>
      <c r="D860" s="6" t="s">
        <v>48</v>
      </c>
      <c r="E860" s="6" t="s">
        <v>23</v>
      </c>
      <c r="F860" s="7">
        <v>45414</v>
      </c>
      <c r="G860" s="6">
        <v>8</v>
      </c>
      <c r="H860" s="14">
        <v>335.92</v>
      </c>
      <c r="I860" s="8" t="s">
        <v>21</v>
      </c>
      <c r="J860" s="4" t="str" cm="1">
        <f t="array" ref="J860">_xlfn.IFS(Table3[[#This Row],[Age (Years)]] &lt; 40, "Young", Table3[[#This Row],[Age (Years)]] &gt;= 40, "Middle", Table3[[#This Row],[Age (Years)]] &gt; 60, "Senior")</f>
        <v>Young</v>
      </c>
      <c r="K860" s="4" t="str" cm="1">
        <f t="array" ref="K860">_xlfn.IFS(Table3[[#This Row],[Drug_Cost_GBP]] &gt; 1200, "High Cost", Table3[[#This Row],[Drug_Cost_GBP]] &lt; 1200, "Normal")</f>
        <v>Normal</v>
      </c>
      <c r="L860" s="4" t="str" cm="1">
        <f t="array" ref="L860">IFERROR(_xlfn.IFS(Table3[[#This Row],[Age (Years)]]  &gt; 75, "YES", Table3[[#This Row],[Age (Years)]] &lt; 75, "NO"), "UNKNOWN")</f>
        <v>NO</v>
      </c>
      <c r="M860" s="4" t="str">
        <f>IF(Table3[[#This Row],[Drug_Cost_GBP]] &gt; Analysis_Sheet!$B$21, "Above Average", "Within Average")</f>
        <v>Within Average</v>
      </c>
      <c r="N860" s="39" t="str">
        <f t="shared" si="13"/>
        <v>May 2024</v>
      </c>
    </row>
    <row r="861" spans="1:14" x14ac:dyDescent="0.3">
      <c r="A861" s="5" t="s">
        <v>429</v>
      </c>
      <c r="B861" s="18">
        <v>20</v>
      </c>
      <c r="C861" s="6" t="s">
        <v>900</v>
      </c>
      <c r="D861" s="6" t="s">
        <v>14</v>
      </c>
      <c r="E861" s="6" t="s">
        <v>43</v>
      </c>
      <c r="F861" s="7">
        <v>45598</v>
      </c>
      <c r="G861" s="6">
        <v>12</v>
      </c>
      <c r="H861" s="14">
        <v>1002.0675517241378</v>
      </c>
      <c r="I861" s="8" t="s">
        <v>12</v>
      </c>
      <c r="J861" s="8" t="str" cm="1">
        <f t="array" ref="J861">_xlfn.IFS(Table3[[#This Row],[Age (Years)]] &lt; 40, "Young", Table3[[#This Row],[Age (Years)]] &gt;= 40, "Middle", Table3[[#This Row],[Age (Years)]] &gt; 60, "Senior")</f>
        <v>Young</v>
      </c>
      <c r="K861" s="8" t="str" cm="1">
        <f t="array" ref="K861">_xlfn.IFS(Table3[[#This Row],[Drug_Cost_GBP]] &gt; 1200, "High Cost", Table3[[#This Row],[Drug_Cost_GBP]] &lt; 1200, "Normal")</f>
        <v>Normal</v>
      </c>
      <c r="L861" s="8" t="str" cm="1">
        <f t="array" ref="L861">IFERROR(_xlfn.IFS(Table3[[#This Row],[Age (Years)]]  &gt; 75, "YES", Table3[[#This Row],[Age (Years)]] &lt; 75, "NO"), "UNKNOWN")</f>
        <v>NO</v>
      </c>
      <c r="M861" s="8" t="str">
        <f>IF(Table3[[#This Row],[Drug_Cost_GBP]] &gt; Analysis_Sheet!$B$21, "Above Average", "Within Average")</f>
        <v>Within Average</v>
      </c>
      <c r="N861" s="39" t="str">
        <f t="shared" si="13"/>
        <v>November 2024</v>
      </c>
    </row>
    <row r="862" spans="1:14" x14ac:dyDescent="0.3">
      <c r="A862" s="5" t="s">
        <v>271</v>
      </c>
      <c r="B862" s="18">
        <v>19</v>
      </c>
      <c r="C862" s="6" t="s">
        <v>38</v>
      </c>
      <c r="D862" s="6" t="s">
        <v>900</v>
      </c>
      <c r="E862" s="6" t="s">
        <v>23</v>
      </c>
      <c r="F862" s="7">
        <v>45301</v>
      </c>
      <c r="G862" s="6">
        <v>12</v>
      </c>
      <c r="H862" s="14">
        <v>1002.0675517241378</v>
      </c>
      <c r="I862" s="8" t="s">
        <v>16</v>
      </c>
      <c r="J862" s="4" t="str" cm="1">
        <f t="array" ref="J862">_xlfn.IFS(Table3[[#This Row],[Age (Years)]] &lt; 40, "Young", Table3[[#This Row],[Age (Years)]] &gt;= 40, "Middle", Table3[[#This Row],[Age (Years)]] &gt; 60, "Senior")</f>
        <v>Young</v>
      </c>
      <c r="K862" s="4" t="str" cm="1">
        <f t="array" ref="K862">_xlfn.IFS(Table3[[#This Row],[Drug_Cost_GBP]] &gt; 1200, "High Cost", Table3[[#This Row],[Drug_Cost_GBP]] &lt; 1200, "Normal")</f>
        <v>Normal</v>
      </c>
      <c r="L862" s="4" t="str" cm="1">
        <f t="array" ref="L862">IFERROR(_xlfn.IFS(Table3[[#This Row],[Age (Years)]]  &gt; 75, "YES", Table3[[#This Row],[Age (Years)]] &lt; 75, "NO"), "UNKNOWN")</f>
        <v>NO</v>
      </c>
      <c r="M862" s="4" t="str">
        <f>IF(Table3[[#This Row],[Drug_Cost_GBP]] &gt; Analysis_Sheet!$B$21, "Above Average", "Within Average")</f>
        <v>Within Average</v>
      </c>
      <c r="N862" s="39" t="str">
        <f t="shared" si="13"/>
        <v>January 2024</v>
      </c>
    </row>
    <row r="863" spans="1:14" x14ac:dyDescent="0.3">
      <c r="A863" s="1" t="s">
        <v>700</v>
      </c>
      <c r="B863" s="17">
        <v>19</v>
      </c>
      <c r="C863" s="2" t="s">
        <v>899</v>
      </c>
      <c r="D863" s="2" t="s">
        <v>51</v>
      </c>
      <c r="E863" s="2" t="s">
        <v>23</v>
      </c>
      <c r="F863" s="3">
        <v>45549</v>
      </c>
      <c r="G863" s="2">
        <v>12</v>
      </c>
      <c r="H863" s="13">
        <v>1618.24</v>
      </c>
      <c r="I863" s="4" t="s">
        <v>21</v>
      </c>
      <c r="J863" s="8" t="str" cm="1">
        <f t="array" ref="J863">_xlfn.IFS(Table3[[#This Row],[Age (Years)]] &lt; 40, "Young", Table3[[#This Row],[Age (Years)]] &gt;= 40, "Middle", Table3[[#This Row],[Age (Years)]] &gt; 60, "Senior")</f>
        <v>Young</v>
      </c>
      <c r="K863" s="8" t="str" cm="1">
        <f t="array" ref="K863">_xlfn.IFS(Table3[[#This Row],[Drug_Cost_GBP]] &gt; 1200, "High Cost", Table3[[#This Row],[Drug_Cost_GBP]] &lt; 1200, "Normal")</f>
        <v>High Cost</v>
      </c>
      <c r="L863" s="8" t="str" cm="1">
        <f t="array" ref="L863">IFERROR(_xlfn.IFS(Table3[[#This Row],[Age (Years)]]  &gt; 75, "YES", Table3[[#This Row],[Age (Years)]] &lt; 75, "NO"), "UNKNOWN")</f>
        <v>NO</v>
      </c>
      <c r="M863" s="8" t="str">
        <f>IF(Table3[[#This Row],[Drug_Cost_GBP]] &gt; Analysis_Sheet!$B$21, "Above Average", "Within Average")</f>
        <v>Above Average</v>
      </c>
      <c r="N863" s="39" t="str">
        <f t="shared" si="13"/>
        <v>September 2024</v>
      </c>
    </row>
    <row r="864" spans="1:14" x14ac:dyDescent="0.3">
      <c r="A864" s="1" t="s">
        <v>326</v>
      </c>
      <c r="B864" s="17">
        <v>18</v>
      </c>
      <c r="C864" s="2" t="s">
        <v>899</v>
      </c>
      <c r="D864" s="2" t="s">
        <v>10</v>
      </c>
      <c r="E864" s="2" t="s">
        <v>34</v>
      </c>
      <c r="F864" s="3" t="s">
        <v>900</v>
      </c>
      <c r="G864" s="2">
        <v>12</v>
      </c>
      <c r="H864" s="13">
        <v>1002.0675517241378</v>
      </c>
      <c r="I864" s="4" t="s">
        <v>900</v>
      </c>
      <c r="J864" s="4" t="str" cm="1">
        <f t="array" ref="J864">_xlfn.IFS(Table3[[#This Row],[Age (Years)]] &lt; 40, "Young", Table3[[#This Row],[Age (Years)]] &gt;= 40, "Middle", Table3[[#This Row],[Age (Years)]] &gt; 60, "Senior")</f>
        <v>Young</v>
      </c>
      <c r="K864" s="4" t="str" cm="1">
        <f t="array" ref="K864">_xlfn.IFS(Table3[[#This Row],[Drug_Cost_GBP]] &gt; 1200, "High Cost", Table3[[#This Row],[Drug_Cost_GBP]] &lt; 1200, "Normal")</f>
        <v>Normal</v>
      </c>
      <c r="L864" s="4" t="str" cm="1">
        <f t="array" ref="L864">IFERROR(_xlfn.IFS(Table3[[#This Row],[Age (Years)]]  &gt; 75, "YES", Table3[[#This Row],[Age (Years)]] &lt; 75, "NO"), "UNKNOWN")</f>
        <v>NO</v>
      </c>
      <c r="M864" s="4" t="str">
        <f>IF(Table3[[#This Row],[Drug_Cost_GBP]] &gt; Analysis_Sheet!$B$21, "Above Average", "Within Average")</f>
        <v>Within Average</v>
      </c>
      <c r="N864" s="39" t="str">
        <f t="shared" si="13"/>
        <v>Unknown</v>
      </c>
    </row>
    <row r="865" spans="1:14" x14ac:dyDescent="0.3">
      <c r="A865" s="1" t="s">
        <v>714</v>
      </c>
      <c r="B865" s="17">
        <v>18</v>
      </c>
      <c r="C865" s="2" t="s">
        <v>38</v>
      </c>
      <c r="D865" s="2" t="s">
        <v>10</v>
      </c>
      <c r="E865" s="2" t="s">
        <v>43</v>
      </c>
      <c r="F865" s="3">
        <v>45646</v>
      </c>
      <c r="G865" s="2">
        <v>15</v>
      </c>
      <c r="H865" s="13">
        <v>1346.38</v>
      </c>
      <c r="I865" s="4" t="s">
        <v>16</v>
      </c>
      <c r="J865" s="37" t="str" cm="1">
        <f t="array" ref="J865">_xlfn.IFS(Table3[[#This Row],[Age (Years)]] &lt; 40, "Young", Table3[[#This Row],[Age (Years)]] &gt;= 40, "Middle", Table3[[#This Row],[Age (Years)]] &gt; 60, "Senior")</f>
        <v>Young</v>
      </c>
      <c r="K865" s="37" t="str" cm="1">
        <f t="array" ref="K865">_xlfn.IFS(Table3[[#This Row],[Drug_Cost_GBP]] &gt; 1200, "High Cost", Table3[[#This Row],[Drug_Cost_GBP]] &lt; 1200, "Normal")</f>
        <v>High Cost</v>
      </c>
      <c r="L865" s="37" t="str" cm="1">
        <f t="array" ref="L865">IFERROR(_xlfn.IFS(Table3[[#This Row],[Age (Years)]]  &gt; 75, "YES", Table3[[#This Row],[Age (Years)]] &lt; 75, "NO"), "UNKNOWN")</f>
        <v>NO</v>
      </c>
      <c r="M865" s="37" t="str">
        <f>IF(Table3[[#This Row],[Drug_Cost_GBP]] &gt; Analysis_Sheet!$B$21, "Above Average", "Within Average")</f>
        <v>Above Average</v>
      </c>
      <c r="N865" s="39" t="str">
        <f t="shared" si="13"/>
        <v>December 2024</v>
      </c>
    </row>
  </sheetData>
  <phoneticPr fontId="1" type="noConversion"/>
  <conditionalFormatting sqref="H2:H865">
    <cfRule type="cellIs" dxfId="0" priority="1" operator="greaterThan">
      <formula>1000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2CEB-71BF-4885-8B04-99BD02871A4A}">
  <dimension ref="A2:H41"/>
  <sheetViews>
    <sheetView zoomScaleNormal="100" workbookViewId="0">
      <selection activeCell="D42" sqref="D42"/>
    </sheetView>
  </sheetViews>
  <sheetFormatPr defaultRowHeight="14.4" x14ac:dyDescent="0.3"/>
  <cols>
    <col min="1" max="1" width="38.44140625" bestFit="1" customWidth="1"/>
    <col min="2" max="2" width="12.33203125" bestFit="1" customWidth="1"/>
    <col min="3" max="3" width="12.33203125" customWidth="1"/>
    <col min="4" max="4" width="30.21875" customWidth="1"/>
    <col min="5" max="5" width="12.33203125" bestFit="1" customWidth="1"/>
    <col min="6" max="6" width="38.44140625" bestFit="1" customWidth="1"/>
    <col min="7" max="7" width="35.5546875" bestFit="1" customWidth="1"/>
    <col min="8" max="8" width="32.5546875" bestFit="1" customWidth="1"/>
    <col min="9" max="9" width="10.5546875" customWidth="1"/>
    <col min="10" max="10" width="29.6640625" bestFit="1" customWidth="1"/>
    <col min="11" max="11" width="34.77734375" bestFit="1" customWidth="1"/>
    <col min="12" max="12" width="29.109375" bestFit="1" customWidth="1"/>
    <col min="13" max="13" width="34" bestFit="1" customWidth="1"/>
    <col min="14" max="14" width="34.5546875" bestFit="1" customWidth="1"/>
  </cols>
  <sheetData>
    <row r="2" spans="1:8" ht="15.6" x14ac:dyDescent="0.3">
      <c r="A2" s="45" t="s">
        <v>903</v>
      </c>
      <c r="B2" s="46"/>
      <c r="C2" s="46"/>
      <c r="D2" s="45" t="s">
        <v>914</v>
      </c>
      <c r="E2" s="45"/>
      <c r="F2" s="42" t="s">
        <v>941</v>
      </c>
      <c r="G2" s="42" t="s">
        <v>942</v>
      </c>
    </row>
    <row r="3" spans="1:8" ht="15.6" x14ac:dyDescent="0.3">
      <c r="A3" s="33" t="s">
        <v>904</v>
      </c>
      <c r="D3" s="33" t="s">
        <v>10</v>
      </c>
      <c r="E3" s="33">
        <f>COUNTIF(Table3[Condition],Cleaned_Data!D2)</f>
        <v>176</v>
      </c>
      <c r="F3" s="36">
        <f>SUMIF(Table3[Condition],Analysis_Sheet!D3,Table3[Drug_Cost_GBP])</f>
        <v>91073.645551724039</v>
      </c>
      <c r="G3" s="43">
        <f>AVERAGEIF(Table3[Condition],Analysis_Sheet!D3,Table3[Age (Years)])</f>
        <v>56.744680851063826</v>
      </c>
    </row>
    <row r="4" spans="1:8" ht="15.6" x14ac:dyDescent="0.3">
      <c r="A4" s="33" t="s">
        <v>905</v>
      </c>
      <c r="D4" s="33" t="s">
        <v>900</v>
      </c>
      <c r="E4" s="33">
        <f>COUNTIF(Cleaned_Data!D:D,Cleaned_Data!D12)</f>
        <v>107</v>
      </c>
      <c r="F4" s="36">
        <f>SUMIF(Table3[Condition],Analysis_Sheet!D4,Table3[Drug_Cost_GBP])</f>
        <v>112260.1137241378</v>
      </c>
      <c r="G4" s="43">
        <f>AVERAGEIF(Table3[Condition],Analysis_Sheet!D4,Table3[Age (Years)])</f>
        <v>55.991150442477874</v>
      </c>
    </row>
    <row r="5" spans="1:8" ht="15.6" x14ac:dyDescent="0.3">
      <c r="A5" s="33" t="s">
        <v>906</v>
      </c>
      <c r="D5" s="33" t="s">
        <v>51</v>
      </c>
      <c r="E5" s="33">
        <f>COUNTIF(Cleaned_Data!D:D,Table3[[#This Row],[Condition]])</f>
        <v>99</v>
      </c>
      <c r="F5" s="36">
        <f>SUMIF(Table3[Condition],Analysis_Sheet!D5,Table3[Drug_Cost_GBP])</f>
        <v>98783.82575862066</v>
      </c>
      <c r="G5" s="43">
        <f>AVERAGEIF(Table3[Condition],Analysis_Sheet!D5,Table3[Age (Years)])</f>
        <v>56.19191919191919</v>
      </c>
    </row>
    <row r="6" spans="1:8" ht="15.6" x14ac:dyDescent="0.3">
      <c r="A6" s="33" t="s">
        <v>907</v>
      </c>
      <c r="D6" s="33" t="s">
        <v>14</v>
      </c>
      <c r="E6" s="33">
        <f>COUNTIF(Table3[Condition],Table3[[#This Row],[Condition]])</f>
        <v>99</v>
      </c>
      <c r="F6" s="36">
        <f>SUMIF(Table3[Condition],Analysis_Sheet!D6,Table3[Drug_Cost_GBP])</f>
        <v>179621.85131034494</v>
      </c>
      <c r="G6" s="43">
        <f>AVERAGEIF(Table3[Condition],Analysis_Sheet!D6,Table3[Age (Years)])</f>
        <v>55.409090909090907</v>
      </c>
    </row>
    <row r="7" spans="1:8" ht="15.6" x14ac:dyDescent="0.3">
      <c r="A7" s="33" t="s">
        <v>908</v>
      </c>
      <c r="D7" s="33" t="s">
        <v>48</v>
      </c>
      <c r="E7" s="33">
        <f>COUNTIF(Cleaned_Data!D:D,Cleaned_Data!D8)</f>
        <v>100</v>
      </c>
      <c r="F7" s="36">
        <f>SUMIF(Table3[Condition],Analysis_Sheet!D7,Table3[Drug_Cost_GBP])</f>
        <v>75629.637586206896</v>
      </c>
      <c r="G7" s="43">
        <f>AVERAGEIF(Table3[Condition],Analysis_Sheet!D7,Table3[Age (Years)])</f>
        <v>58.171052631578945</v>
      </c>
    </row>
    <row r="8" spans="1:8" ht="15.6" x14ac:dyDescent="0.3">
      <c r="A8" s="33" t="s">
        <v>909</v>
      </c>
      <c r="D8" s="33" t="s">
        <v>19</v>
      </c>
      <c r="E8" s="33">
        <f>COUNTIF(Cleaned_Data!D:D,Cleaned_Data!D9)</f>
        <v>107</v>
      </c>
      <c r="F8" s="36">
        <f>SUMIF(Table3[Condition],Analysis_Sheet!D8,Table3[Drug_Cost_GBP])</f>
        <v>102231.26637931018</v>
      </c>
      <c r="G8" s="43">
        <f>AVERAGEIF(Table3[Condition],Analysis_Sheet!D8,Table3[Age (Years)])</f>
        <v>59.84</v>
      </c>
    </row>
    <row r="9" spans="1:8" ht="15.6" x14ac:dyDescent="0.3">
      <c r="A9" s="33" t="s">
        <v>910</v>
      </c>
      <c r="D9" s="33" t="s">
        <v>25</v>
      </c>
      <c r="E9" s="33">
        <f>COUNTIF(Cleaned_Data!D:D,Cleaned_Data!D15)</f>
        <v>76</v>
      </c>
      <c r="F9" s="36">
        <f>SUMIF(Table3[Condition],Analysis_Sheet!D9,Table3[Drug_Cost_GBP])</f>
        <v>97148.948620689553</v>
      </c>
      <c r="G9" s="43">
        <f>AVERAGEIF(Table3[Condition],Analysis_Sheet!D9,Table3[Age (Years)])</f>
        <v>57.666666666666664</v>
      </c>
    </row>
    <row r="10" spans="1:8" ht="15.6" x14ac:dyDescent="0.3">
      <c r="A10" s="33" t="s">
        <v>911</v>
      </c>
      <c r="D10" s="33" t="s">
        <v>898</v>
      </c>
      <c r="E10" s="33">
        <f>COUNTIF(Cleaned_Data!D:D,Cleaned_Data!D23)</f>
        <v>76</v>
      </c>
      <c r="F10" s="36">
        <f>SUMIF(Table3[Condition],Analysis_Sheet!D10,Table3[Drug_Cost_GBP])</f>
        <v>109037.07575862057</v>
      </c>
      <c r="G10" s="43">
        <f>AVERAGEIF(Table3[Condition],Analysis_Sheet!D10,Table3[Age (Years)])</f>
        <v>58.813084112149532</v>
      </c>
    </row>
    <row r="11" spans="1:8" ht="15.6" x14ac:dyDescent="0.3">
      <c r="A11" s="33" t="s">
        <v>912</v>
      </c>
      <c r="D11" s="33"/>
      <c r="E11" s="33"/>
      <c r="F11" s="33"/>
      <c r="G11" s="33"/>
      <c r="H11" s="33"/>
    </row>
    <row r="12" spans="1:8" ht="15.6" x14ac:dyDescent="0.3">
      <c r="A12" s="33" t="s">
        <v>913</v>
      </c>
    </row>
    <row r="13" spans="1:8" ht="15.6" x14ac:dyDescent="0.3">
      <c r="A13" s="33"/>
    </row>
    <row r="14" spans="1:8" ht="15.6" x14ac:dyDescent="0.3">
      <c r="F14" s="34"/>
      <c r="G14" s="34"/>
    </row>
    <row r="15" spans="1:8" ht="15.6" x14ac:dyDescent="0.3">
      <c r="A15" s="33" t="s">
        <v>915</v>
      </c>
      <c r="B15" s="34">
        <f>SUMIF(Table3[Condition],Cleaned_Data!D6,Table3[Drug_Cost_GBP])</f>
        <v>97148.948620689553</v>
      </c>
      <c r="C15" s="34"/>
      <c r="D15" s="42" t="s">
        <v>918</v>
      </c>
      <c r="E15" s="45"/>
      <c r="F15" s="42" t="s">
        <v>919</v>
      </c>
      <c r="G15" s="42" t="s">
        <v>943</v>
      </c>
    </row>
    <row r="16" spans="1:8" ht="15.6" x14ac:dyDescent="0.3">
      <c r="D16" s="33" t="s">
        <v>34</v>
      </c>
      <c r="E16" s="33">
        <f>COUNTIF(Table3[Hospital Name],Analysis_Sheet!D16)</f>
        <v>128</v>
      </c>
      <c r="F16" s="35">
        <f>AVERAGEIF(Cleaned_Data!E:E,Analysis_Sheet!D16,Cleaned_Data!H:H)</f>
        <v>988.11347306034315</v>
      </c>
      <c r="G16">
        <f>AVERAGEIF(Table3[Hospital Name],Analysis_Sheet!D16,Table3[Length_of_Stay (Days)])</f>
        <v>11.578125</v>
      </c>
    </row>
    <row r="17" spans="1:7" ht="15.6" x14ac:dyDescent="0.3">
      <c r="A17" s="44" t="s">
        <v>938</v>
      </c>
      <c r="B17">
        <f>COUNTIF(Table3[Length_of_Stay (Days)], "&gt; 10")</f>
        <v>735</v>
      </c>
      <c r="D17" s="33" t="s">
        <v>43</v>
      </c>
      <c r="E17" s="33">
        <f>COUNTIF(Table3[Hospital Name],Analysis_Sheet!D17)</f>
        <v>219</v>
      </c>
      <c r="F17" s="35">
        <f>AVERAGEIF(Table3[Hospital Name],Analysis_Sheet!D17,Table3[Drug_Cost_GBP])</f>
        <v>1003.2469615808545</v>
      </c>
      <c r="G17">
        <f>AVERAGEIF(Table3[Hospital Name],Analysis_Sheet!D17,Table3[Length_of_Stay (Days)])</f>
        <v>11.808219178082192</v>
      </c>
    </row>
    <row r="18" spans="1:7" ht="15.6" x14ac:dyDescent="0.3">
      <c r="D18" s="33" t="s">
        <v>23</v>
      </c>
      <c r="E18" s="33">
        <f>COUNTIF(Cleaned_Data!E:E,Analysis_Sheet!D18)</f>
        <v>214</v>
      </c>
      <c r="F18" s="35">
        <f>AVERAGEIF(Cleaned_Data!E:E,Analysis_Sheet!D18,Cleaned_Data!H:H)</f>
        <v>1039.5824179825991</v>
      </c>
      <c r="G18">
        <f>AVERAGEIF(Table3[Hospital Name],Analysis_Sheet!D18,Table3[Length_of_Stay (Days)])</f>
        <v>11.72429906542056</v>
      </c>
    </row>
    <row r="19" spans="1:7" ht="15.6" x14ac:dyDescent="0.3">
      <c r="A19" s="44" t="s">
        <v>939</v>
      </c>
      <c r="B19">
        <f>AVERAGEIFS(Table3[Length_of_Stay (Days)],Table3[Condition],Cleaned_Data!D5)</f>
        <v>12.222222222222221</v>
      </c>
      <c r="D19" s="33" t="s">
        <v>11</v>
      </c>
      <c r="E19" s="33">
        <f>COUNTIF(Cleaned_Data!E:E,Analysis_Sheet!D19)</f>
        <v>104</v>
      </c>
      <c r="F19" s="35">
        <f>AVERAGEIF(Table3[Hospital Name],Analysis_Sheet!D19,Table3[Drug_Cost_GBP])</f>
        <v>1003.6567135278506</v>
      </c>
      <c r="G19">
        <f>AVERAGEIF(Table3[Hospital Name],Analysis_Sheet!D19,Table3[Length_of_Stay (Days)])</f>
        <v>11.673076923076923</v>
      </c>
    </row>
    <row r="20" spans="1:7" ht="15.6" x14ac:dyDescent="0.3">
      <c r="D20" s="33" t="s">
        <v>57</v>
      </c>
      <c r="E20" s="33">
        <f>COUNTIF(Cleaned_Data!E:E,Analysis_Sheet!D20)</f>
        <v>92</v>
      </c>
      <c r="F20" s="35">
        <f>AVERAGEIF(Table3[Hospital Name],Analysis_Sheet!D20,Table3[Drug_Cost_GBP])</f>
        <v>988.02153110944425</v>
      </c>
      <c r="G20">
        <f>AVERAGEIF(Table3[Hospital Name],Analysis_Sheet!D20,Table3[Length_of_Stay (Days)])</f>
        <v>11.782608695652174</v>
      </c>
    </row>
    <row r="21" spans="1:7" ht="15.6" x14ac:dyDescent="0.3">
      <c r="A21" s="44" t="s">
        <v>940</v>
      </c>
      <c r="B21" s="38">
        <f>AVERAGE(Table3[Drug_Cost_GBP])</f>
        <v>1002.067551724143</v>
      </c>
      <c r="C21" s="38"/>
      <c r="D21" s="33" t="s">
        <v>29</v>
      </c>
      <c r="E21" s="33">
        <f>COUNTIF(Cleaned_Data!E:E,Analysis_Sheet!D21)</f>
        <v>107</v>
      </c>
      <c r="F21" s="36">
        <f>AVERAGEIF(Table3[Hospital Name],Analysis_Sheet!D21,Table3[Drug_Cost_GBP])</f>
        <v>951.84896293908992</v>
      </c>
      <c r="G21">
        <f>AVERAGEIF(Table3[Hospital Name],Analysis_Sheet!D21,Table3[Length_of_Stay (Days)])</f>
        <v>11.280373831775702</v>
      </c>
    </row>
    <row r="22" spans="1:7" ht="15.6" x14ac:dyDescent="0.3">
      <c r="A22" s="44"/>
      <c r="B22" s="38"/>
      <c r="C22" s="38"/>
      <c r="D22" s="33"/>
      <c r="E22" s="33"/>
      <c r="F22" s="36"/>
    </row>
    <row r="24" spans="1:7" ht="15.6" x14ac:dyDescent="0.3">
      <c r="A24" s="47" t="s">
        <v>944</v>
      </c>
      <c r="F24" s="9"/>
    </row>
    <row r="25" spans="1:7" x14ac:dyDescent="0.3">
      <c r="A25" s="9" t="s">
        <v>923</v>
      </c>
      <c r="B25" s="9" t="s">
        <v>924</v>
      </c>
      <c r="C25" s="9"/>
    </row>
    <row r="26" spans="1:7" x14ac:dyDescent="0.3">
      <c r="A26" s="40" t="s">
        <v>926</v>
      </c>
      <c r="B26" s="11">
        <f>COUNTIF(Cleaned_Data!$N$2:$N$865,A26)</f>
        <v>58</v>
      </c>
      <c r="C26" s="11"/>
    </row>
    <row r="27" spans="1:7" x14ac:dyDescent="0.3">
      <c r="A27" s="41" t="s">
        <v>927</v>
      </c>
      <c r="B27">
        <f>COUNTIF(Cleaned_Data!$N$2:$N$865,A27)</f>
        <v>62</v>
      </c>
    </row>
    <row r="28" spans="1:7" x14ac:dyDescent="0.3">
      <c r="A28" s="41" t="s">
        <v>928</v>
      </c>
      <c r="B28">
        <f>COUNTIF(Cleaned_Data!$N$2:$N$865,A28)</f>
        <v>63</v>
      </c>
    </row>
    <row r="29" spans="1:7" x14ac:dyDescent="0.3">
      <c r="A29" s="41" t="s">
        <v>929</v>
      </c>
      <c r="B29">
        <f>COUNTIF(Cleaned_Data!$N$2:$N$865,A29)</f>
        <v>53</v>
      </c>
    </row>
    <row r="30" spans="1:7" x14ac:dyDescent="0.3">
      <c r="A30" s="41" t="s">
        <v>930</v>
      </c>
      <c r="B30">
        <f>COUNTIF(Cleaned_Data!$N$2:$N$865,A30)</f>
        <v>58</v>
      </c>
    </row>
    <row r="31" spans="1:7" x14ac:dyDescent="0.3">
      <c r="A31" s="41" t="s">
        <v>931</v>
      </c>
      <c r="B31">
        <f>COUNTIF(Cleaned_Data!$N$2:$N$865,A31)</f>
        <v>62</v>
      </c>
    </row>
    <row r="32" spans="1:7" x14ac:dyDescent="0.3">
      <c r="A32" s="41" t="s">
        <v>932</v>
      </c>
      <c r="B32">
        <f>COUNTIF(Cleaned_Data!$N$2:$N$865,A32)</f>
        <v>58</v>
      </c>
    </row>
    <row r="33" spans="1:8" x14ac:dyDescent="0.3">
      <c r="A33" s="41" t="s">
        <v>933</v>
      </c>
      <c r="B33">
        <f>COUNTIF(Cleaned_Data!$N$2:$N$865,A33)</f>
        <v>61</v>
      </c>
      <c r="H33" s="9"/>
    </row>
    <row r="34" spans="1:8" x14ac:dyDescent="0.3">
      <c r="A34" s="41" t="s">
        <v>934</v>
      </c>
      <c r="B34">
        <f>COUNTIF(Cleaned_Data!$N$2:$N$865,A34)</f>
        <v>56</v>
      </c>
    </row>
    <row r="35" spans="1:8" x14ac:dyDescent="0.3">
      <c r="A35" s="41" t="s">
        <v>935</v>
      </c>
      <c r="B35">
        <f>COUNTIF(Cleaned_Data!$N$2:$N$865,A35)</f>
        <v>58</v>
      </c>
    </row>
    <row r="36" spans="1:8" x14ac:dyDescent="0.3">
      <c r="A36" s="41" t="s">
        <v>936</v>
      </c>
      <c r="B36">
        <f>COUNTIF(Cleaned_Data!$N$2:$N$865,A36)</f>
        <v>60</v>
      </c>
    </row>
    <row r="37" spans="1:8" x14ac:dyDescent="0.3">
      <c r="A37" s="41" t="s">
        <v>937</v>
      </c>
      <c r="B37">
        <f>COUNTIF(Cleaned_Data!$N$2:$N$865,A37)</f>
        <v>56</v>
      </c>
    </row>
    <row r="38" spans="1:8" x14ac:dyDescent="0.3">
      <c r="A38" s="41" t="s">
        <v>900</v>
      </c>
      <c r="B38">
        <f>COUNTIF(Cleaned_Data!$N$2:$N$865,A38)</f>
        <v>159</v>
      </c>
    </row>
    <row r="39" spans="1:8" x14ac:dyDescent="0.3">
      <c r="A39" s="9" t="s">
        <v>925</v>
      </c>
      <c r="B39" s="9">
        <f>SUM(B26:B38)</f>
        <v>864</v>
      </c>
      <c r="C39" s="9"/>
    </row>
    <row r="40" spans="1:8" x14ac:dyDescent="0.3">
      <c r="A40" s="20"/>
    </row>
    <row r="41" spans="1:8" x14ac:dyDescent="0.3">
      <c r="A41" s="2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4FBA3-3132-4444-A0C0-7D2A79A7DF8D}">
  <dimension ref="A1:M38"/>
  <sheetViews>
    <sheetView workbookViewId="0">
      <selection activeCell="I28" sqref="I28"/>
    </sheetView>
  </sheetViews>
  <sheetFormatPr defaultRowHeight="14.4" x14ac:dyDescent="0.3"/>
  <cols>
    <col min="1" max="1" width="18.44140625" bestFit="1" customWidth="1"/>
    <col min="2" max="2" width="28.109375" bestFit="1" customWidth="1"/>
    <col min="3" max="3" width="5.44140625" bestFit="1" customWidth="1"/>
    <col min="4" max="4" width="28.88671875" bestFit="1" customWidth="1"/>
    <col min="5" max="5" width="19.88671875" bestFit="1" customWidth="1"/>
    <col min="6" max="6" width="8.5546875" bestFit="1" customWidth="1"/>
    <col min="7" max="7" width="33" bestFit="1" customWidth="1"/>
    <col min="8" max="8" width="19.88671875" bestFit="1" customWidth="1"/>
    <col min="9" max="9" width="21.44140625" bestFit="1" customWidth="1"/>
    <col min="10" max="10" width="24.5546875" bestFit="1" customWidth="1"/>
    <col min="11" max="11" width="16.77734375" bestFit="1" customWidth="1"/>
    <col min="12" max="12" width="14.21875" bestFit="1" customWidth="1"/>
    <col min="13" max="13" width="16.77734375" bestFit="1" customWidth="1"/>
  </cols>
  <sheetData>
    <row r="1" spans="1:13" ht="15.6" x14ac:dyDescent="0.3">
      <c r="A1" s="66" t="s">
        <v>946</v>
      </c>
      <c r="D1" s="66" t="s">
        <v>961</v>
      </c>
      <c r="G1" s="66" t="s">
        <v>966</v>
      </c>
    </row>
    <row r="2" spans="1:13" x14ac:dyDescent="0.3">
      <c r="A2" s="48" t="s">
        <v>4</v>
      </c>
      <c r="B2" t="s">
        <v>948</v>
      </c>
      <c r="D2" s="48" t="s">
        <v>3</v>
      </c>
      <c r="E2" t="s">
        <v>949</v>
      </c>
      <c r="G2" s="48" t="s">
        <v>948</v>
      </c>
      <c r="H2" s="48" t="s">
        <v>952</v>
      </c>
    </row>
    <row r="3" spans="1:13" x14ac:dyDescent="0.3">
      <c r="A3" s="49" t="s">
        <v>34</v>
      </c>
      <c r="B3">
        <v>128</v>
      </c>
      <c r="D3" s="49" t="s">
        <v>751</v>
      </c>
      <c r="E3" s="15">
        <v>1981.64</v>
      </c>
      <c r="G3" s="48" t="s">
        <v>4</v>
      </c>
      <c r="H3" t="s">
        <v>38</v>
      </c>
      <c r="I3" t="s">
        <v>899</v>
      </c>
      <c r="J3" t="s">
        <v>900</v>
      </c>
      <c r="K3" t="s">
        <v>947</v>
      </c>
    </row>
    <row r="4" spans="1:13" x14ac:dyDescent="0.3">
      <c r="A4" s="49" t="s">
        <v>23</v>
      </c>
      <c r="B4">
        <v>214</v>
      </c>
      <c r="D4" s="49" t="s">
        <v>163</v>
      </c>
      <c r="E4" s="15">
        <v>1994.79</v>
      </c>
      <c r="G4" s="49" t="s">
        <v>57</v>
      </c>
      <c r="H4">
        <v>39</v>
      </c>
      <c r="I4">
        <v>38</v>
      </c>
      <c r="J4">
        <v>15</v>
      </c>
      <c r="K4">
        <v>92</v>
      </c>
    </row>
    <row r="5" spans="1:13" x14ac:dyDescent="0.3">
      <c r="A5" s="49" t="s">
        <v>11</v>
      </c>
      <c r="B5">
        <v>104</v>
      </c>
      <c r="D5" s="49" t="s">
        <v>31</v>
      </c>
      <c r="E5" s="15">
        <v>1980.5</v>
      </c>
      <c r="G5" s="49" t="s">
        <v>43</v>
      </c>
      <c r="H5">
        <v>84</v>
      </c>
      <c r="I5">
        <v>87</v>
      </c>
      <c r="J5">
        <v>48</v>
      </c>
      <c r="K5">
        <v>219</v>
      </c>
    </row>
    <row r="6" spans="1:13" x14ac:dyDescent="0.3">
      <c r="A6" s="49" t="s">
        <v>29</v>
      </c>
      <c r="B6">
        <v>107</v>
      </c>
      <c r="D6" s="49" t="s">
        <v>886</v>
      </c>
      <c r="E6" s="15">
        <v>1977.87</v>
      </c>
      <c r="G6" s="49" t="s">
        <v>29</v>
      </c>
      <c r="H6">
        <v>39</v>
      </c>
      <c r="I6">
        <v>38</v>
      </c>
      <c r="J6">
        <v>30</v>
      </c>
      <c r="K6">
        <v>107</v>
      </c>
    </row>
    <row r="7" spans="1:13" x14ac:dyDescent="0.3">
      <c r="A7" s="49" t="s">
        <v>43</v>
      </c>
      <c r="B7">
        <v>219</v>
      </c>
      <c r="D7" s="49" t="s">
        <v>224</v>
      </c>
      <c r="E7" s="15">
        <v>1985.44</v>
      </c>
      <c r="G7" s="49" t="s">
        <v>11</v>
      </c>
      <c r="H7">
        <v>46</v>
      </c>
      <c r="I7">
        <v>38</v>
      </c>
      <c r="J7">
        <v>20</v>
      </c>
      <c r="K7">
        <v>104</v>
      </c>
    </row>
    <row r="8" spans="1:13" x14ac:dyDescent="0.3">
      <c r="A8" s="49" t="s">
        <v>57</v>
      </c>
      <c r="B8">
        <v>92</v>
      </c>
      <c r="D8" s="49" t="s">
        <v>947</v>
      </c>
      <c r="E8" s="15">
        <v>9920.24</v>
      </c>
      <c r="G8" s="49" t="s">
        <v>23</v>
      </c>
      <c r="H8">
        <v>88</v>
      </c>
      <c r="I8">
        <v>84</v>
      </c>
      <c r="J8">
        <v>42</v>
      </c>
      <c r="K8">
        <v>214</v>
      </c>
    </row>
    <row r="9" spans="1:13" x14ac:dyDescent="0.3">
      <c r="A9" s="49" t="s">
        <v>947</v>
      </c>
      <c r="B9">
        <v>864</v>
      </c>
      <c r="G9" s="49" t="s">
        <v>34</v>
      </c>
      <c r="H9">
        <v>48</v>
      </c>
      <c r="I9">
        <v>50</v>
      </c>
      <c r="J9">
        <v>30</v>
      </c>
      <c r="K9">
        <v>128</v>
      </c>
    </row>
    <row r="10" spans="1:13" x14ac:dyDescent="0.3">
      <c r="G10" s="49" t="s">
        <v>947</v>
      </c>
      <c r="H10">
        <v>344</v>
      </c>
      <c r="I10">
        <v>335</v>
      </c>
      <c r="J10">
        <v>185</v>
      </c>
      <c r="K10">
        <v>864</v>
      </c>
    </row>
    <row r="12" spans="1:13" ht="15.6" x14ac:dyDescent="0.3">
      <c r="A12" s="66" t="s">
        <v>959</v>
      </c>
      <c r="D12" s="66" t="s">
        <v>962</v>
      </c>
      <c r="G12" s="66" t="s">
        <v>965</v>
      </c>
    </row>
    <row r="13" spans="1:13" x14ac:dyDescent="0.3">
      <c r="A13" s="48" t="s">
        <v>4</v>
      </c>
      <c r="B13" t="s">
        <v>950</v>
      </c>
      <c r="D13" s="48" t="s">
        <v>4</v>
      </c>
      <c r="E13" t="s">
        <v>948</v>
      </c>
      <c r="G13" s="48" t="s">
        <v>948</v>
      </c>
      <c r="H13" s="48" t="s">
        <v>952</v>
      </c>
    </row>
    <row r="14" spans="1:13" x14ac:dyDescent="0.3">
      <c r="A14" s="49" t="s">
        <v>57</v>
      </c>
      <c r="B14" s="15">
        <v>988.02153110944425</v>
      </c>
      <c r="D14" s="49" t="s">
        <v>929</v>
      </c>
      <c r="E14">
        <v>53</v>
      </c>
      <c r="G14" s="48" t="s">
        <v>3</v>
      </c>
      <c r="H14" t="s">
        <v>26</v>
      </c>
      <c r="I14" t="s">
        <v>16</v>
      </c>
      <c r="J14" t="s">
        <v>21</v>
      </c>
      <c r="K14" t="s">
        <v>12</v>
      </c>
      <c r="L14" t="s">
        <v>900</v>
      </c>
      <c r="M14" t="s">
        <v>947</v>
      </c>
    </row>
    <row r="15" spans="1:13" x14ac:dyDescent="0.3">
      <c r="A15" s="49" t="s">
        <v>43</v>
      </c>
      <c r="B15" s="15">
        <v>1003.2469615808545</v>
      </c>
      <c r="D15" s="49" t="s">
        <v>933</v>
      </c>
      <c r="E15">
        <v>61</v>
      </c>
      <c r="G15" s="49" t="s">
        <v>19</v>
      </c>
      <c r="H15">
        <v>21</v>
      </c>
      <c r="I15">
        <v>12</v>
      </c>
      <c r="J15">
        <v>27</v>
      </c>
      <c r="K15">
        <v>18</v>
      </c>
      <c r="L15">
        <v>22</v>
      </c>
      <c r="M15">
        <v>100</v>
      </c>
    </row>
    <row r="16" spans="1:13" x14ac:dyDescent="0.3">
      <c r="A16" s="49" t="s">
        <v>29</v>
      </c>
      <c r="B16" s="15">
        <v>951.84896293908992</v>
      </c>
      <c r="D16" s="49" t="s">
        <v>937</v>
      </c>
      <c r="E16">
        <v>56</v>
      </c>
      <c r="G16" s="49" t="s">
        <v>898</v>
      </c>
      <c r="H16">
        <v>24</v>
      </c>
      <c r="I16">
        <v>23</v>
      </c>
      <c r="J16">
        <v>19</v>
      </c>
      <c r="K16">
        <v>19</v>
      </c>
      <c r="L16">
        <v>22</v>
      </c>
      <c r="M16">
        <v>107</v>
      </c>
    </row>
    <row r="17" spans="1:13" x14ac:dyDescent="0.3">
      <c r="A17" s="49" t="s">
        <v>11</v>
      </c>
      <c r="B17" s="15">
        <v>1003.6567135278506</v>
      </c>
      <c r="D17" s="49" t="s">
        <v>927</v>
      </c>
      <c r="E17">
        <v>62</v>
      </c>
      <c r="G17" s="49" t="s">
        <v>14</v>
      </c>
      <c r="H17">
        <v>37</v>
      </c>
      <c r="I17">
        <v>38</v>
      </c>
      <c r="J17">
        <v>35</v>
      </c>
      <c r="K17">
        <v>38</v>
      </c>
      <c r="L17">
        <v>28</v>
      </c>
      <c r="M17">
        <v>176</v>
      </c>
    </row>
    <row r="18" spans="1:13" x14ac:dyDescent="0.3">
      <c r="A18" s="49" t="s">
        <v>23</v>
      </c>
      <c r="B18" s="15">
        <v>1039.5824179825991</v>
      </c>
      <c r="D18" s="49" t="s">
        <v>926</v>
      </c>
      <c r="E18">
        <v>58</v>
      </c>
      <c r="G18" s="49" t="s">
        <v>48</v>
      </c>
      <c r="H18">
        <v>11</v>
      </c>
      <c r="I18">
        <v>15</v>
      </c>
      <c r="J18">
        <v>17</v>
      </c>
      <c r="K18">
        <v>17</v>
      </c>
      <c r="L18">
        <v>16</v>
      </c>
      <c r="M18">
        <v>76</v>
      </c>
    </row>
    <row r="19" spans="1:13" x14ac:dyDescent="0.3">
      <c r="A19" s="49" t="s">
        <v>34</v>
      </c>
      <c r="B19" s="15">
        <v>988.11347306034315</v>
      </c>
      <c r="D19" s="49" t="s">
        <v>932</v>
      </c>
      <c r="E19">
        <v>58</v>
      </c>
      <c r="G19" s="49" t="s">
        <v>51</v>
      </c>
      <c r="H19">
        <v>21</v>
      </c>
      <c r="I19">
        <v>20</v>
      </c>
      <c r="J19">
        <v>26</v>
      </c>
      <c r="K19">
        <v>17</v>
      </c>
      <c r="L19">
        <v>15</v>
      </c>
      <c r="M19">
        <v>99</v>
      </c>
    </row>
    <row r="20" spans="1:13" x14ac:dyDescent="0.3">
      <c r="A20" s="49" t="s">
        <v>947</v>
      </c>
      <c r="B20" s="15">
        <v>1002.0675517241428</v>
      </c>
      <c r="D20" s="49" t="s">
        <v>931</v>
      </c>
      <c r="E20">
        <v>62</v>
      </c>
      <c r="G20" s="49" t="s">
        <v>10</v>
      </c>
      <c r="H20">
        <v>14</v>
      </c>
      <c r="I20">
        <v>16</v>
      </c>
      <c r="J20">
        <v>28</v>
      </c>
      <c r="K20">
        <v>13</v>
      </c>
      <c r="L20">
        <v>23</v>
      </c>
      <c r="M20">
        <v>94</v>
      </c>
    </row>
    <row r="21" spans="1:13" x14ac:dyDescent="0.3">
      <c r="D21" s="49" t="s">
        <v>928</v>
      </c>
      <c r="E21">
        <v>63</v>
      </c>
      <c r="G21" s="49" t="s">
        <v>25</v>
      </c>
      <c r="H21">
        <v>16</v>
      </c>
      <c r="I21">
        <v>24</v>
      </c>
      <c r="J21">
        <v>13</v>
      </c>
      <c r="K21">
        <v>27</v>
      </c>
      <c r="L21">
        <v>19</v>
      </c>
      <c r="M21">
        <v>99</v>
      </c>
    </row>
    <row r="22" spans="1:13" x14ac:dyDescent="0.3">
      <c r="D22" s="49" t="s">
        <v>930</v>
      </c>
      <c r="E22">
        <v>58</v>
      </c>
      <c r="G22" s="49" t="s">
        <v>900</v>
      </c>
      <c r="H22">
        <v>14</v>
      </c>
      <c r="I22">
        <v>35</v>
      </c>
      <c r="J22">
        <v>20</v>
      </c>
      <c r="K22">
        <v>20</v>
      </c>
      <c r="L22">
        <v>24</v>
      </c>
      <c r="M22">
        <v>113</v>
      </c>
    </row>
    <row r="23" spans="1:13" ht="15.6" x14ac:dyDescent="0.3">
      <c r="A23" s="66" t="s">
        <v>960</v>
      </c>
      <c r="D23" s="49" t="s">
        <v>936</v>
      </c>
      <c r="E23">
        <v>60</v>
      </c>
      <c r="G23" s="49" t="s">
        <v>947</v>
      </c>
      <c r="H23">
        <v>158</v>
      </c>
      <c r="I23">
        <v>183</v>
      </c>
      <c r="J23">
        <v>185</v>
      </c>
      <c r="K23">
        <v>169</v>
      </c>
      <c r="L23">
        <v>169</v>
      </c>
      <c r="M23">
        <v>864</v>
      </c>
    </row>
    <row r="24" spans="1:13" x14ac:dyDescent="0.3">
      <c r="A24" s="48" t="s">
        <v>3</v>
      </c>
      <c r="B24" t="s">
        <v>951</v>
      </c>
      <c r="D24" s="49" t="s">
        <v>935</v>
      </c>
      <c r="E24">
        <v>58</v>
      </c>
    </row>
    <row r="25" spans="1:13" x14ac:dyDescent="0.3">
      <c r="A25" s="49" t="s">
        <v>19</v>
      </c>
      <c r="B25">
        <v>11.73</v>
      </c>
      <c r="D25" s="49" t="s">
        <v>934</v>
      </c>
      <c r="E25">
        <v>56</v>
      </c>
    </row>
    <row r="26" spans="1:13" ht="15.6" x14ac:dyDescent="0.3">
      <c r="A26" s="49" t="s">
        <v>898</v>
      </c>
      <c r="B26">
        <v>11.523364485981308</v>
      </c>
      <c r="D26" s="49" t="s">
        <v>900</v>
      </c>
      <c r="E26">
        <v>159</v>
      </c>
      <c r="G26" s="66" t="s">
        <v>964</v>
      </c>
    </row>
    <row r="27" spans="1:13" x14ac:dyDescent="0.3">
      <c r="A27" s="49" t="s">
        <v>14</v>
      </c>
      <c r="B27">
        <v>11.5625</v>
      </c>
      <c r="D27" s="49" t="s">
        <v>947</v>
      </c>
      <c r="E27">
        <v>864</v>
      </c>
      <c r="G27" s="48" t="s">
        <v>3</v>
      </c>
      <c r="H27" t="s">
        <v>949</v>
      </c>
    </row>
    <row r="28" spans="1:13" x14ac:dyDescent="0.3">
      <c r="A28" s="49" t="s">
        <v>48</v>
      </c>
      <c r="B28">
        <v>11.605263157894736</v>
      </c>
      <c r="G28" s="49" t="s">
        <v>19</v>
      </c>
      <c r="H28" s="15">
        <v>102231.26637931018</v>
      </c>
    </row>
    <row r="29" spans="1:13" x14ac:dyDescent="0.3">
      <c r="A29" s="49" t="s">
        <v>51</v>
      </c>
      <c r="B29">
        <v>11.535353535353535</v>
      </c>
      <c r="G29" s="49" t="s">
        <v>898</v>
      </c>
      <c r="H29" s="15">
        <v>109037.07575862057</v>
      </c>
    </row>
    <row r="30" spans="1:13" ht="15.6" x14ac:dyDescent="0.3">
      <c r="A30" s="49" t="s">
        <v>10</v>
      </c>
      <c r="B30">
        <v>11.946808510638299</v>
      </c>
      <c r="D30" s="66" t="s">
        <v>963</v>
      </c>
      <c r="G30" s="49" t="s">
        <v>14</v>
      </c>
      <c r="H30" s="15">
        <v>179621.85131034494</v>
      </c>
    </row>
    <row r="31" spans="1:13" x14ac:dyDescent="0.3">
      <c r="A31" s="49" t="s">
        <v>25</v>
      </c>
      <c r="B31">
        <v>12.222222222222221</v>
      </c>
      <c r="D31" s="48" t="s">
        <v>4</v>
      </c>
      <c r="E31" t="s">
        <v>949</v>
      </c>
      <c r="G31" s="49" t="s">
        <v>48</v>
      </c>
      <c r="H31" s="15">
        <v>75629.637586206896</v>
      </c>
    </row>
    <row r="32" spans="1:13" x14ac:dyDescent="0.3">
      <c r="A32" s="49" t="s">
        <v>900</v>
      </c>
      <c r="B32">
        <v>11.36283185840708</v>
      </c>
      <c r="D32" s="49" t="s">
        <v>57</v>
      </c>
      <c r="E32" s="15">
        <v>90897.980862068871</v>
      </c>
      <c r="G32" s="49" t="s">
        <v>51</v>
      </c>
      <c r="H32" s="15">
        <v>98783.82575862066</v>
      </c>
    </row>
    <row r="33" spans="1:8" x14ac:dyDescent="0.3">
      <c r="A33" s="49" t="s">
        <v>947</v>
      </c>
      <c r="B33">
        <v>11.668981481481481</v>
      </c>
      <c r="D33" s="49" t="s">
        <v>43</v>
      </c>
      <c r="E33" s="15">
        <v>219711.08458620714</v>
      </c>
      <c r="G33" s="49" t="s">
        <v>10</v>
      </c>
      <c r="H33" s="15">
        <v>91073.645551724039</v>
      </c>
    </row>
    <row r="34" spans="1:8" x14ac:dyDescent="0.3">
      <c r="A34" s="49"/>
      <c r="D34" s="49" t="s">
        <v>29</v>
      </c>
      <c r="E34" s="15">
        <v>101847.83903448262</v>
      </c>
      <c r="G34" s="49" t="s">
        <v>25</v>
      </c>
      <c r="H34" s="15">
        <v>97148.948620689553</v>
      </c>
    </row>
    <row r="35" spans="1:8" x14ac:dyDescent="0.3">
      <c r="A35" s="49"/>
      <c r="D35" s="49" t="s">
        <v>11</v>
      </c>
      <c r="E35" s="15">
        <v>104380.29820689646</v>
      </c>
      <c r="G35" s="49" t="s">
        <v>900</v>
      </c>
      <c r="H35" s="15">
        <v>112260.1137241378</v>
      </c>
    </row>
    <row r="36" spans="1:8" x14ac:dyDescent="0.3">
      <c r="D36" s="49" t="s">
        <v>23</v>
      </c>
      <c r="E36" s="15">
        <v>222470.63744827622</v>
      </c>
      <c r="G36" s="49" t="s">
        <v>947</v>
      </c>
      <c r="H36" s="15">
        <v>865786.36468965455</v>
      </c>
    </row>
    <row r="37" spans="1:8" x14ac:dyDescent="0.3">
      <c r="D37" s="49" t="s">
        <v>34</v>
      </c>
      <c r="E37" s="15">
        <v>126478.52455172392</v>
      </c>
    </row>
    <row r="38" spans="1:8" x14ac:dyDescent="0.3">
      <c r="D38" s="49" t="s">
        <v>947</v>
      </c>
      <c r="E38" s="15">
        <v>865786.36468965525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BC5D6-63CE-4DD1-B96D-1BE6ED658563}">
  <dimension ref="A3:A16"/>
  <sheetViews>
    <sheetView workbookViewId="0">
      <selection activeCell="A12" sqref="A12"/>
    </sheetView>
  </sheetViews>
  <sheetFormatPr defaultRowHeight="14.4" x14ac:dyDescent="0.3"/>
  <cols>
    <col min="1" max="1" width="28.109375" bestFit="1" customWidth="1"/>
  </cols>
  <sheetData>
    <row r="3" spans="1:1" x14ac:dyDescent="0.3">
      <c r="A3" t="s">
        <v>948</v>
      </c>
    </row>
    <row r="4" spans="1:1" x14ac:dyDescent="0.3">
      <c r="A4">
        <v>864</v>
      </c>
    </row>
    <row r="7" spans="1:1" x14ac:dyDescent="0.3">
      <c r="A7" t="s">
        <v>949</v>
      </c>
    </row>
    <row r="8" spans="1:1" x14ac:dyDescent="0.3">
      <c r="A8" s="15">
        <v>865786.36468965956</v>
      </c>
    </row>
    <row r="11" spans="1:1" x14ac:dyDescent="0.3">
      <c r="A11" t="s">
        <v>951</v>
      </c>
    </row>
    <row r="12" spans="1:1" x14ac:dyDescent="0.3">
      <c r="A12" s="50">
        <v>11.668981481481481</v>
      </c>
    </row>
    <row r="15" spans="1:1" x14ac:dyDescent="0.3">
      <c r="A15" t="s">
        <v>958</v>
      </c>
    </row>
    <row r="16" spans="1:1" x14ac:dyDescent="0.3">
      <c r="A16" s="19">
        <v>57.15625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55B9-BFE3-442D-9CC0-5D9D4F9A84B0}">
  <dimension ref="A1:AC6"/>
  <sheetViews>
    <sheetView showGridLines="0" tabSelected="1" topLeftCell="A96" zoomScale="108" workbookViewId="0">
      <selection activeCell="J13" sqref="J13"/>
    </sheetView>
  </sheetViews>
  <sheetFormatPr defaultRowHeight="14.4" x14ac:dyDescent="0.3"/>
  <cols>
    <col min="1" max="1" width="21.109375" customWidth="1"/>
    <col min="2" max="2" width="2.88671875" customWidth="1"/>
    <col min="3" max="3" width="24.109375" customWidth="1"/>
    <col min="4" max="4" width="2.88671875" customWidth="1"/>
    <col min="5" max="5" width="23.44140625" bestFit="1" customWidth="1"/>
    <col min="6" max="6" width="2.88671875" customWidth="1"/>
    <col min="7" max="7" width="16.109375" customWidth="1"/>
    <col min="8" max="8" width="19.6640625" customWidth="1"/>
    <col min="9" max="9" width="4.5546875" customWidth="1"/>
    <col min="10" max="10" width="24.109375" customWidth="1"/>
    <col min="11" max="11" width="10.109375" customWidth="1"/>
    <col min="12" max="12" width="26" customWidth="1"/>
    <col min="14" max="14" width="17.77734375" customWidth="1"/>
  </cols>
  <sheetData>
    <row r="1" spans="1:29" ht="24.6" customHeight="1" x14ac:dyDescent="0.9">
      <c r="A1" s="51" t="s">
        <v>955</v>
      </c>
      <c r="B1" s="51"/>
      <c r="C1" s="52"/>
      <c r="D1" s="52"/>
      <c r="E1" s="53"/>
      <c r="F1" s="53"/>
      <c r="G1" s="52"/>
      <c r="H1" s="52"/>
      <c r="I1" s="54"/>
      <c r="J1" s="54"/>
      <c r="K1" s="52"/>
      <c r="L1" s="52"/>
      <c r="M1" s="52"/>
      <c r="N1" s="52"/>
      <c r="O1" s="52"/>
      <c r="P1" s="55"/>
      <c r="Q1" s="55"/>
      <c r="R1" s="55"/>
      <c r="S1" s="55"/>
      <c r="T1" s="55"/>
      <c r="U1" s="55"/>
      <c r="V1" s="55"/>
      <c r="W1" s="55"/>
      <c r="X1" s="55"/>
      <c r="Y1" s="55"/>
      <c r="Z1" s="55"/>
      <c r="AA1" s="55"/>
      <c r="AB1" s="55"/>
      <c r="AC1" s="55"/>
    </row>
    <row r="3" spans="1:29" ht="14.4" customHeight="1" x14ac:dyDescent="0.3">
      <c r="A3" s="56" t="s">
        <v>956</v>
      </c>
      <c r="B3" s="56"/>
      <c r="C3" s="55"/>
      <c r="D3" s="55"/>
    </row>
    <row r="4" spans="1:29" ht="25.8" customHeight="1" x14ac:dyDescent="0.3">
      <c r="A4" s="57" t="s">
        <v>945</v>
      </c>
      <c r="B4" s="57"/>
      <c r="C4" s="57" t="s">
        <v>953</v>
      </c>
      <c r="D4" s="58"/>
      <c r="E4" s="57" t="s">
        <v>954</v>
      </c>
      <c r="F4" s="58"/>
      <c r="G4" s="57" t="s">
        <v>957</v>
      </c>
      <c r="J4" s="59"/>
      <c r="K4" s="59"/>
      <c r="L4" s="60"/>
      <c r="M4" s="60"/>
      <c r="N4" s="60"/>
      <c r="O4" s="60"/>
      <c r="P4" s="60"/>
    </row>
    <row r="5" spans="1:29" ht="13.8" customHeight="1" x14ac:dyDescent="0.3">
      <c r="A5" s="61">
        <f>KPI!A4</f>
        <v>864</v>
      </c>
      <c r="B5" s="61"/>
      <c r="C5" s="62">
        <f>KPI!A8</f>
        <v>865786.36468965956</v>
      </c>
      <c r="D5" s="63"/>
      <c r="E5" s="64">
        <f>KPI!A12</f>
        <v>11.668981481481481</v>
      </c>
      <c r="F5" s="63"/>
      <c r="G5" s="65">
        <f>KPI!A16</f>
        <v>57.15625</v>
      </c>
      <c r="J5" s="59"/>
      <c r="K5" s="59"/>
      <c r="L5" s="60"/>
      <c r="M5" s="60"/>
      <c r="N5" s="60"/>
      <c r="O5" s="60"/>
      <c r="P5" s="60"/>
    </row>
    <row r="6" spans="1:29" x14ac:dyDescent="0.3">
      <c r="G6"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833D52-7B86-4ADE-89E8-ABEBB9E891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 (Original Dataset)</vt:lpstr>
      <vt:lpstr>Cleaned_Data</vt:lpstr>
      <vt:lpstr>Analysis_Sheet</vt:lpstr>
      <vt:lpstr>Pivot_Table</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Aisosa Erhunmwunsee</dc:creator>
  <cp:lastModifiedBy>Aisosa Erhunmwunsee</cp:lastModifiedBy>
  <dcterms:created xsi:type="dcterms:W3CDTF">2026-03-15T22:54:46Z</dcterms:created>
  <dcterms:modified xsi:type="dcterms:W3CDTF">2026-03-19T08:46:42Z</dcterms:modified>
</cp:coreProperties>
</file>